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educationgovtnz-my.sharepoint.com/personal/taylork_moe_govt_nz/Documents/Desktop/"/>
    </mc:Choice>
  </mc:AlternateContent>
  <xr:revisionPtr revIDLastSave="0" documentId="8_{1617AE60-9582-45B9-BF18-0E3D80CC7304}" xr6:coauthVersionLast="47" xr6:coauthVersionMax="47" xr10:uidLastSave="{00000000-0000-0000-0000-000000000000}"/>
  <bookViews>
    <workbookView xWindow="-110" yWindow="-110" windowWidth="19420" windowHeight="11500" tabRatio="908" xr2:uid="{EC25A04D-8DB4-4A69-898A-DC4085974F33}"/>
  </bookViews>
  <sheets>
    <sheet name="Index" sheetId="1" r:id="rId1"/>
    <sheet name="Technical Notes" sheetId="106" r:id="rId2"/>
    <sheet name="Sector" sheetId="83" r:id="rId3"/>
    <sheet name="Designation" sheetId="103" r:id="rId4"/>
    <sheet name="Employment Type" sheetId="86" r:id="rId5"/>
    <sheet name="Full Part Time" sheetId="87" r:id="rId6"/>
    <sheet name="Ethnic Group" sheetId="102" r:id="rId7"/>
    <sheet name="Age Group" sheetId="89" r:id="rId8"/>
    <sheet name="Gender" sheetId="90" r:id="rId9"/>
    <sheet name="School Gender" sheetId="92" r:id="rId10"/>
    <sheet name="School Type" sheetId="104" r:id="rId11"/>
    <sheet name="Equity Index Band" sheetId="101" r:id="rId12"/>
    <sheet name="Equity Index Group" sheetId="105" r:id="rId13"/>
    <sheet name="Decile" sheetId="95" r:id="rId14"/>
    <sheet name="Grouped Decile" sheetId="96" r:id="rId15"/>
    <sheet name="Urban Rural" sheetId="94" r:id="rId16"/>
    <sheet name="Education Region" sheetId="99" r:id="rId17"/>
    <sheet name="Regional Council" sheetId="98" r:id="rId18"/>
    <sheet name="Territorial Authority" sheetId="97" r:id="rId19"/>
    <sheet name="Te Mahau Takiwā" sheetId="100" r:id="rId20"/>
  </sheets>
  <definedNames>
    <definedName name="_AMO_RefreshMultipleList" hidden="1">"'&lt;Items&gt;_x000D_
  &lt;Item Id=""564313111"" Checked=""False"" /&gt;_x000D_
&lt;/Items&gt;'"</definedName>
    <definedName name="_AMO_XmlVersion" hidden="1">"'1'"</definedName>
    <definedName name="data">#REF!</definedName>
    <definedName name="data1">#REF!</definedName>
    <definedName name="data2">#REF!</definedName>
    <definedName name="data3">#REF!</definedName>
    <definedName name="x">#REF!</definedName>
  </definedNames>
  <calcPr calcId="191029"/>
  <pivotCaches>
    <pivotCache cacheId="0" r:id="rId21"/>
    <pivotCache cacheId="1" r:id="rId22"/>
    <pivotCache cacheId="2" r:id="rId23"/>
    <pivotCache cacheId="3" r:id="rId24"/>
    <pivotCache cacheId="4" r:id="rId25"/>
    <pivotCache cacheId="5" r:id="rId26"/>
    <pivotCache cacheId="6" r:id="rId27"/>
    <pivotCache cacheId="7" r:id="rId28"/>
    <pivotCache cacheId="8" r:id="rId29"/>
    <pivotCache cacheId="9" r:id="rId30"/>
    <pivotCache cacheId="10" r:id="rId31"/>
    <pivotCache cacheId="11" r:id="rId32"/>
    <pivotCache cacheId="12" r:id="rId33"/>
    <pivotCache cacheId="13" r:id="rId34"/>
    <pivotCache cacheId="14" r:id="rId35"/>
    <pivotCache cacheId="15" r:id="rId36"/>
    <pivotCache cacheId="16" r:id="rId3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8BDD79-C4E3-4994-BAB8-51599C5B5D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<sst xmlns="http://schemas.openxmlformats.org/spreadsheetml/2006/main" count="748" uniqueCount="285">
  <si>
    <t>Sector</t>
  </si>
  <si>
    <t>Employment Type</t>
  </si>
  <si>
    <t>Full/Part Time</t>
  </si>
  <si>
    <t>Ethnic Group</t>
  </si>
  <si>
    <t>Age Group</t>
  </si>
  <si>
    <t>Teacher Gender</t>
  </si>
  <si>
    <t>School Gender</t>
  </si>
  <si>
    <t>Urban/Rural</t>
  </si>
  <si>
    <t>Decile</t>
  </si>
  <si>
    <t>Grouped Decile</t>
  </si>
  <si>
    <t>Territorial Authority</t>
  </si>
  <si>
    <t>Regional Council</t>
  </si>
  <si>
    <t>Education Region</t>
  </si>
  <si>
    <t>Technical Notes</t>
  </si>
  <si>
    <t>Dimension</t>
  </si>
  <si>
    <t>Teacher: Ethnic Group</t>
  </si>
  <si>
    <t>Teacher: Age 10yr Group</t>
  </si>
  <si>
    <t>The age of the teacher, in ten year age-groups. Age is calculated as at 1 July for each year.</t>
  </si>
  <si>
    <t>Teacher: Gender</t>
  </si>
  <si>
    <t>The gender of the teacher.</t>
  </si>
  <si>
    <t>The type of contract a teacher is on - Fixed Term or Permanent</t>
  </si>
  <si>
    <t>Teacher: Full/Part Time</t>
  </si>
  <si>
    <t>The type of contract a teacher is on - Full Time or Part Time</t>
  </si>
  <si>
    <t>School: Gender</t>
  </si>
  <si>
    <t>School: Decile</t>
  </si>
  <si>
    <t>School: Decile Grouped</t>
  </si>
  <si>
    <t>School: Sector</t>
  </si>
  <si>
    <t>School: Urban/Rural</t>
  </si>
  <si>
    <t>Main urban</t>
  </si>
  <si>
    <t>Main urban areas are very large urban areas centred on a city or major urban centre. Main urban areas have a minimum population of 30,000.</t>
  </si>
  <si>
    <t>Secondary urban</t>
  </si>
  <si>
    <t>Secondary urban areas have a population between 10,000 and 29,999 and are centred on the larger regional centres.</t>
  </si>
  <si>
    <t>Minor urban</t>
  </si>
  <si>
    <t>Minor urban areas are urbanised settlements (outside main and secondary urban areas), centred around smaller towns with a population between 1,000 and 9,999.</t>
  </si>
  <si>
    <t>Those living in rural settlements or townships, also includes areas with a population between 300 and 999.</t>
  </si>
  <si>
    <t>Region: Regional Council</t>
  </si>
  <si>
    <t>Region: Education Region</t>
  </si>
  <si>
    <t>Total</t>
  </si>
  <si>
    <t>Day Relief</t>
  </si>
  <si>
    <t>Co-Educational</t>
  </si>
  <si>
    <t>Single Sex-Girls</t>
  </si>
  <si>
    <t>Single Sex-Boys</t>
  </si>
  <si>
    <t>Not Applicable/Unknown</t>
  </si>
  <si>
    <t>Not Applicable</t>
  </si>
  <si>
    <t>Decile 01</t>
  </si>
  <si>
    <t>Decile 02</t>
  </si>
  <si>
    <t>Decile 03</t>
  </si>
  <si>
    <t>Decile 04</t>
  </si>
  <si>
    <t>Decile 05</t>
  </si>
  <si>
    <t>Decile 06</t>
  </si>
  <si>
    <t>Decile 07</t>
  </si>
  <si>
    <t>Decile 08</t>
  </si>
  <si>
    <t>Decile 09</t>
  </si>
  <si>
    <t>Decile 10</t>
  </si>
  <si>
    <t>Low</t>
  </si>
  <si>
    <t>Medium</t>
  </si>
  <si>
    <t>High</t>
  </si>
  <si>
    <t>Te Mahau Takiwā</t>
  </si>
  <si>
    <t xml:space="preserve">The Ministry uses Statistics New Zealand's definition of ethnicity: ethnicity is the ethnic group or groups that people identify with or feel they belong to. Ethnicity is a measure of cultural affiliation, as opposed to race, ancestry, nationality or citizenship.
Total response ethnicity is used here. This means that teachers can identify with up to 3 different ethnic groups, and have been counted in each ethnic group they belong to and once in "Total" Ethnic Group. </t>
  </si>
  <si>
    <t>Teacher: Employment Type</t>
  </si>
  <si>
    <t xml:space="preserve">
Rural
</t>
  </si>
  <si>
    <t>The Regional Council linked to the school where the teacher is employed. Regional council boundaries are defined by Statistics New Zealand.</t>
  </si>
  <si>
    <t>Region: Territorial Authority</t>
  </si>
  <si>
    <t>Fixed</t>
  </si>
  <si>
    <t>Permanent</t>
  </si>
  <si>
    <t>Note: Total response ethnicity is used here. This means teachers are counted under each ethnic group they identfy with, and only once under 'Total'. This means that the different ethnic groups will not sum to the total.</t>
  </si>
  <si>
    <t>20-24</t>
  </si>
  <si>
    <t>25-34</t>
  </si>
  <si>
    <t>35-44</t>
  </si>
  <si>
    <t>45-54</t>
  </si>
  <si>
    <t>55-64</t>
  </si>
  <si>
    <t>65-74</t>
  </si>
  <si>
    <t>75-84</t>
  </si>
  <si>
    <t>Unknown</t>
  </si>
  <si>
    <t>Female</t>
  </si>
  <si>
    <t>Male</t>
  </si>
  <si>
    <t>Ashburton District</t>
  </si>
  <si>
    <t>Auckland - Albert-Eden</t>
  </si>
  <si>
    <t>Auckland - Devonport-Takapuna</t>
  </si>
  <si>
    <t>Auckland - Franklin</t>
  </si>
  <si>
    <t>Auckland - Henderson-Massey</t>
  </si>
  <si>
    <t>Auckland - Hibiscus and Bays</t>
  </si>
  <si>
    <t>Auckland - Howick</t>
  </si>
  <si>
    <t>Auckland - Manurewa</t>
  </si>
  <si>
    <t>Auckland - Papakura</t>
  </si>
  <si>
    <t>Auckland - Rodney</t>
  </si>
  <si>
    <t>Auckland - Upper Harbour</t>
  </si>
  <si>
    <t>Auckland - Waiheke</t>
  </si>
  <si>
    <t>Auckland - Whau</t>
  </si>
  <si>
    <t>Buller District</t>
  </si>
  <si>
    <t>Carterton District</t>
  </si>
  <si>
    <t>Central Hawke's Bay District</t>
  </si>
  <si>
    <t>Central Otago District</t>
  </si>
  <si>
    <t>Chatham Islands Territory</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</si>
  <si>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</si>
  <si>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</si>
  <si>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</si>
  <si>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</si>
  <si>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</si>
  <si>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</si>
  <si>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</si>
  <si>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</si>
  <si>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</si>
  <si>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</si>
  <si>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</si>
  <si>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</si>
  <si>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</si>
  <si>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Kaikoura District</t>
  </si>
  <si>
    <t>Kaipara District</t>
  </si>
  <si>
    <t>Kapiti Coast District</t>
  </si>
  <si>
    <t>Kawerau District</t>
  </si>
  <si>
    <t>Lower Hutt City</t>
  </si>
  <si>
    <t>Mackenzie District</t>
  </si>
  <si>
    <t>Manawatu District</t>
  </si>
  <si>
    <t>Marlborough District</t>
  </si>
  <si>
    <t>Masterton District</t>
  </si>
  <si>
    <t>Matamata-Piako District</t>
  </si>
  <si>
    <t>Napier City</t>
  </si>
  <si>
    <t>Nelson City</t>
  </si>
  <si>
    <t>New Plymouth District</t>
  </si>
  <si>
    <t>Palmerston North City</t>
  </si>
  <si>
    <t>Porirua City</t>
  </si>
  <si>
    <t>Queenstown-Lakes District</t>
  </si>
  <si>
    <t>Rangitikei District</t>
  </si>
  <si>
    <t>Rotorua District</t>
  </si>
  <si>
    <t>Ruapehu District</t>
  </si>
  <si>
    <t>Selwyn District</t>
  </si>
  <si>
    <t>South Taranaki District</t>
  </si>
  <si>
    <t>South Waikato District</t>
  </si>
  <si>
    <t>South Wairarapa District</t>
  </si>
  <si>
    <t>Southland District</t>
  </si>
  <si>
    <t>Stratford District</t>
  </si>
  <si>
    <t>Tararua District</t>
  </si>
  <si>
    <t>Tasman District</t>
  </si>
  <si>
    <t>Taupo District</t>
  </si>
  <si>
    <t>Tauranga City</t>
  </si>
  <si>
    <t>Thames-Coromandel District</t>
  </si>
  <si>
    <t>Timaru District</t>
  </si>
  <si>
    <t>Upper Hutt City</t>
  </si>
  <si>
    <t>Waikato District</t>
  </si>
  <si>
    <t>Waimakariri District</t>
  </si>
  <si>
    <t>Waimate District</t>
  </si>
  <si>
    <t>Waipa District</t>
  </si>
  <si>
    <t>Wairoa District</t>
  </si>
  <si>
    <t>Waitaki District</t>
  </si>
  <si>
    <t>Waitomo District</t>
  </si>
  <si>
    <t>Wellington City</t>
  </si>
  <si>
    <t>Western Bay of Plenty District</t>
  </si>
  <si>
    <t>Westland District</t>
  </si>
  <si>
    <t>Whakatane District</t>
  </si>
  <si>
    <t>Whanganui District</t>
  </si>
  <si>
    <t>Whangarei District</t>
  </si>
  <si>
    <t>Region: Te Mahau Takiwā</t>
  </si>
  <si>
    <t>Asian</t>
  </si>
  <si>
    <t>European/Pākehā</t>
  </si>
  <si>
    <t>Māori</t>
  </si>
  <si>
    <t>MELAA</t>
  </si>
  <si>
    <t>No Response</t>
  </si>
  <si>
    <t>Other</t>
  </si>
  <si>
    <t>Pacific</t>
  </si>
  <si>
    <t>Full Time</t>
  </si>
  <si>
    <t>Part Time</t>
  </si>
  <si>
    <t>Not Stated/Another Gender</t>
  </si>
  <si>
    <t>Auckland Region</t>
  </si>
  <si>
    <t>Bay of Plenty Region</t>
  </si>
  <si>
    <t>Canterbury Region</t>
  </si>
  <si>
    <t>Chatham Is. County</t>
  </si>
  <si>
    <t>Gisborne Region</t>
  </si>
  <si>
    <t>Hawke's Bay Region</t>
  </si>
  <si>
    <t>Marlborough Region</t>
  </si>
  <si>
    <t>Nelson Region</t>
  </si>
  <si>
    <t>Northland Region</t>
  </si>
  <si>
    <t>Otago Region</t>
  </si>
  <si>
    <t>Southland Region</t>
  </si>
  <si>
    <t>Taranaki Region</t>
  </si>
  <si>
    <t>Tasman Region</t>
  </si>
  <si>
    <t>Waikato Region</t>
  </si>
  <si>
    <t>Wellington Region</t>
  </si>
  <si>
    <t>West Coast Region</t>
  </si>
  <si>
    <t>Bay of Plenty/Waiariki</t>
  </si>
  <si>
    <t>Canterbury/Chatham Islands</t>
  </si>
  <si>
    <t>Hawke's Bay/Tairāwhiti</t>
  </si>
  <si>
    <t>Nelson/Marlborough/West Coast</t>
  </si>
  <si>
    <t>Otago/Southland</t>
  </si>
  <si>
    <t>Tai Tokerau</t>
  </si>
  <si>
    <t>Taranaki/Whanganui/Manawatū</t>
  </si>
  <si>
    <t>Waikato</t>
  </si>
  <si>
    <t>Wellington</t>
  </si>
  <si>
    <t>Te Tai Raro (North)</t>
  </si>
  <si>
    <t>Te Tai Runga (South)</t>
  </si>
  <si>
    <t>Te Tai Whenua (Central)</t>
  </si>
  <si>
    <t>Above Average</t>
  </si>
  <si>
    <t>Average</t>
  </si>
  <si>
    <t>Below Average</t>
  </si>
  <si>
    <t>Few</t>
  </si>
  <si>
    <t>Fewest</t>
  </si>
  <si>
    <t>Many</t>
  </si>
  <si>
    <t>Most</t>
  </si>
  <si>
    <t>Unassigned</t>
  </si>
  <si>
    <t>Equity Index Band</t>
  </si>
  <si>
    <t>School: Equity Index Band</t>
  </si>
  <si>
    <t>Full Time Teacher Equivalent (FTTE) Data for Teachers in State and State Integrated Schools</t>
  </si>
  <si>
    <t>This workbook contains data on the FTTE totals broken down by a range of selected dimensions listed below.</t>
  </si>
  <si>
    <t>All teachers are included - both regular (permanent and fixed term) and day relief teachers.</t>
  </si>
  <si>
    <t>FTTE measures the hours worked by a teacher across a year in relation to those worked by a full time teacher who works the whole year. In calculating the total FTTE of all teachers across the country, individual teacher FTTEs are added together to give the total FTTE.</t>
  </si>
  <si>
    <t>Designation</t>
  </si>
  <si>
    <t>School Type</t>
  </si>
  <si>
    <t>Primary</t>
  </si>
  <si>
    <t>Secondary</t>
  </si>
  <si>
    <t>Total Full Time Teacher Equivalent (FTTE) in State and State Integrated Schools by Employment Type</t>
  </si>
  <si>
    <t>Total Full Time Teacher Equivalent (FTTE) in State and State Integrated Schools by Full/Part Time</t>
  </si>
  <si>
    <t>Total Full Time Teacher Equivalent (FTTE) in State and State Integrated Schools by Ethnic Group</t>
  </si>
  <si>
    <t>Total Full Time Teacher Equivalent (FTTE) in State and State Integrated Schools by Gender</t>
  </si>
  <si>
    <t>Total Full Time Teacher Equivalent (FTTE) in State and State Integrated Schools by School Gender</t>
  </si>
  <si>
    <t>Total Full Time Teacher Equivalent (FTTE) in State and State Integrated Schools by Urban/Rural</t>
  </si>
  <si>
    <t>Total Full Time Teacher Equivalent (FTTE) in State and State Integrated Schools by Decile</t>
  </si>
  <si>
    <t>Total Full Time Teacher Equivalent (FTTE) in State and State Integrated Schools by Grouped Decile</t>
  </si>
  <si>
    <t>Total Full Time Teacher Equivalent (FTTE) in State and State Integrated Schools by Socioeconomic Barriers (School Equity Index Band)</t>
  </si>
  <si>
    <t>Total Full Time Teacher Equivalent (FTTE) in State and State Integrated Schools by Territorial Authority</t>
  </si>
  <si>
    <t>Total Full Time Teacher Equivalent (FTTE) in State and State Integrated Schools by Regional Council</t>
  </si>
  <si>
    <t xml:space="preserve">Total Full Time Teacher Equivalent (FTTE) in State and State Integrated Schools by Sector </t>
  </si>
  <si>
    <t>Cluster Manager RTLB</t>
  </si>
  <si>
    <t>Principal</t>
  </si>
  <si>
    <t>Teacher</t>
  </si>
  <si>
    <t>Teacher - Learning Support</t>
  </si>
  <si>
    <t>Teacher - Resr Hearing Imp</t>
  </si>
  <si>
    <t>Teacher - Resr Learning Behvr</t>
  </si>
  <si>
    <t>Teacher - Resr Literacy</t>
  </si>
  <si>
    <t>Teacher - Resr Maori</t>
  </si>
  <si>
    <t>Teacher - Resr Visually Imp</t>
  </si>
  <si>
    <t>Teacher - Te Atakura</t>
  </si>
  <si>
    <t>Total Full Time Teacher Equivalent (FTTE) in State and State Integrated Schools by Designation</t>
  </si>
  <si>
    <t>Teacher FTTE</t>
  </si>
  <si>
    <t>The type of teaching role a teacher works as their main role during the year.</t>
  </si>
  <si>
    <t>Tāmaki Herenga Manawa</t>
  </si>
  <si>
    <t>Tāmaki Herenga Tāngata</t>
  </si>
  <si>
    <t>Tāmaki Herenga Waka</t>
  </si>
  <si>
    <t>Total Full Time Teacher Equivalent (FTTE) in State and State Integrated Schools by Age Group</t>
  </si>
  <si>
    <t>Total Full Time Teacher Equivalent (FTTE) in State and State Integrated Schools by Education Region</t>
  </si>
  <si>
    <t>Total Full Time Teacher Equivalent (FTTE) in State and State Integrated Schools by Te Mahau Takiwā</t>
  </si>
  <si>
    <t>Contributing</t>
  </si>
  <si>
    <t>Full Primary</t>
  </si>
  <si>
    <t>Intermediate</t>
  </si>
  <si>
    <t>Specialist School</t>
  </si>
  <si>
    <t>Composite</t>
  </si>
  <si>
    <t>Correspondence School</t>
  </si>
  <si>
    <t>Total Full Time Teacher Equivalent (FTTE) in State and State Integrated Schools by School Type</t>
  </si>
  <si>
    <t>Fewer</t>
  </si>
  <si>
    <t>Moderate</t>
  </si>
  <si>
    <t>More</t>
  </si>
  <si>
    <t>Equity Index Group</t>
  </si>
  <si>
    <t>Total Full Time Teacher Equivalent (FTTE) in State and State Integrated Schools by Socioeconomic Barriers (School Equity Index Group)</t>
  </si>
  <si>
    <t>Auckland - Kaipātiki</t>
  </si>
  <si>
    <t>Auckland - Māngere-Ōtāhuhu</t>
  </si>
  <si>
    <t>Auckland - Waitākere Ranges</t>
  </si>
  <si>
    <t>Auckland - Maungakiekie-Tāmaki</t>
  </si>
  <si>
    <t>Auckland - Waitematā</t>
  </si>
  <si>
    <t>Auckland - Aotea/Great Barrier</t>
  </si>
  <si>
    <t>Auckland - Ōrākei</t>
  </si>
  <si>
    <t>Auckland - Ōtara-Papatoetoe</t>
  </si>
  <si>
    <t>Auckland - Puketāpapa</t>
  </si>
  <si>
    <t>Ōtorohanga District</t>
  </si>
  <si>
    <t>Ōpōtiki District</t>
  </si>
  <si>
    <t>Manawatū-Whanganui Region</t>
  </si>
  <si>
    <t>Teachers are grouped into the primary or secondary sector depending on the type of the school they work in. The primary sector includes all primary schools, intermediates and special schools. The secondary sector includes all secondary schools and composite schools (including Te Kura, the correspondence school).</t>
  </si>
  <si>
    <t>Teacher: Designation</t>
  </si>
  <si>
    <t>The gender of the students that a school caters for, for example, co-educational, or single sex.</t>
  </si>
  <si>
    <t>School: Type</t>
  </si>
  <si>
    <t>The school type of the school where the teacher works their main teaching role for the year.</t>
  </si>
  <si>
    <t>The Equity Index Band of a school is an indicator of the relative degree of socioeconomic barriers to educational achievement faced by students at the school, and is intended as a tool for analysing and reporting on socioeconomic trends in education data. Equity Index Bands are derived from the Equity Index used for school funding. There are seven Equity Index Bands each containing a similar number of schools. In order of increasing socioeconomic barriers the bands are named: “Fewest”, “Few”, “Below Average”, “Average”, “Above Average”, “Many”, and “Most”.
While the equity index has been in use only since 2023, here Equity Index Bands are used from 2019 onwards. This is done using 2023 Equity index numbers in order to provide a time series for socioeconomic analysis, as 2023 EQI numbers provide a reasonable estimation of the socioeconomic circumstances of a school's learners back to 2019.
Some schools are not assigned an Equity index band and are included under "Not Applicable". This includes:
     All private schools (these schools do not have an Equity Index number)
     Te Aho o Te Kura Pounamu (the unique nature of this school means that it is inappropriate for inclusion within an Equity Index Band or Group)
     Schools which are assigned a notional Equity Index number. These include Teen Parent Units, Activity Centres, Regional Health Schools, some specialist schools, and a small 
     number of very small schools. These schools are assigned the maximum Equity Index number to reflect either the particular challenges unique to those settings, and/or limitations 
     on data availability.</t>
  </si>
  <si>
    <t>School: Equity Index Group</t>
  </si>
  <si>
    <t>There are three groups of schools formed by collapsing the seven Equity Index Bands as follows. The “Fewest” and “Few” Equity Index Bands are combined to form the “Fewer” Equity Index Group. The “Many” and “Most” Equity Index Bands are combined to form the “More” Equity Index Group. The remaining Equity Index Bands are combined to form the “Moderate” Equity Index Group.</t>
  </si>
  <si>
    <t>Relationship between the Schooling Equity Index, Equity Index bands and Equity Index Groups</t>
  </si>
  <si>
    <t>Up until 2022, decile was used by the Ministry as a mechanism for determining the level of equity funding that schools receive schools, and we have also used this as a way to understand socioeconomic trends in education data. From 2023 onward this has been replaced by the Schooling Equity Index.
Schools were assigned a socioeconomic score based on five census derived socioeconomic factors. Decile 1 schools are the 10% of schools with the greatest proportion of students from the most socioeconomically deprived areas.  Decile 10 schools are the 10% of schools with the greatest proportion of students from the least socioeconomically deprived areas.</t>
  </si>
  <si>
    <t>School decile grouped into Low (Decile 1-3), Medium (Decile 4-7), and High (Decile 8-10). Available up until 2022.</t>
  </si>
  <si>
    <t>A grouping based on the size and nature of the area of the school where the employee works their main teaching role for the year. These groupings are based on Statistics New Zealand definitions:</t>
  </si>
  <si>
    <t xml:space="preserve">The Education Region linked to the school where the teacher is employed. </t>
  </si>
  <si>
    <t>The Territorial Authority area linked to the school where the teacher is employed. Territorial Authority boundaries are defined by Statistics New Zealand.</t>
  </si>
  <si>
    <t>The Te Mahau Takiwā linked to the school where the teacher works their main teaching role for the year. Te Mahau Takiwā are Ministry of Education regional groupings used for operational purposes.</t>
  </si>
  <si>
    <t>Large urban area</t>
  </si>
  <si>
    <t>Major urban area</t>
  </si>
  <si>
    <t>Medium urban area</t>
  </si>
  <si>
    <t>Rural other</t>
  </si>
  <si>
    <t>Rural settlement</t>
  </si>
  <si>
    <t>Small urban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</si>
</sst>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1"/>
      <color theme="1"/>
      <name val="Calibri"/>
      <family val="2"/>
      <scheme val="minor"/>
    </font>
    <font>
      <u/>
      <sz val="11"/>
      <color theme="10"/>
      <name val="Calibri"/>
      <family val="2"/>
      <scheme val="minor"/>
    </font>
    <font>
      <sz val="11"/>
      <color rgb="FF000000"/>
      <name val="Calibri"/>
      <family val="2"/>
      <scheme val="minor"/>
    </font>
    <font>
      <sz val="20"/>
      <color rgb="FF000000"/>
      <name val="Calibri"/>
      <family val="2"/>
      <scheme val="minor"/>
    </font>
    <font>
      <sz val="11"/>
      <color rgb="FF000000"/>
      <name val="Courier New"/>
      <family val="2"/>
    </font>
    <font>
      <b/>
      <sz val="18"/>
      <color theme="1"/>
      <name val="Arial"/>
      <family val="2"/>
    </font>
    <font>
      <sz val="10"/>
      <color theme="1"/>
      <name val="Arial"/>
      <family val="2"/>
    </font>
    <font>
      <sz val="10"/>
      <name val="Arial"/>
      <family val="2"/>
    </font>
    <font>
      <b/>
      <sz val="10"/>
      <color theme="1"/>
      <name val="Arial"/>
      <family val="2"/>
    </font>
    <font>
      <b/>
      <sz val="10"/>
      <color rgb="FF000000"/>
      <name val="Arial"/>
      <family val="2"/>
    </font>
    <font>
      <sz val="10"/>
      <name val="MS Sans Serif"/>
      <family val="2"/>
    </font>
    <font>
      <b/>
      <sz val="10"/>
      <name val="Arial"/>
      <family val="2"/>
    </font>
    <font>
      <b/>
      <sz val="22"/>
      <color theme="1"/>
      <name val="Calibri"/>
      <family val="2"/>
      <scheme val="minor"/>
    </font>
    <font>
      <sz val="8"/>
      <color rgb="FF000000"/>
      <name val="ArialNarrow"/>
    </font>
    <font>
      <b/>
      <sz val="20"/>
      <color theme="1"/>
      <name val="Calibri"/>
      <family val="2"/>
      <scheme val="minor"/>
    </font>
    <font>
      <b/>
      <sz val="18"/>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indexed="65"/>
        <bgColor rgb="FF000000"/>
      </patternFill>
    </fill>
    <fill>
      <patternFill patternType="solid">
        <fgColor theme="4" tint="-0.249977111117893"/>
        <bgColor theme="4" tint="-0.249977111117893"/>
      </patternFill>
    </fill>
    <fill>
      <patternFill patternType="solid">
        <fgColor theme="4" tint="0.39997558519241921"/>
        <bgColor theme="4" tint="0.39997558519241921"/>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theme="3"/>
      </left>
      <right/>
      <top style="thin">
        <color theme="3"/>
      </top>
      <bottom style="thin">
        <color theme="4" tint="-0.249977111117893"/>
      </bottom>
      <diagonal/>
    </border>
    <border>
      <left/>
      <right/>
      <top style="thin">
        <color theme="3"/>
      </top>
      <bottom style="thin">
        <color theme="4" tint="-0.249977111117893"/>
      </bottom>
      <diagonal/>
    </border>
    <border>
      <left/>
      <right style="thin">
        <color theme="3"/>
      </right>
      <top style="thin">
        <color theme="3"/>
      </top>
      <bottom style="thin">
        <color theme="4" tint="-0.249977111117893"/>
      </bottom>
      <diagonal/>
    </border>
    <border>
      <left style="thin">
        <color theme="3"/>
      </left>
      <right/>
      <top style="thin">
        <color theme="4" tint="-0.249977111117893"/>
      </top>
      <bottom/>
      <diagonal/>
    </border>
    <border>
      <left/>
      <right/>
      <top style="thin">
        <color theme="4" tint="-0.249977111117893"/>
      </top>
      <bottom/>
      <diagonal/>
    </border>
    <border>
      <left/>
      <right/>
      <top style="thin">
        <color theme="4" tint="-0.249977111117893"/>
      </top>
      <bottom style="thin">
        <color theme="4" tint="0.59999389629810485"/>
      </bottom>
      <diagonal/>
    </border>
    <border>
      <left/>
      <right style="thin">
        <color theme="3"/>
      </right>
      <top style="thin">
        <color theme="4" tint="-0.249977111117893"/>
      </top>
      <bottom style="thin">
        <color theme="4" tint="0.59999389629810485"/>
      </bottom>
      <diagonal/>
    </border>
    <border>
      <left style="thin">
        <color theme="3"/>
      </left>
      <right/>
      <top style="thin">
        <color theme="4" tint="-0.249977111117893"/>
      </top>
      <bottom style="thin">
        <color theme="4" tint="0.39997558519241921"/>
      </bottom>
      <diagonal/>
    </border>
    <border>
      <left/>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style="thin">
        <color theme="3"/>
      </right>
      <top style="thin">
        <color theme="4" tint="-0.249977111117893"/>
      </top>
      <bottom style="thin">
        <color theme="4" tint="-0.249977111117893"/>
      </bottom>
      <diagonal/>
    </border>
    <border>
      <left style="thin">
        <color auto="1"/>
      </left>
      <right/>
      <top style="thin">
        <color theme="4" tint="0.39997558519241921"/>
      </top>
      <bottom style="thin">
        <color theme="4" tint="0.39997558519241921"/>
      </bottom>
      <diagonal/>
    </border>
    <border>
      <left style="thin">
        <color theme="4" tint="-0.249977111117893"/>
      </left>
      <right style="thin">
        <color theme="4" tint="-0.249977111117893"/>
      </right>
      <top style="thin">
        <color auto="1"/>
      </top>
      <bottom style="thin">
        <color auto="1"/>
      </bottom>
      <diagonal/>
    </border>
    <border>
      <left style="thin">
        <color theme="3"/>
      </left>
      <right/>
      <top style="thin">
        <color theme="4" tint="0.39997558519241921"/>
      </top>
      <bottom style="thin">
        <color theme="4" tint="0.39997558519241921"/>
      </bottom>
      <diagonal/>
    </border>
    <border>
      <left style="thin">
        <color auto="1"/>
      </left>
      <right/>
      <top style="thin">
        <color theme="4" tint="0.39997558519241921"/>
      </top>
      <bottom style="thin">
        <color theme="4" tint="0.79998168889431442"/>
      </bottom>
      <diagonal/>
    </border>
    <border>
      <left style="thin">
        <color theme="3"/>
      </left>
      <right/>
      <top style="thin">
        <color theme="4" tint="0.39997558519241921"/>
      </top>
      <bottom style="thin">
        <color theme="4" tint="0.79998168889431442"/>
      </bottom>
      <diagonal/>
    </border>
    <border>
      <left style="thin">
        <color auto="1"/>
      </left>
      <right/>
      <top style="thin">
        <color auto="1"/>
      </top>
      <bottom style="thin">
        <color theme="4" tint="0.39997558519241921"/>
      </bottom>
      <diagonal/>
    </border>
  </borders>
  <cellStyleXfs count="3">
    <xf numFmtId="0" fontId="0" fillId="0" borderId="0"/>
    <xf numFmtId="0" fontId="1" fillId="0" borderId="0" applyNumberFormat="0" applyFill="0" applyBorder="0" applyAlignment="0" applyProtection="0"/>
    <xf numFmtId="0" fontId="10" fillId="0" borderId="0"/>
  </cellStyleXfs>
  <cellXfs count="101">
    <xf numFmtId="0" fontId="0" fillId="0" borderId="0" xfId="0"/>
    <xf numFmtId="0" fontId="2" fillId="2" borderId="0" xfId="0" applyFont="1" applyFill="1"/>
    <xf numFmtId="0" fontId="1" fillId="2" borderId="0" xfId="1" applyFill="1"/>
    <xf numFmtId="0" fontId="4" fillId="2" borderId="0" xfId="0" applyFont="1" applyFill="1"/>
    <xf numFmtId="0" fontId="0" fillId="2" borderId="0" xfId="0" applyFill="1"/>
    <xf numFmtId="0" fontId="5" fillId="2" borderId="0" xfId="0" applyFont="1" applyFill="1"/>
    <xf numFmtId="0" fontId="6" fillId="2" borderId="0" xfId="0" applyFont="1" applyFill="1"/>
    <xf numFmtId="0" fontId="7" fillId="2" borderId="0" xfId="0" applyFont="1" applyFill="1"/>
    <xf numFmtId="0" fontId="8" fillId="2" borderId="0" xfId="0" applyFont="1" applyFill="1"/>
    <xf numFmtId="0" fontId="9" fillId="3" borderId="1" xfId="0" applyFont="1" applyFill="1" applyBorder="1" applyAlignment="1">
      <alignment horizontal="left" vertical="center" wrapText="1"/>
    </xf>
    <xf numFmtId="0" fontId="0" fillId="0" borderId="0" xfId="0" pivotButton="1"/>
    <xf numFmtId="14" fontId="0" fillId="2" borderId="0" xfId="0" applyNumberFormat="1" applyFill="1"/>
    <xf numFmtId="0" fontId="2" fillId="0" borderId="0" xfId="0" applyFont="1"/>
    <xf numFmtId="0" fontId="13" fillId="4" borderId="0" xfId="0" applyFont="1" applyFill="1" applyAlignment="1">
      <alignment vertical="top"/>
    </xf>
    <xf numFmtId="3" fontId="0" fillId="0" borderId="0" xfId="0" applyNumberFormat="1"/>
    <xf numFmtId="0" fontId="12" fillId="0" borderId="0" xfId="0" applyFont="1"/>
    <xf numFmtId="0" fontId="14" fillId="0" borderId="0" xfId="0" applyFont="1"/>
    <xf numFmtId="0" fontId="15" fillId="0" borderId="0" xfId="0" applyFont="1"/>
    <xf numFmtId="0" fontId="9" fillId="3" borderId="1" xfId="0" applyFont="1" applyFill="1" applyBorder="1" applyAlignment="1">
      <alignment horizontal="left" vertical="center"/>
    </xf>
    <xf numFmtId="0" fontId="9" fillId="3" borderId="8" xfId="0" applyFont="1" applyFill="1" applyBorder="1" applyAlignment="1">
      <alignment horizontal="left" vertical="center" wrapText="1"/>
    </xf>
    <xf numFmtId="0" fontId="11" fillId="2" borderId="13" xfId="0" applyFont="1" applyFill="1" applyBorder="1" applyAlignment="1">
      <alignment horizontal="left" vertical="center" wrapText="1"/>
    </xf>
    <xf numFmtId="0" fontId="11" fillId="2" borderId="5" xfId="0" applyFont="1" applyFill="1" applyBorder="1" applyAlignment="1">
      <alignment horizontal="left" vertical="center" wrapText="1"/>
    </xf>
    <xf numFmtId="0" fontId="17" fillId="5" borderId="17" xfId="0" applyFont="1" applyFill="1" applyBorder="1"/>
    <xf numFmtId="0" fontId="18" fillId="5" borderId="17" xfId="0" applyFont="1" applyFill="1" applyBorder="1"/>
    <xf numFmtId="0" fontId="18" fillId="5" borderId="18" xfId="0" applyFont="1" applyFill="1" applyBorder="1"/>
    <xf numFmtId="0" fontId="18" fillId="5" borderId="19" xfId="0" applyFont="1" applyFill="1" applyBorder="1"/>
    <xf numFmtId="0" fontId="18" fillId="5" borderId="20" xfId="0" applyFont="1" applyFill="1" applyBorder="1"/>
    <xf numFmtId="0" fontId="18" fillId="5" borderId="21" xfId="0" applyFont="1" applyFill="1" applyBorder="1"/>
    <xf numFmtId="0" fontId="18" fillId="5" borderId="22" xfId="0" applyFont="1" applyFill="1" applyBorder="1"/>
    <xf numFmtId="0" fontId="18" fillId="6" borderId="23" xfId="0" applyFont="1" applyFill="1" applyBorder="1"/>
    <xf numFmtId="0" fontId="0" fillId="0" borderId="24" xfId="0" applyBorder="1"/>
    <xf numFmtId="0" fontId="18" fillId="6" borderId="27" xfId="0" applyFont="1" applyFill="1" applyBorder="1"/>
    <xf numFmtId="0" fontId="0" fillId="0" borderId="3" xfId="0" applyBorder="1"/>
    <xf numFmtId="0" fontId="18" fillId="6" borderId="29" xfId="0" applyFont="1" applyFill="1" applyBorder="1"/>
    <xf numFmtId="0" fontId="18" fillId="6" borderId="30" xfId="0" applyFont="1" applyFill="1" applyBorder="1"/>
    <xf numFmtId="0" fontId="18" fillId="6" borderId="31" xfId="0" applyFont="1" applyFill="1" applyBorder="1"/>
    <xf numFmtId="0" fontId="18" fillId="6" borderId="32" xfId="0" applyFont="1" applyFill="1" applyBorder="1"/>
    <xf numFmtId="0" fontId="17" fillId="5" borderId="16" xfId="0" applyFont="1" applyFill="1" applyBorder="1"/>
    <xf numFmtId="3" fontId="0" fillId="0" borderId="25" xfId="0" applyNumberFormat="1" applyBorder="1"/>
    <xf numFmtId="3" fontId="0" fillId="0" borderId="24" xfId="0" applyNumberFormat="1" applyBorder="1"/>
    <xf numFmtId="3" fontId="0" fillId="0" borderId="26" xfId="0" applyNumberFormat="1" applyBorder="1"/>
    <xf numFmtId="3" fontId="0" fillId="0" borderId="28" xfId="0" applyNumberFormat="1" applyBorder="1"/>
    <xf numFmtId="3" fontId="0" fillId="0" borderId="3" xfId="0" applyNumberFormat="1" applyBorder="1"/>
    <xf numFmtId="3" fontId="0" fillId="0" borderId="4" xfId="0" applyNumberFormat="1" applyBorder="1"/>
    <xf numFmtId="0" fontId="4" fillId="2" borderId="0" xfId="0" applyFont="1" applyFill="1"/>
    <xf numFmtId="0" fontId="2" fillId="2" borderId="0" xfId="0" applyFont="1" applyFill="1"/>
    <xf numFmtId="0" fontId="3" fillId="2" borderId="0" xfId="0" applyFont="1" applyFill="1" applyAlignment="1">
      <alignment horizontal="left"/>
    </xf>
    <xf numFmtId="0" fontId="7" fillId="2" borderId="2" xfId="0"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3" borderId="1" xfId="0" applyFont="1" applyFill="1" applyBorder="1" applyAlignment="1">
      <alignment horizontal="left" vertical="center"/>
    </xf>
    <xf numFmtId="0" fontId="9" fillId="3" borderId="8" xfId="0" applyFont="1" applyFill="1" applyBorder="1" applyAlignment="1">
      <alignment horizontal="left" vertical="center"/>
    </xf>
    <xf numFmtId="0" fontId="9" fillId="3" borderId="12" xfId="0" applyFont="1" applyFill="1" applyBorder="1" applyAlignment="1">
      <alignment horizontal="left" vertical="center"/>
    </xf>
    <xf numFmtId="0" fontId="9" fillId="3" borderId="15" xfId="0" applyFont="1" applyFill="1" applyBorder="1" applyAlignment="1">
      <alignment horizontal="left" vertical="center"/>
    </xf>
    <xf numFmtId="0" fontId="7" fillId="2" borderId="9" xfId="0" applyFont="1" applyFill="1" applyBorder="1" applyAlignment="1">
      <alignment horizontal="left" vertical="center" wrapText="1"/>
    </xf>
    <xf numFmtId="0" fontId="7" fillId="2" borderId="10"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7" fillId="2" borderId="0" xfId="0" applyFont="1" applyFill="1" applyAlignment="1">
      <alignment horizontal="left" vertical="center" wrapText="1"/>
    </xf>
    <xf numFmtId="0" fontId="7" fillId="2" borderId="14" xfId="0" applyFont="1" applyFill="1" applyBorder="1" applyAlignment="1">
      <alignment horizontal="left" vertical="center" wrapText="1"/>
    </xf>
    <xf numFmtId="0" fontId="7" fillId="2" borderId="5"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7" xfId="0" applyFont="1" applyFill="1" applyBorder="1" applyAlignment="1">
      <alignment horizontal="left" vertical="center" wrapText="1"/>
    </xf>
    <xf numFmtId="0" fontId="16" fillId="3" borderId="8" xfId="0" applyFont="1" applyFill="1" applyBorder="1" applyAlignment="1">
      <alignment horizontal="left" vertical="center"/>
    </xf>
    <xf numFmtId="0" fontId="16" fillId="3" borderId="12" xfId="0" applyFont="1" applyFill="1" applyBorder="1" applyAlignment="1">
      <alignment horizontal="left" vertical="center"/>
    </xf>
    <xf numFmtId="0" fontId="16" fillId="3" borderId="15" xfId="0" applyFont="1" applyFill="1" applyBorder="1" applyAlignment="1">
      <alignment horizontal="left" vertic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3" xfId="0" applyFont="1" applyBorder="1" applyAlignment="1">
      <alignment horizontal="left" vertical="center" wrapText="1"/>
    </xf>
    <xf numFmtId="0" fontId="6" fillId="0" borderId="0" xfId="0" applyFont="1" applyAlignment="1">
      <alignment horizontal="left" vertical="center" wrapText="1"/>
    </xf>
    <xf numFmtId="0" fontId="6" fillId="0" borderId="14"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16" fillId="3" borderId="8"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16" fillId="3" borderId="15" xfId="0" applyFont="1" applyFill="1" applyBorder="1" applyAlignment="1">
      <alignment horizontal="left"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0" xfId="0" applyFont="1" applyAlignment="1">
      <alignment horizontal="center" vertical="center" wrapText="1"/>
    </xf>
    <xf numFmtId="0" fontId="6" fillId="0" borderId="1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9" fillId="3" borderId="8" xfId="0" applyFont="1" applyFill="1" applyBorder="1" applyAlignment="1">
      <alignment horizontal="left" vertical="center" wrapText="1"/>
    </xf>
    <xf numFmtId="0" fontId="9" fillId="3" borderId="12" xfId="0" applyFont="1" applyFill="1" applyBorder="1" applyAlignment="1">
      <alignment horizontal="left" vertical="center" wrapText="1"/>
    </xf>
    <xf numFmtId="0" fontId="9" fillId="3" borderId="15" xfId="0" applyFont="1" applyFill="1" applyBorder="1" applyAlignment="1">
      <alignment horizontal="left" vertical="center"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3" xfId="0" applyFont="1" applyBorder="1" applyAlignment="1">
      <alignment horizontal="left" vertical="center" wrapText="1"/>
    </xf>
    <xf numFmtId="0" fontId="7" fillId="0" borderId="0" xfId="0" applyFont="1" applyAlignment="1">
      <alignment horizontal="left" vertical="center" wrapText="1"/>
    </xf>
    <xf numFmtId="0" fontId="7" fillId="0" borderId="14"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11" fillId="2" borderId="13" xfId="0" applyFont="1" applyFill="1" applyBorder="1" applyAlignment="1">
      <alignment horizontal="left" vertical="center" wrapText="1"/>
    </xf>
    <xf numFmtId="0" fontId="15" fillId="0" borderId="0" xfId="0" applyFont="1" applyAlignment="1">
      <alignment horizontal="left"/>
    </xf>
  </cellXfs>
  <cellStyles count="3">
    <cellStyle name="Hyperlink" xfId="1" builtinId="8"/>
    <cellStyle name="Normal" xfId="0" builtinId="0"/>
    <cellStyle name="Normal 3" xfId="2" xr:uid="{889B9F5E-0F06-40DD-B624-208091C6FBD9}"/>
  </cellStyles>
  <dxfs count="21">
    <dxf>
      <border>
        <left style="thin">
          <color auto="1"/>
        </left>
        <right style="thin">
          <color auto="1"/>
        </right>
        <top style="thin">
          <color auto="1"/>
        </top>
        <bottom style="thin">
          <color auto="1"/>
        </bottom>
        <vertical style="thin">
          <color auto="1"/>
        </vertical>
        <horizontal style="thin">
          <color auto="1"/>
        </horizontal>
      </border>
    </dxf>
    <dxf>
      <fill>
        <patternFill>
          <bgColor theme="4"/>
        </patternFill>
      </fill>
    </dxf>
    <dxf>
      <fill>
        <patternFill>
          <bgColor theme="8" tint="0.79998168889431442"/>
        </patternFill>
      </fill>
    </dxf>
    <dxf>
      <fill>
        <patternFill>
          <bgColor theme="4" tint="0.59996337778862885"/>
        </patternFill>
      </fill>
    </dxf>
    <dxf>
      <fill>
        <patternFill>
          <bgColor theme="8" tint="0.79998168889431442"/>
        </patternFill>
      </fill>
      <border diagonalUp="0" diagonalDown="0">
        <left style="thin">
          <color auto="1"/>
        </left>
        <right style="thin">
          <color auto="1"/>
        </right>
        <top style="thin">
          <color auto="1"/>
        </top>
        <bottom style="thin">
          <color auto="1"/>
        </bottom>
        <vertical style="thin">
          <color auto="1"/>
        </vertical>
        <horizontal/>
      </border>
    </dxf>
    <dxf>
      <font>
        <b/>
        <i val="0"/>
        <color theme="0"/>
      </font>
      <fill>
        <patternFill>
          <bgColor theme="4"/>
        </patternFill>
      </fill>
      <border diagonalUp="0" diagonalDown="0">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style="thin">
          <color auto="1"/>
        </vertical>
        <horizontal style="thin">
          <color auto="1"/>
        </horizontal>
      </border>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8168889431442"/>
          <bgColor theme="4" tint="0.79998168889431442"/>
        </patternFill>
      </fill>
      <border>
        <bottom style="thin">
          <color theme="4"/>
        </bottom>
      </border>
    </dxf>
    <dxf>
      <font>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color theme="0"/>
      </font>
    </dxf>
    <dxf>
      <border>
        <left style="thin">
          <color theme="4" tint="-0.249977111117893"/>
        </left>
        <right style="thin">
          <color theme="4" tint="-0.249977111117893"/>
        </right>
      </border>
    </dxf>
    <dxf>
      <border>
        <left style="thin">
          <color auto="1"/>
        </left>
        <right style="thin">
          <color auto="1"/>
        </right>
        <top style="thin">
          <color auto="1"/>
        </top>
        <bottom style="thin">
          <color auto="1"/>
        </bottom>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4" tint="-0.249977111117893"/>
        </patternFill>
      </fill>
      <border>
        <horizontal style="thin">
          <color theme="4" tint="-0.249977111117893"/>
        </horizontal>
      </border>
    </dxf>
    <dxf>
      <font>
        <color theme="1"/>
      </font>
      <border>
        <left style="thin">
          <color theme="3"/>
        </left>
        <right style="thin">
          <color theme="3"/>
        </right>
        <top style="thin">
          <color theme="3"/>
        </top>
        <bottom style="thin">
          <color theme="3"/>
        </bottom>
        <vertical/>
        <horizontal/>
      </border>
    </dxf>
  </dxfs>
  <tableStyles count="2" defaultTableStyle="TableStyleMedium2" defaultPivotStyle="PivotStyleMedium2 -Custom">
    <tableStyle name="PivotStyleMedium2 -Custom" table="0" count="14" xr9:uid="{6FC71C1B-2E7C-4828-AFE4-0F3E1C394FBD}">
      <tableStyleElement type="wholeTable" dxfId="20"/>
      <tableStyleElement type="headerRow" dxfId="19"/>
      <tableStyleElement type="totalRow" dxfId="18"/>
      <tableStyleElement type="firstRowStripe" dxfId="17"/>
      <tableStyleElement type="secondRowStripe" dxfId="16"/>
      <tableStyleElement type="firstColumnStripe" dxfId="15"/>
      <tableStyleElement type="firstHeaderCell" dxfId="14"/>
      <tableStyleElement type="firstSubtotalRow" dxfId="13"/>
      <tableStyleElement type="secondSubtotalRow" dxfId="12"/>
      <tableStyleElement type="firstColumnSubheading" dxfId="11"/>
      <tableStyleElement type="firstRowSubheading" dxfId="10"/>
      <tableStyleElement type="secondRowSubheading" dxfId="9"/>
      <tableStyleElement type="pageFieldLabels" dxfId="8"/>
      <tableStyleElement type="pageFieldValues" dxfId="7"/>
    </tableStyle>
    <tableStyle name="PivotTable Style 1" table="0" count="7" xr9:uid="{0482C3F7-FB22-4839-BAE6-EC40BD363CB9}">
      <tableStyleElement type="wholeTable" dxfId="6"/>
      <tableStyleElement type="headerRow" dxfId="5"/>
      <tableStyleElement type="firstColumn" dxfId="4"/>
      <tableStyleElement type="firstRowStripe" dxfId="3"/>
      <tableStyleElement type="secondRowStripe" dxfId="2"/>
      <tableStyleElement type="secondColumnStripe" dxfId="1"/>
      <tableStyleElement type="secondColumnSubheading"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6.xml"/><Relationship Id="rId39" Type="http://schemas.openxmlformats.org/officeDocument/2006/relationships/connections" Target="connections.xml"/><Relationship Id="rId21" Type="http://schemas.openxmlformats.org/officeDocument/2006/relationships/pivotCacheDefinition" Target="pivotCache/pivotCacheDefinition1.xml"/><Relationship Id="rId34" Type="http://schemas.openxmlformats.org/officeDocument/2006/relationships/pivotCacheDefinition" Target="pivotCache/pivotCacheDefinition1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pivotCacheDefinition" Target="pivotCache/pivotCacheDefinition12.xml"/><Relationship Id="rId37" Type="http://schemas.openxmlformats.org/officeDocument/2006/relationships/pivotCacheDefinition" Target="pivotCache/pivotCacheDefinition17.xml"/><Relationship Id="rId40" Type="http://schemas.openxmlformats.org/officeDocument/2006/relationships/styles" Target="styles.xml"/><Relationship Id="rId45"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pivotCacheDefinition" Target="pivotCache/pivotCacheDefinition8.xml"/><Relationship Id="rId36" Type="http://schemas.openxmlformats.org/officeDocument/2006/relationships/pivotCacheDefinition" Target="pivotCache/pivotCacheDefinition1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7.xml"/><Relationship Id="rId30" Type="http://schemas.openxmlformats.org/officeDocument/2006/relationships/pivotCacheDefinition" Target="pivotCache/pivotCacheDefinition10.xml"/><Relationship Id="rId35" Type="http://schemas.openxmlformats.org/officeDocument/2006/relationships/pivotCacheDefinition" Target="pivotCache/pivotCacheDefinition1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openxmlformats.org/officeDocument/2006/relationships/pivotCacheDefinition" Target="pivotCache/pivotCacheDefinition13.xml"/><Relationship Id="rId38" Type="http://schemas.openxmlformats.org/officeDocument/2006/relationships/theme" Target="theme/theme1.xml"/><Relationship Id="rId46" Type="http://schemas.openxmlformats.org/officeDocument/2006/relationships/customXml" Target="../customXml/item5.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123825</xdr:colOff>
      <xdr:row>33</xdr:row>
      <xdr:rowOff>123825</xdr:rowOff>
    </xdr:from>
    <xdr:to>
      <xdr:col>9</xdr:col>
      <xdr:colOff>473710</xdr:colOff>
      <xdr:row>47</xdr:row>
      <xdr:rowOff>71755</xdr:rowOff>
    </xdr:to>
    <xdr:pic>
      <xdr:nvPicPr>
        <xdr:cNvPr id="2" name="Picture 1">
          <a:extLst>
            <a:ext uri="{FF2B5EF4-FFF2-40B4-BE49-F238E27FC236}">
              <a16:creationId xmlns:a16="http://schemas.microsoft.com/office/drawing/2014/main" id="{D89FD185-6E24-4920-9402-1457834D5710}"/>
            </a:ext>
          </a:extLst>
        </xdr:cNvPr>
        <xdr:cNvPicPr>
          <a:picLocks noChangeAspect="1"/>
        </xdr:cNvPicPr>
      </xdr:nvPicPr>
      <xdr:blipFill>
        <a:blip xmlns:r="http://schemas.openxmlformats.org/officeDocument/2006/relationships" r:embed="rId1"/>
        <a:stretch>
          <a:fillRect/>
        </a:stretch>
      </xdr:blipFill>
      <xdr:spPr>
        <a:xfrm>
          <a:off x="2905125" y="6486525"/>
          <a:ext cx="5731510" cy="261493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79825925923" backgroundQuery="1" createdVersion="8" refreshedVersion="8" minRefreshableVersion="3" recordCount="0" supportSubquery="1" supportAdvancedDrill="1" xr:uid="{7DDFF86B-C3C1-4F2E-A210-167DBF4179DD}">
  <cacheSource type="external" connectionId="1"/>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Region: Urban/Rural].[Region: Urban/Rural]" caption="Region: Urban/Rural" numFmtId="0" hierarchy="22" level="1">
      <sharedItems count="7">
        <s v="Large urban area"/>
        <s v="Major urban area"/>
        <s v="Medium urban area"/>
        <s v="Rural other"/>
        <s v="Rural settlement"/>
        <s v="Small urban area"/>
        <s v="Not Applicable"/>
      </sharedItems>
    </cacheField>
    <cacheField name="[Measures].[Sum of Teacher: FTTE]" caption="Sum of Teacher: FTTE" numFmtId="0" hierarchy="48" level="32767"/>
    <cacheField name="[Teacher_Numbers].[School: Sector].[School: Sector]" caption="School: Sector" numFmtId="0" hierarchy="15" level="1">
      <sharedItems count="3">
        <s v="Primary"/>
        <s v="Secondary"/>
        <s v="Total"/>
      </sharedItems>
    </cacheField>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3"/>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2" memberValueDatatype="130" unbalanced="0">
      <fieldsUsage count="2">
        <fieldUsage x="-1"/>
        <fieldUsage x="1"/>
      </fieldsUsage>
    </cacheHierarchy>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2"/>
      </fieldsUsage>
    </cacheHierarchy>
    <cacheHierarchy uniqueName="[Measures].[Sum of Teacher: FTTE 2]" caption="Sum of Teacher: FTTE 2" measure="1" displayFolder="" measureGroup="Teacher_Numbers_EG" count="0" hidden="1"/>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79829050925" backgroundQuery="1" createdVersion="8" refreshedVersion="8" minRefreshableVersion="3" recordCount="0" supportSubquery="1" supportAdvancedDrill="1" xr:uid="{1118FCE6-8439-4B56-950E-DFEAE6027DF3}">
  <cacheSource type="external" connectionId="1"/>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Education Region].[Region: Education Region]" caption="Region: Education Region" numFmtId="0" hierarchy="26" level="1">
      <sharedItems count="12">
        <s v="Bay of Plenty/Waiariki"/>
        <s v="Canterbury/Chatham Islands"/>
        <s v="Hawke's Bay/Tairāwhiti"/>
        <s v="Nelson/Marlborough/West Coast"/>
        <s v="Otago/Southland"/>
        <s v="Tai Tokerau"/>
        <s v="Tāmaki Herenga Manawa"/>
        <s v="Tāmaki Herenga Tāngata"/>
        <s v="Tāmaki Herenga Waka"/>
        <s v="Taranaki/Whanganui/Manawatū"/>
        <s v="Waikato"/>
        <s v="Wellington"/>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2" memberValueDatatype="130" unbalanced="0">
      <fieldsUsage count="2">
        <fieldUsage x="-1"/>
        <fieldUsage x="2"/>
      </fieldsUsage>
    </cacheHierarchy>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cacheHierarchy>
    <cacheHierarchy uniqueName="[Measures].[Sum of Teacher: FTTE 2]" caption="Sum of Teacher: FTTE 2" measure="1" displayFolder="" measureGroup="Teacher_Numbers_EG" count="0" hidden="1"/>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79830208333" backgroundQuery="1" createdVersion="8" refreshedVersion="8" minRefreshableVersion="3" recordCount="0" supportSubquery="1" supportAdvancedDrill="1" xr:uid="{36289E7B-34F2-4A6E-BD9E-DAB36D8BC883}">
  <cacheSource type="external" connectionId="1"/>
  <cacheFields count="4">
    <cacheField name="[Teacher_Numbers].[Total_Response_Ethnicity].[Total_Response_Ethnicity]" caption="Total_Response_Ethnicity" numFmtId="0" hierarchy="8" level="1">
      <sharedItems containsSemiMixedTypes="0" containsNonDate="0" containsString="0"/>
    </cacheField>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1"/>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2" memberValueDatatype="130" unbalanced="0">
      <fieldsUsage count="2">
        <fieldUsage x="-1"/>
        <fieldUsage x="0"/>
      </fieldsUsage>
    </cacheHierarchy>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cacheHierarchy>
    <cacheHierarchy uniqueName="[Measures].[Sum of Teacher: FTTE 2]" caption="Sum of Teacher: FTTE 2" measure="1" displayFolder="" measureGroup="Teacher_Numbers_EG" count="0" hidden="1"/>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79831597219" backgroundQuery="1" createdVersion="8" refreshedVersion="8" minRefreshableVersion="3" recordCount="0" supportSubquery="1" supportAdvancedDrill="1" xr:uid="{571CC562-ECC2-4945-9C5C-E3FA32E7E69A}">
  <cacheSource type="external" connectionId="1"/>
  <cacheFields count="5">
    <cacheField name="[Teacher_Numbers].[Total_Response_Ethnicity].[Total_Response_Ethnicity]" caption="Total_Response_Ethnicity" numFmtId="0" hierarchy="8" level="1">
      <sharedItems containsSemiMixedTypes="0" containsNonDate="0" containsString="0"/>
    </cacheField>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 name="[Teacher_Numbers].[Teacher: Designation].[Teacher: Designation]" caption="Teacher: Designation" numFmtId="0" hierarchy="11" level="1">
      <sharedItems count="10">
        <s v="Cluster Manager RTLB"/>
        <s v="Principal"/>
        <s v="Teacher"/>
        <s v="Teacher - Learning Support"/>
        <s v="Teacher - Resr Hearing Imp"/>
        <s v="Teacher - Resr Learning Behvr"/>
        <s v="Teacher - Resr Literacy"/>
        <s v="Teacher - Resr Maori"/>
        <s v="Teacher - Resr Visually Imp"/>
        <s v="Teacher - Te Atakura"/>
      </sharedItems>
    </cacheField>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1"/>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2" memberValueDatatype="130" unbalanced="0">
      <fieldsUsage count="2">
        <fieldUsage x="-1"/>
        <fieldUsage x="0"/>
      </fieldsUsage>
    </cacheHierarchy>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2" memberValueDatatype="130" unbalanced="0">
      <fieldsUsage count="2">
        <fieldUsage x="-1"/>
        <fieldUsage x="4"/>
      </fieldsUsage>
    </cacheHierarchy>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cacheHierarchy>
    <cacheHierarchy uniqueName="[Measures].[Sum of Teacher: FTTE 2]" caption="Sum of Teacher: FTTE 2" measure="1" displayFolder="" measureGroup="Teacher_Numbers_EG" count="0" hidden="1"/>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79833101851" backgroundQuery="1" createdVersion="8" refreshedVersion="8" minRefreshableVersion="3" recordCount="0" supportSubquery="1" supportAdvancedDrill="1" xr:uid="{011E7088-8E35-4B2E-8AB5-75E24EA24452}">
  <cacheSource type="external" connectionId="1"/>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Teacher: Fixed/Permanent/DayRelief].[Teacher: Fixed/Permanent/DayRelief]" caption="Teacher: Fixed/Permanent/DayRelief" numFmtId="0" hierarchy="13" level="1">
      <sharedItems count="3">
        <s v="Day Relief"/>
        <s v="Fixed"/>
        <s v="Permanent"/>
      </sharedItems>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2" memberValueDatatype="130" unbalanced="0">
      <fieldsUsage count="2">
        <fieldUsage x="-1"/>
        <fieldUsage x="1"/>
      </fieldsUsage>
    </cacheHierarchy>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cacheHierarchy>
    <cacheHierarchy uniqueName="[Measures].[Sum of Teacher: FTTE 2]" caption="Sum of Teacher: FTTE 2" measure="1" displayFolder="" measureGroup="Teacher_Numbers_EG" count="0" hidden="1"/>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79834143521" backgroundQuery="1" createdVersion="8" refreshedVersion="8" minRefreshableVersion="3" recordCount="0" supportSubquery="1" supportAdvancedDrill="1" xr:uid="{7C9FFE57-18DD-4D5D-A065-94FAAB48456A}">
  <cacheSource type="external" connectionId="1"/>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Teacher: Full/Part Time].[Teacher: Full/Part Time]" caption="Teacher: Full/Part Time" numFmtId="0" hierarchy="12" level="1">
      <sharedItems count="3">
        <s v="Day Relief"/>
        <s v="Full Time"/>
        <s v="Part Time"/>
      </sharedItems>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2" memberValueDatatype="130" unbalanced="0">
      <fieldsUsage count="2">
        <fieldUsage x="-1"/>
        <fieldUsage x="1"/>
      </fieldsUsage>
    </cacheHierarchy>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cacheHierarchy>
    <cacheHierarchy uniqueName="[Measures].[Sum of Teacher: FTTE 2]" caption="Sum of Teacher: FTTE 2" measure="1" displayFolder="" measureGroup="Teacher_Numbers_EG" count="0" hidden="1"/>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79835995368" backgroundQuery="1" createdVersion="8" refreshedVersion="8" minRefreshableVersion="3" recordCount="0" supportSubquery="1" supportAdvancedDrill="1" xr:uid="{6A44843C-A4B9-4B80-9405-4054B6F1C4B3}">
  <cacheSource type="external" connectionId="1"/>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Teacher: Age Group (10 year bands)].[Teacher: Age Group (10 year bands)]" caption="Teacher: Age Group (10 year bands)" numFmtId="0" hierarchy="9" level="1">
      <sharedItems count="8">
        <s v="20-24"/>
        <s v="25-34"/>
        <s v="35-44"/>
        <s v="45-54"/>
        <s v="55-64"/>
        <s v="65-74"/>
        <s v="75-84"/>
        <s v="Unknown"/>
      </sharedItems>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2" memberValueDatatype="130" unbalanced="0">
      <fieldsUsage count="2">
        <fieldUsage x="-1"/>
        <fieldUsage x="1"/>
      </fieldsUsage>
    </cacheHierarchy>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cacheHierarchy>
    <cacheHierarchy uniqueName="[Measures].[Sum of Teacher: FTTE 2]" caption="Sum of Teacher: FTTE 2" measure="1" displayFolder="" measureGroup="Teacher_Numbers_EG" count="0" hidden="1"/>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79837152777" backgroundQuery="1" createdVersion="8" refreshedVersion="8" minRefreshableVersion="3" recordCount="0" supportSubquery="1" supportAdvancedDrill="1" xr:uid="{B83034ED-7EE7-4739-88D7-0916A5A2BFF3}">
  <cacheSource type="external" connectionId="1"/>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Teacher: Gender].[Teacher: Gender]" caption="Teacher: Gender" numFmtId="0" hierarchy="10" level="1">
      <sharedItems count="3">
        <s v="Female"/>
        <s v="Male"/>
        <s v="Not Stated/Another Gender"/>
      </sharedItems>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2" memberValueDatatype="130" unbalanced="0">
      <fieldsUsage count="2">
        <fieldUsage x="-1"/>
        <fieldUsage x="1"/>
      </fieldsUsage>
    </cacheHierarchy>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cacheHierarchy>
    <cacheHierarchy uniqueName="[Measures].[Sum of Teacher: FTTE 2]" caption="Sum of Teacher: FTTE 2" measure="1" displayFolder="" measureGroup="Teacher_Numbers_EG" count="0" hidden="1"/>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79840393517" backgroundQuery="1" createdVersion="8" refreshedVersion="8" minRefreshableVersion="3" recordCount="0" supportSubquery="1" supportAdvancedDrill="1" xr:uid="{5BBDAD3D-5AED-447D-AFA7-565299FFBCE3}">
  <cacheSource type="external" connectionId="1"/>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School: Decile].[School: Decile]" caption="School: Decile" numFmtId="0" hierarchy="19" level="1">
      <sharedItems count="11">
        <s v="Decile 01"/>
        <s v="Decile 02"/>
        <s v="Decile 03"/>
        <s v="Decile 04"/>
        <s v="Decile 05"/>
        <s v="Decile 06"/>
        <s v="Decile 07"/>
        <s v="Decile 08"/>
        <s v="Decile 09"/>
        <s v="Decile 10"/>
        <s v="Not Applicable/Unknown"/>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2" memberValueDatatype="130" unbalanced="0">
      <fieldsUsage count="2">
        <fieldUsage x="-1"/>
        <fieldUsage x="2"/>
      </fieldsUsage>
    </cacheHierarchy>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cacheHierarchy>
    <cacheHierarchy uniqueName="[Measures].[Sum of Teacher: FTTE 2]" caption="Sum of Teacher: FTTE 2" measure="1" displayFolder="" measureGroup="Teacher_Numbers_EG" count="0" hidden="1"/>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79843171296" backgroundQuery="1" createdVersion="8" refreshedVersion="8" minRefreshableVersion="3" recordCount="0" supportSubquery="1" supportAdvancedDrill="1" xr:uid="{B0B643E5-FB44-4499-A057-44CE681B9F77}">
  <cacheSource type="external" connectionId="1"/>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School: EQI Band Name].[School: EQI Band Name]" caption="School: EQI Band Name" numFmtId="0" hierarchy="16" level="1">
      <sharedItems count="8">
        <s v="Fewest"/>
        <s v="Few"/>
        <s v="Below Average"/>
        <s v="Average"/>
        <s v="Above Average"/>
        <s v="Many"/>
        <s v="Most"/>
        <s v="Unassigned"/>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2" memberValueDatatype="130" unbalanced="0">
      <fieldsUsage count="2">
        <fieldUsage x="-1"/>
        <fieldUsage x="2"/>
      </fieldsUsage>
    </cacheHierarchy>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cacheHierarchy>
    <cacheHierarchy uniqueName="[Measures].[Sum of Teacher: FTTE 2]" caption="Sum of Teacher: FTTE 2" measure="1" displayFolder="" measureGroup="Teacher_Numbers_EG" count="0" hidden="1"/>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79844328704" backgroundQuery="1" createdVersion="8" refreshedVersion="8" minRefreshableVersion="3" recordCount="0" supportSubquery="1" supportAdvancedDrill="1" xr:uid="{B2D4FD24-40B5-4313-8D5C-F57C9DDAE2A8}">
  <cacheSource type="external" connectionId="1"/>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Territorial Authority-Local Board].[Region: Territorial Authority-Local Board]" caption="Region: Territorial Authority-Local Board" numFmtId="0" hierarchy="25" level="1">
      <sharedItems count="88">
        <s v="Far North District"/>
        <s v="Whangarei District"/>
        <s v="Kaipara District"/>
        <s v="Auckland - Waiheke"/>
        <s v="Auckland - Albert-Eden"/>
        <s v="Auckland - Waitākere Ranges"/>
        <s v="Auckland - Māngere-Ōtāhuhu"/>
        <s v="Auckland - Devonport-Takapuna"/>
        <s v="Auckland - Ōrākei"/>
        <s v="Auckland - Franklin"/>
        <s v="Auckland - Upper Harbour"/>
        <s v="Auckland - Howick"/>
        <s v="Auckland - Kaipātiki"/>
        <s v="Auckland - Manurewa"/>
        <s v="Auckland - Maungakiekie-Tāmaki"/>
        <s v="Auckland - Ōtara-Papatoetoe"/>
        <s v="Auckland - Henderson-Massey"/>
        <s v="Auckland - Whau"/>
        <s v="Auckland - Puketāpapa"/>
        <s v="Auckland - Papakura"/>
        <s v="Auckland - Rodney"/>
        <s v="Auckland - Waitematā"/>
        <s v="Auckland - Aotea/Great Barrier"/>
        <s v="Auckland - Hibiscus and Bays"/>
        <s v="Thames-Coromandel District"/>
        <s v="Hauraki District"/>
        <s v="Waikato District"/>
        <s v="Matamata-Piako District"/>
        <s v="Hamilton City"/>
        <s v="Waipa District"/>
        <s v="Ōtorohanga District"/>
        <s v="South Waikato District"/>
        <s v="Waitomo District"/>
        <s v="Taupo District"/>
        <s v="Western Bay of Plenty District"/>
        <s v="Tauranga City"/>
        <s v="Rotorua District"/>
        <s v="Whakatane District"/>
        <s v="Kawerau District"/>
        <s v="Ōpōtiki District"/>
        <s v="Gisborne District"/>
        <s v="Wairoa District"/>
        <s v="Hastings District"/>
        <s v="Napier City"/>
        <s v="Central Hawke's Bay District"/>
        <s v="New Plymouth District"/>
        <s v="Stratford District"/>
        <s v="South Taranaki District"/>
        <s v="Ruapehu District"/>
        <s v="Whanganui District"/>
        <s v="Rangitikei District"/>
        <s v="Manawatu District"/>
        <s v="Palmerston North City"/>
        <s v="Tararua District"/>
        <s v="Horowhenua District"/>
        <s v="Kapiti Coast District"/>
        <s v="Porirua City"/>
        <s v="Upper Hutt City"/>
        <s v="Lower Hutt City"/>
        <s v="Wellington City"/>
        <s v="Masterton District"/>
        <s v="Carterton District"/>
        <s v="South Wairarapa District"/>
        <s v="Tasman District"/>
        <s v="Nelson City"/>
        <s v="Marlborough District"/>
        <s v="Kaikoura District"/>
        <s v="Buller District"/>
        <s v="Grey District"/>
        <s v="Westland District"/>
        <s v="Hurunui District"/>
        <s v="Waimakariri District"/>
        <s v="Christchurch City"/>
        <s v="Selwyn District"/>
        <s v="Ashburton District"/>
        <s v="Timaru District"/>
        <s v="Mackenzie District"/>
        <s v="Waimate District"/>
        <s v="Chatham Islands Territory"/>
        <s v="Waitaki District"/>
        <s v="Central Otago District"/>
        <s v="Queenstown-Lakes District"/>
        <s v="Dunedin City"/>
        <s v="Clutha District"/>
        <s v="Southland District"/>
        <s v="Gore District"/>
        <s v="Invercargill City"/>
        <s v="Not Applicable"/>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2" memberValueDatatype="130" unbalanced="0">
      <fieldsUsage count="2">
        <fieldUsage x="-1"/>
        <fieldUsage x="2"/>
      </fieldsUsage>
    </cacheHierarchy>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cacheHierarchy>
    <cacheHierarchy uniqueName="[Measures].[Sum of Teacher: FTTE 2]" caption="Sum of Teacher: FTTE 2" measure="1" displayFolder="" measureGroup="Teacher_Numbers_EG" count="0" hidden="1"/>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79845486113" backgroundQuery="1" createdVersion="8" refreshedVersion="8" minRefreshableVersion="3" recordCount="0" supportSubquery="1" supportAdvancedDrill="1" xr:uid="{A87C6E11-5251-4DF9-82BD-E48B43D600C6}">
  <cacheSource type="external" connectionId="1"/>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Regional Council].[Region: Regional Council]" caption="Region: Regional Council" numFmtId="0" hierarchy="23" level="1">
      <sharedItems count="18">
        <s v="Northland Region"/>
        <s v="Auckland Region"/>
        <s v="Waikato Region"/>
        <s v="Bay of Plenty Region"/>
        <s v="Gisborne Region"/>
        <s v="Hawke's Bay Region"/>
        <s v="Taranaki Region"/>
        <s v="Manawatū-Whanganui Region"/>
        <s v="Wellington Region"/>
        <s v="Tasman Region"/>
        <s v="Nelson Region"/>
        <s v="Marlborough Region"/>
        <s v="West Coast Region"/>
        <s v="Canterbury Region"/>
        <s v="Otago Region"/>
        <s v="Southland Region"/>
        <s v="Chatham Is. County"/>
        <s v="Not Applicable"/>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2" memberValueDatatype="130" unbalanced="0">
      <fieldsUsage count="2">
        <fieldUsage x="-1"/>
        <fieldUsage x="2"/>
      </fieldsUsage>
    </cacheHierarchy>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cacheHierarchy>
    <cacheHierarchy uniqueName="[Measures].[Sum of Teacher: FTTE 2]" caption="Sum of Teacher: FTTE 2" measure="1" displayFolder="" measureGroup="Teacher_Numbers_EG" count="0" hidden="1"/>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79847106483" backgroundQuery="1" createdVersion="8" refreshedVersion="8" minRefreshableVersion="3" recordCount="0" supportSubquery="1" supportAdvancedDrill="1" xr:uid="{0CBB49E2-1A44-4F82-88EE-097E2E57402F}">
  <cacheSource type="external" connectionId="1"/>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Te Mahau Takiwa].[Region: Te Mahau Takiwa]" caption="Region: Te Mahau Takiwa" numFmtId="0" hierarchy="27" level="1">
      <sharedItems count="3">
        <s v="Te Tai Raro (North)"/>
        <s v="Te Tai Runga (South)"/>
        <s v="Te Tai Whenua (Central)"/>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2" memberValueDatatype="130" unbalanced="0">
      <fieldsUsage count="2">
        <fieldUsage x="-1"/>
        <fieldUsage x="2"/>
      </fieldsUsage>
    </cacheHierarchy>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cacheHierarchy>
    <cacheHierarchy uniqueName="[Measures].[Sum of Teacher: FTTE 2]" caption="Sum of Teacher: FTTE 2" measure="1" displayFolder="" measureGroup="Teacher_Numbers_EG" count="0" hidden="1"/>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79848148146" backgroundQuery="1" createdVersion="8" refreshedVersion="8" minRefreshableVersion="3" recordCount="0" supportSubquery="1" supportAdvancedDrill="1" xr:uid="{788CCE25-560F-4F34-866B-FD1005DD1237}">
  <cacheSource type="external" connectionId="1"/>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 name="[Teacher_Numbers].[School: EQI Group Name].[School: EQI Group Name]" caption="School: EQI Group Name" numFmtId="0" hierarchy="17" level="1">
      <sharedItems count="4">
        <s v="Fewer"/>
        <s v="Moderate"/>
        <s v="More"/>
        <s v="Unassigned"/>
      </sharedItems>
    </cacheField>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2" memberValueDatatype="130" unbalanced="0">
      <fieldsUsage count="2">
        <fieldUsage x="-1"/>
        <fieldUsage x="3"/>
      </fieldsUsage>
    </cacheHierarchy>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2"/>
      </fieldsUsage>
    </cacheHierarchy>
    <cacheHierarchy uniqueName="[Measures].[Sum of Teacher: FTTE 2]" caption="Sum of Teacher: FTTE 2" measure="1" displayFolder="" measureGroup="Teacher_Numbers_EG" count="0" hidden="1"/>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683716319443" backgroundQuery="1" createdVersion="8" refreshedVersion="8" minRefreshableVersion="3" recordCount="0" supportSubquery="1" supportAdvancedDrill="1" xr:uid="{9DD499F5-9F34-4951-98AF-1E9EA2BE7B66}">
  <cacheSource type="external" connectionId="1"/>
  <cacheFields count="4">
    <cacheField name="[Teacher_Numbers_EG].[year].[year]" caption="year" numFmtId="0" hierarchy="33"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_EG].[year].&amp;[2014]"/>
            <x15:cachedUniqueName index="1" name="[Teacher_Numbers_EG].[year].&amp;[2015]"/>
            <x15:cachedUniqueName index="2" name="[Teacher_Numbers_EG].[year].&amp;[2016]"/>
            <x15:cachedUniqueName index="3" name="[Teacher_Numbers_EG].[year].&amp;[2017]"/>
            <x15:cachedUniqueName index="4" name="[Teacher_Numbers_EG].[year].&amp;[2018]"/>
            <x15:cachedUniqueName index="5" name="[Teacher_Numbers_EG].[year].&amp;[2019]"/>
            <x15:cachedUniqueName index="6" name="[Teacher_Numbers_EG].[year].&amp;[2020]"/>
            <x15:cachedUniqueName index="7" name="[Teacher_Numbers_EG].[year].&amp;[2021]"/>
            <x15:cachedUniqueName index="8" name="[Teacher_Numbers_EG].[year].&amp;[2022]"/>
            <x15:cachedUniqueName index="9" name="[Teacher_Numbers_EG].[year].&amp;[2023]"/>
            <x15:cachedUniqueName index="10" name="[Teacher_Numbers_EG].[year].&amp;[2024]"/>
            <x15:cachedUniqueName index="11" name="[Teacher_Numbers_EG].[year].&amp;[2025]"/>
          </x15:cachedUniqueNames>
        </ext>
      </extLst>
    </cacheField>
    <cacheField name="[Teacher_Numbers_EG].[Total_Response_Ethnicity].[Total_Response_Ethnicity]" caption="Total_Response_Ethnicity" numFmtId="0" hierarchy="35" level="1">
      <sharedItems count="8">
        <s v="Asian"/>
        <s v="European/Pākehā"/>
        <s v="Māori"/>
        <s v="MELAA"/>
        <s v="No Response"/>
        <s v="Other"/>
        <s v="Pacific"/>
        <s v="Total"/>
      </sharedItems>
    </cacheField>
    <cacheField name="[Measures].[Sum of Teacher: FTTE 2]" caption="Sum of Teacher: FTTE 2" numFmtId="0" hierarchy="49" level="32767"/>
    <cacheField name="[Teacher_Numbers_EG].[School: Sector].[School: Sector]" caption="School: Sector" numFmtId="0" hierarchy="36" level="1">
      <sharedItems count="3">
        <s v="Primary"/>
        <s v="Secondary"/>
        <s v="Total"/>
      </sharedItems>
    </cacheField>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0" memberValueDatatype="20" unbalanced="0"/>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0" memberValueDatatype="130" unbalanced="0"/>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2" memberValueDatatype="20" unbalanced="0">
      <fieldsUsage count="2">
        <fieldUsage x="-1"/>
        <fieldUsage x="0"/>
      </fieldsUsage>
    </cacheHierarchy>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2" memberValueDatatype="130" unbalanced="0">
      <fieldsUsage count="2">
        <fieldUsage x="-1"/>
        <fieldUsage x="1"/>
      </fieldsUsage>
    </cacheHierarchy>
    <cacheHierarchy uniqueName="[Teacher_Numbers_EG].[School: Sector]" caption="School: Sector" attribute="1" defaultMemberUniqueName="[Teacher_Numbers_EG].[School: Sector].[All]" allUniqueName="[Teacher_Numbers_EG].[School: Sector].[All]" dimensionUniqueName="[Teacher_Numbers_EG]" displayFolder="" count="2" memberValueDatatype="130" unbalanced="0">
      <fieldsUsage count="2">
        <fieldUsage x="-1"/>
        <fieldUsage x="3"/>
      </fieldsUsage>
    </cacheHierarchy>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hidden="1"/>
    <cacheHierarchy uniqueName="[Measures].[Sum of Teacher: FTTE 2]" caption="Sum of Teacher: FTTE 2" measure="1" displayFolder="" measureGroup="Teacher_Numbers_EG" count="0" oneField="1" hidden="1">
      <fieldsUsage count="1">
        <fieldUsage x="2"/>
      </fieldsUsage>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595621643515" backgroundQuery="1" createdVersion="8" refreshedVersion="8" minRefreshableVersion="3" recordCount="0" supportSubquery="1" supportAdvancedDrill="1" xr:uid="{A7B2DD3D-6B22-4203-B3B2-8FDB5ED1D480}">
  <cacheSource type="external" connectionId="1"/>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School: Decile Group].[School: Decile Group]" caption="School: Decile Group" numFmtId="0" hierarchy="18" level="1">
      <sharedItems count="4">
        <s v="High"/>
        <s v="Low"/>
        <s v="Medium"/>
        <s v="Not Applicable/Unknown"/>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2" memberValueDatatype="130" unbalanced="0">
      <fieldsUsage count="2">
        <fieldUsage x="-1"/>
        <fieldUsage x="2"/>
      </fieldsUsage>
    </cacheHierarchy>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cacheHierarchy>
    <cacheHierarchy uniqueName="[Measures].[Sum of Teacher: FTTE 2]" caption="Sum of Teacher: FTTE 2" measure="1" displayFolder="" measureGroup="Teacher_Numbers_EG" count="0" hidden="1"/>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596405555552" backgroundQuery="1" createdVersion="8" refreshedVersion="8" minRefreshableVersion="3" recordCount="0" supportSubquery="1" supportAdvancedDrill="1" xr:uid="{436F8C2C-8ABB-4C5E-A104-DC85BF50AF54}">
  <cacheSource type="external" connectionId="1"/>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 name="[Teacher_Numbers].[School: Type].[School: Type]" caption="School: Type" numFmtId="0" hierarchy="14" level="1">
      <sharedItems count="7">
        <s v="Contributing"/>
        <s v="Full Primary"/>
        <s v="Intermediate"/>
        <s v="Specialist School"/>
        <s v="Composite"/>
        <s v="Correspondence School"/>
        <s v="Secondary"/>
      </sharedItems>
    </cacheField>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2" memberValueDatatype="130" unbalanced="0">
      <fieldsUsage count="2">
        <fieldUsage x="-1"/>
        <fieldUsage x="3"/>
      </fieldsUsage>
    </cacheHierarchy>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2"/>
      </fieldsUsage>
    </cacheHierarchy>
    <cacheHierarchy uniqueName="[Measures].[Sum of Teacher: FTTE 2]" caption="Sum of Teacher: FTTE 2" measure="1" displayFolder="" measureGroup="Teacher_Numbers_EG" count="0" hidden="1"/>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239478-74F6-4578-8504-B9A932129E64}" name="PivotTable8" cacheId="2" applyNumberFormats="0" applyBorderFormats="0" applyFontFormats="0" applyPatternFormats="0" applyAlignmentFormats="0" applyWidthHeightFormats="1" dataCaption="Values" showError="1" tag="9bee4118-9137-41e6-bf80-c022da8b8714"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M8" firstHeaderRow="1" firstDataRow="2" firstDataCol="1"/>
  <pivotFields count="4">
    <pivotField compact="0" allDrilled="1" outline="0" subtotalTop="0" showAll="0" dataSourceSort="1" defaultSubtotal="0" defaultAttributeDrillState="1"/>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1">
    <field x="2"/>
  </rowFields>
  <rowItems count="3">
    <i>
      <x/>
    </i>
    <i>
      <x v="1"/>
    </i>
    <i>
      <x v="2"/>
    </i>
  </rowItems>
  <colFields count="1">
    <field x="1"/>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acher_Numbers].[Total_Response_Ethnicity].&amp;[Tot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1">
    <rowHierarchyUsage hierarchyUsage="1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B132B5-2545-4BB0-BB01-0D82412DADFD}" name="PivotTable8" cacheId="3" applyNumberFormats="0" applyBorderFormats="0" applyFontFormats="0" applyPatternFormats="0" applyAlignmentFormats="0" applyWidthHeightFormats="1" dataCaption="Values" showError="1" tag="e281806a-2f86-4ab8-8c3e-27530895f508"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N35" firstHeaderRow="1" firstDataRow="2" firstDataCol="2"/>
  <pivotFields count="5">
    <pivotField compact="0" allDrilled="1" outline="0" subtotalTop="0" showAll="0" dataSourceSort="1" defaultSubtotal="0" defaultAttributeDrillState="1"/>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Row" compact="0" allDrilled="1" outline="0" subtotalTop="0" showAll="0" dataSourceSort="1" defaultSubtotal="0" defaultAttributeDrillState="1">
      <items count="10">
        <item x="0"/>
        <item x="1"/>
        <item x="2"/>
        <item x="3"/>
        <item x="4"/>
        <item x="5"/>
        <item x="6"/>
        <item x="7"/>
        <item x="8"/>
        <item x="9"/>
      </items>
    </pivotField>
  </pivotFields>
  <rowFields count="2">
    <field x="2"/>
    <field x="4"/>
  </rowFields>
  <rowItems count="30">
    <i>
      <x/>
      <x/>
    </i>
    <i r="1">
      <x v="1"/>
    </i>
    <i r="1">
      <x v="2"/>
    </i>
    <i r="1">
      <x v="3"/>
    </i>
    <i r="1">
      <x v="4"/>
    </i>
    <i r="1">
      <x v="5"/>
    </i>
    <i r="1">
      <x v="6"/>
    </i>
    <i r="1">
      <x v="7"/>
    </i>
    <i r="1">
      <x v="8"/>
    </i>
    <i r="1">
      <x v="9"/>
    </i>
    <i>
      <x v="1"/>
      <x/>
    </i>
    <i r="1">
      <x v="1"/>
    </i>
    <i r="1">
      <x v="2"/>
    </i>
    <i r="1">
      <x v="3"/>
    </i>
    <i r="1">
      <x v="4"/>
    </i>
    <i r="1">
      <x v="5"/>
    </i>
    <i r="1">
      <x v="6"/>
    </i>
    <i r="1">
      <x v="7"/>
    </i>
    <i r="1">
      <x v="8"/>
    </i>
    <i r="1">
      <x v="9"/>
    </i>
    <i>
      <x v="2"/>
      <x/>
    </i>
    <i r="1">
      <x v="1"/>
    </i>
    <i r="1">
      <x v="2"/>
    </i>
    <i r="1">
      <x v="3"/>
    </i>
    <i r="1">
      <x v="4"/>
    </i>
    <i r="1">
      <x v="5"/>
    </i>
    <i r="1">
      <x v="6"/>
    </i>
    <i r="1">
      <x v="7"/>
    </i>
    <i r="1">
      <x v="8"/>
    </i>
    <i r="1">
      <x v="9"/>
    </i>
  </rowItems>
  <colFields count="1">
    <field x="1"/>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acher_Numbers].[Total_Response_Ethnicity].&amp;[Tot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ACF34B-A3A7-4AB8-94BD-37D0BD0FBD22}" name="PivotTable8" cacheId="4" applyNumberFormats="0" applyBorderFormats="0" applyFontFormats="0" applyPatternFormats="0" applyAlignmentFormats="0" applyWidthHeightFormats="1" dataCaption="Values" showError="1" tag="642626f8-1581-4901-94d0-672d469316cb" updatedVersion="8" minRefreshableVersion="3" showDrill="0" showMemberPropertyTips="0" showDataTips="0" enableDrill="0" useAutoFormatting="1" rowGrandTotals="0" colGrandTotals="0" itemPrintTitles="1" createdVersion="8" indent="0" showHeaders="0" compact="0" compactData="0" multipleFieldFilters="0">
  <location ref="A4:N14"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efaultSubtotal="0" defaultAttributeDrillState="1">
      <items count="3">
        <item x="2"/>
        <item x="1"/>
        <item x="0"/>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9">
    <i>
      <x/>
      <x/>
    </i>
    <i r="1">
      <x v="1"/>
    </i>
    <i r="1">
      <x v="2"/>
    </i>
    <i>
      <x v="1"/>
      <x/>
    </i>
    <i r="1">
      <x v="1"/>
    </i>
    <i r="1">
      <x v="2"/>
    </i>
    <i>
      <x v="2"/>
      <x/>
    </i>
    <i r="1">
      <x v="1"/>
    </i>
    <i r="1">
      <x v="2"/>
    </i>
  </rowItems>
  <colFields count="1">
    <field x="0"/>
  </colFields>
  <colItems count="12">
    <i>
      <x/>
    </i>
    <i>
      <x v="1"/>
    </i>
    <i>
      <x v="2"/>
    </i>
    <i>
      <x v="3"/>
    </i>
    <i>
      <x v="4"/>
    </i>
    <i>
      <x v="5"/>
    </i>
    <i>
      <x v="6"/>
    </i>
    <i>
      <x v="7"/>
    </i>
    <i>
      <x v="8"/>
    </i>
    <i>
      <x v="9"/>
    </i>
    <i>
      <x v="10"/>
    </i>
    <i>
      <x v="11"/>
    </i>
  </colItems>
  <dataFields count="1">
    <dataField name="Teacher FTTE" fld="3" baseField="1"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0E7AA4-ABA6-4DA3-B271-8453DE915852}" name="PivotTable8" cacheId="5" applyNumberFormats="0" applyBorderFormats="0" applyFontFormats="0" applyPatternFormats="0" applyAlignmentFormats="0" applyWidthHeightFormats="1" dataCaption="Values" showError="1" tag="a5548377-ba25-4451-8b36-04b3cbf77b6f" updatedVersion="8" minRefreshableVersion="3" showDrill="0" showMemberPropertyTips="0" showDataTips="0" enableDrill="0" useAutoFormatting="1" rowGrandTotals="0" colGrandTotals="0" itemPrintTitles="1" createdVersion="8" indent="0" showHeaders="0" compact="0" compactData="0" multipleFieldFilters="0">
  <location ref="A4:N14"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efaultSubtotal="0" defaultAttributeDrillState="1">
      <items count="3">
        <item x="1"/>
        <item x="2"/>
        <item x="0"/>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9">
    <i>
      <x/>
      <x/>
    </i>
    <i r="1">
      <x v="1"/>
    </i>
    <i r="1">
      <x v="2"/>
    </i>
    <i>
      <x v="1"/>
      <x/>
    </i>
    <i r="1">
      <x v="1"/>
    </i>
    <i r="1">
      <x v="2"/>
    </i>
    <i>
      <x v="2"/>
      <x/>
    </i>
    <i r="1">
      <x v="1"/>
    </i>
    <i r="1">
      <x v="2"/>
    </i>
  </rowItems>
  <colFields count="1">
    <field x="0"/>
  </colFields>
  <colItems count="12">
    <i>
      <x/>
    </i>
    <i>
      <x v="1"/>
    </i>
    <i>
      <x v="2"/>
    </i>
    <i>
      <x v="3"/>
    </i>
    <i>
      <x v="4"/>
    </i>
    <i>
      <x v="5"/>
    </i>
    <i>
      <x v="6"/>
    </i>
    <i>
      <x v="7"/>
    </i>
    <i>
      <x v="8"/>
    </i>
    <i>
      <x v="9"/>
    </i>
    <i>
      <x v="10"/>
    </i>
    <i>
      <x v="11"/>
    </i>
  </colItems>
  <dataFields count="1">
    <dataField name="Teacher FTTE" fld="3" baseField="1"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CD0FA1-DFA2-419A-AC8B-EF59309F89B0}" name="PivotTable8" cacheId="14" applyNumberFormats="0" applyBorderFormats="0" applyFontFormats="0" applyPatternFormats="0" applyAlignmentFormats="0" applyWidthHeightFormats="1" dataCaption="Values" showError="1" tag="78620e41-f196-42a4-b345-9184b3ab1c3b" updatedVersion="8" minRefreshableVersion="3" showDrill="0" showMemberPropertyTips="0" showDataTips="0" enableDrill="0" useAutoFormatting="1" rowGrandTotals="0" colGrandTotals="0" itemPrintTitles="1" createdVersion="8" indent="0" showHeaders="0" compact="0" compactData="0" multipleFieldFilters="0">
  <location ref="A4:N29"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efaultSubtotal="0" defaultAttributeDrillState="1">
      <items count="8">
        <item x="2"/>
        <item x="6"/>
        <item x="0"/>
        <item x="3"/>
        <item x="1"/>
        <item x="5"/>
        <item x="4"/>
        <item x="7"/>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s>
  <rowFields count="2">
    <field x="3"/>
    <field x="1"/>
  </rowFields>
  <rowItems count="24">
    <i>
      <x/>
      <x/>
    </i>
    <i r="1">
      <x v="1"/>
    </i>
    <i r="1">
      <x v="2"/>
    </i>
    <i r="1">
      <x v="3"/>
    </i>
    <i r="1">
      <x v="4"/>
    </i>
    <i r="1">
      <x v="5"/>
    </i>
    <i r="1">
      <x v="6"/>
    </i>
    <i r="1">
      <x v="7"/>
    </i>
    <i>
      <x v="1"/>
      <x/>
    </i>
    <i r="1">
      <x v="1"/>
    </i>
    <i r="1">
      <x v="2"/>
    </i>
    <i r="1">
      <x v="3"/>
    </i>
    <i r="1">
      <x v="4"/>
    </i>
    <i r="1">
      <x v="5"/>
    </i>
    <i r="1">
      <x v="6"/>
    </i>
    <i r="1">
      <x v="7"/>
    </i>
    <i>
      <x v="2"/>
      <x/>
    </i>
    <i r="1">
      <x v="1"/>
    </i>
    <i r="1">
      <x v="2"/>
    </i>
    <i r="1">
      <x v="3"/>
    </i>
    <i r="1">
      <x v="4"/>
    </i>
    <i r="1">
      <x v="5"/>
    </i>
    <i r="1">
      <x v="6"/>
    </i>
    <i r="1">
      <x v="7"/>
    </i>
  </rowItems>
  <colFields count="1">
    <field x="0"/>
  </colFields>
  <colItems count="12">
    <i>
      <x/>
    </i>
    <i>
      <x v="1"/>
    </i>
    <i>
      <x v="2"/>
    </i>
    <i>
      <x v="3"/>
    </i>
    <i>
      <x v="4"/>
    </i>
    <i>
      <x v="5"/>
    </i>
    <i>
      <x v="6"/>
    </i>
    <i>
      <x v="7"/>
    </i>
    <i>
      <x v="8"/>
    </i>
    <i>
      <x v="9"/>
    </i>
    <i>
      <x v="10"/>
    </i>
    <i>
      <x v="11"/>
    </i>
  </colItems>
  <dataFields count="1">
    <dataField name="Teacher FTTE" fld="2" baseField="1" baseItem="6"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36"/>
    <rowHierarchyUsage hierarchyUsage="35"/>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_E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C53330-D485-4BA2-9D00-09C9B142E8D3}" name="PivotTable8" cacheId="6" applyNumberFormats="0" applyBorderFormats="0" applyFontFormats="0" applyPatternFormats="0" applyAlignmentFormats="0" applyWidthHeightFormats="1" dataCaption="Values" showError="1" tag="32410785-988d-436e-880e-c850c1699715" updatedVersion="8" minRefreshableVersion="3" showDrill="0" showMemberPropertyTips="0" showDataTips="0" enableDrill="0" useAutoFormatting="1" rowGrandTotals="0" colGrandTotals="0" itemPrintTitles="1" createdVersion="8" indent="0" showHeaders="0" compact="0" compactData="0" multipleFieldFilters="0">
  <location ref="A4:N29"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8">
        <item x="0"/>
        <item x="1"/>
        <item x="2"/>
        <item x="3"/>
        <item x="4"/>
        <item x="5"/>
        <item x="6"/>
        <item x="7"/>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24">
    <i>
      <x/>
      <x/>
    </i>
    <i r="1">
      <x v="1"/>
    </i>
    <i r="1">
      <x v="2"/>
    </i>
    <i r="1">
      <x v="3"/>
    </i>
    <i r="1">
      <x v="4"/>
    </i>
    <i r="1">
      <x v="5"/>
    </i>
    <i r="1">
      <x v="6"/>
    </i>
    <i r="1">
      <x v="7"/>
    </i>
    <i>
      <x v="1"/>
      <x/>
    </i>
    <i r="1">
      <x v="1"/>
    </i>
    <i r="1">
      <x v="2"/>
    </i>
    <i r="1">
      <x v="3"/>
    </i>
    <i r="1">
      <x v="4"/>
    </i>
    <i r="1">
      <x v="5"/>
    </i>
    <i r="1">
      <x v="6"/>
    </i>
    <i r="1">
      <x v="7"/>
    </i>
    <i>
      <x v="2"/>
      <x/>
    </i>
    <i r="1">
      <x v="1"/>
    </i>
    <i r="1">
      <x v="2"/>
    </i>
    <i r="1">
      <x v="3"/>
    </i>
    <i r="1">
      <x v="4"/>
    </i>
    <i r="1">
      <x v="5"/>
    </i>
    <i r="1">
      <x v="6"/>
    </i>
    <i r="1">
      <x v="7"/>
    </i>
  </rowItems>
  <colFields count="1">
    <field x="0"/>
  </colFields>
  <colItems count="12">
    <i>
      <x/>
    </i>
    <i>
      <x v="1"/>
    </i>
    <i>
      <x v="2"/>
    </i>
    <i>
      <x v="3"/>
    </i>
    <i>
      <x v="4"/>
    </i>
    <i>
      <x v="5"/>
    </i>
    <i>
      <x v="6"/>
    </i>
    <i>
      <x v="7"/>
    </i>
    <i>
      <x v="8"/>
    </i>
    <i>
      <x v="9"/>
    </i>
    <i>
      <x v="10"/>
    </i>
    <i>
      <x v="11"/>
    </i>
  </colItems>
  <dataFields count="1">
    <dataField name="Teacher FTTE" fld="3" baseField="1"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F079A8-DA83-45CC-898F-D9AC1874CA43}" name="PivotTable8" cacheId="7" applyNumberFormats="0" applyBorderFormats="0" applyFontFormats="0" applyPatternFormats="0" applyAlignmentFormats="0" applyWidthHeightFormats="1" dataCaption="Values" showError="1" tag="890782d2-8954-42b9-bea0-a631d7ea8a27" updatedVersion="8" minRefreshableVersion="3" showDrill="0" showMemberPropertyTips="0" showDataTips="0" enableDrill="0" useAutoFormatting="1" rowGrandTotals="0" colGrandTotals="0" itemPrintTitles="1" createdVersion="8" indent="0" showHeaders="0" compact="0" compactData="0" multipleFieldFilters="0">
  <location ref="A4:N14"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9">
    <i>
      <x/>
      <x/>
    </i>
    <i r="1">
      <x v="1"/>
    </i>
    <i r="1">
      <x v="2"/>
    </i>
    <i>
      <x v="1"/>
      <x/>
    </i>
    <i r="1">
      <x v="1"/>
    </i>
    <i r="1">
      <x v="2"/>
    </i>
    <i>
      <x v="2"/>
      <x/>
    </i>
    <i r="1">
      <x v="1"/>
    </i>
    <i r="1">
      <x v="2"/>
    </i>
  </rowItems>
  <colFields count="1">
    <field x="0"/>
  </colFields>
  <colItems count="12">
    <i>
      <x/>
    </i>
    <i>
      <x v="1"/>
    </i>
    <i>
      <x v="2"/>
    </i>
    <i>
      <x v="3"/>
    </i>
    <i>
      <x v="4"/>
    </i>
    <i>
      <x v="5"/>
    </i>
    <i>
      <x v="6"/>
    </i>
    <i>
      <x v="7"/>
    </i>
    <i>
      <x v="8"/>
    </i>
    <i>
      <x v="9"/>
    </i>
    <i>
      <x v="10"/>
    </i>
    <i>
      <x v="11"/>
    </i>
  </colItems>
  <dataFields count="1">
    <dataField name="Teacher FTTE" fld="3" baseField="1"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0"/>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E7E284-6547-4EC8-9241-6140FA225B04}" name="PivotTable8" cacheId="16" applyNumberFormats="0" applyBorderFormats="0" applyFontFormats="0" applyPatternFormats="0" applyAlignmentFormats="0" applyWidthHeightFormats="1" dataCaption="Values" showError="1" tag="b1b29619-3a36-4ec1-b480-1357d6a1a28f" updatedVersion="8" minRefreshableVersion="3" showDrill="0" showMemberPropertyTips="0" showDataTips="0" enableDrill="0" useAutoFormatting="1" rowGrandTotals="0" colGrandTotals="0" itemPrintTitles="1" createdVersion="8" indent="0" showHeaders="0" compact="0" compactData="0" multipleFieldFilters="0">
  <location ref="A4:N19"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Row" compact="0" allDrilled="1" outline="0" subtotalTop="0" showAll="0" defaultSubtotal="0" defaultAttributeDrillState="1">
      <items count="7">
        <item x="0"/>
        <item x="1"/>
        <item x="2"/>
        <item x="6"/>
        <item x="4"/>
        <item x="5"/>
        <item x="3"/>
      </items>
    </pivotField>
  </pivotFields>
  <rowFields count="2">
    <field x="1"/>
    <field x="3"/>
  </rowFields>
  <rowItems count="14">
    <i>
      <x/>
      <x/>
    </i>
    <i r="1">
      <x v="1"/>
    </i>
    <i r="1">
      <x v="2"/>
    </i>
    <i r="1">
      <x v="6"/>
    </i>
    <i>
      <x v="1"/>
      <x v="3"/>
    </i>
    <i r="1">
      <x v="4"/>
    </i>
    <i r="1">
      <x v="5"/>
    </i>
    <i>
      <x v="2"/>
      <x/>
    </i>
    <i r="1">
      <x v="1"/>
    </i>
    <i r="1">
      <x v="2"/>
    </i>
    <i r="1">
      <x v="3"/>
    </i>
    <i r="1">
      <x v="4"/>
    </i>
    <i r="1">
      <x v="5"/>
    </i>
    <i r="1">
      <x v="6"/>
    </i>
  </rowItems>
  <colFields count="1">
    <field x="0"/>
  </colFields>
  <colItems count="12">
    <i>
      <x/>
    </i>
    <i>
      <x v="1"/>
    </i>
    <i>
      <x v="2"/>
    </i>
    <i>
      <x v="3"/>
    </i>
    <i>
      <x v="4"/>
    </i>
    <i>
      <x v="5"/>
    </i>
    <i>
      <x v="6"/>
    </i>
    <i>
      <x v="7"/>
    </i>
    <i>
      <x v="8"/>
    </i>
    <i>
      <x v="9"/>
    </i>
    <i>
      <x v="10"/>
    </i>
    <i>
      <x v="11"/>
    </i>
  </colItems>
  <dataFields count="1">
    <dataField name="Teacher FTTE" fld="2" baseField="0"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4"/>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C0A6F6-4A13-4D23-A6F2-6B36D0618467}" name="PivotTable8" cacheId="9" applyNumberFormats="0" applyBorderFormats="0" applyFontFormats="0" applyPatternFormats="0" applyAlignmentFormats="0" applyWidthHeightFormats="1" dataCaption="Values" showError="1" tag="acc30e60-263c-4212-9735-221e2642ebc6" updatedVersion="8" minRefreshableVersion="3" showDrill="0" showMemberPropertyTips="0" showDataTips="0" enableDrill="0" useAutoFormatting="1" rowGrandTotals="0" colGrandTotals="0" itemPrintTitles="1" createdVersion="8" indent="0" showHeaders="0" compact="0" compactData="0" multipleFieldFilters="0">
  <location ref="A4:N29"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8">
        <item x="0"/>
        <item x="1"/>
        <item x="2"/>
        <item x="3"/>
        <item x="4"/>
        <item x="5"/>
        <item x="6"/>
        <item x="7"/>
      </items>
    </pivotField>
    <pivotField dataField="1" compact="0" outline="0" subtotalTop="0" showAll="0" defaultSubtotal="0"/>
  </pivotFields>
  <rowFields count="2">
    <field x="1"/>
    <field x="2"/>
  </rowFields>
  <rowItems count="24">
    <i>
      <x/>
      <x/>
    </i>
    <i r="1">
      <x v="1"/>
    </i>
    <i r="1">
      <x v="2"/>
    </i>
    <i r="1">
      <x v="3"/>
    </i>
    <i r="1">
      <x v="4"/>
    </i>
    <i r="1">
      <x v="5"/>
    </i>
    <i r="1">
      <x v="6"/>
    </i>
    <i r="1">
      <x v="7"/>
    </i>
    <i>
      <x v="1"/>
      <x/>
    </i>
    <i r="1">
      <x v="1"/>
    </i>
    <i r="1">
      <x v="2"/>
    </i>
    <i r="1">
      <x v="3"/>
    </i>
    <i r="1">
      <x v="4"/>
    </i>
    <i r="1">
      <x v="5"/>
    </i>
    <i r="1">
      <x v="6"/>
    </i>
    <i r="1">
      <x v="7"/>
    </i>
    <i>
      <x v="2"/>
      <x/>
    </i>
    <i r="1">
      <x v="1"/>
    </i>
    <i r="1">
      <x v="2"/>
    </i>
    <i r="1">
      <x v="3"/>
    </i>
    <i r="1">
      <x v="4"/>
    </i>
    <i r="1">
      <x v="5"/>
    </i>
    <i r="1">
      <x v="6"/>
    </i>
    <i r="1">
      <x v="7"/>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6"/>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598927-340D-4FFD-B817-E584BCFECF30}" name="PivotTable8" cacheId="13" applyNumberFormats="0" applyBorderFormats="0" applyFontFormats="0" applyPatternFormats="0" applyAlignmentFormats="0" applyWidthHeightFormats="1" dataCaption="Values" showError="1" tag="acc30e60-263c-4212-9735-221e2642ebc6" updatedVersion="8" minRefreshableVersion="3" showDrill="0" showMemberPropertyTips="0" showDataTips="0" enableDrill="0" useAutoFormatting="1" rowGrandTotals="0" colGrandTotals="0" itemPrintTitles="1" createdVersion="8" indent="0" showHeaders="0" compact="0" compactData="0" multipleFieldFilters="0">
  <location ref="A4:N17"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s>
  <rowFields count="2">
    <field x="1"/>
    <field x="3"/>
  </rowFields>
  <rowItems count="12">
    <i>
      <x/>
      <x/>
    </i>
    <i r="1">
      <x v="1"/>
    </i>
    <i r="1">
      <x v="2"/>
    </i>
    <i r="1">
      <x v="3"/>
    </i>
    <i>
      <x v="1"/>
      <x/>
    </i>
    <i r="1">
      <x v="1"/>
    </i>
    <i r="1">
      <x v="2"/>
    </i>
    <i r="1">
      <x v="3"/>
    </i>
    <i>
      <x v="2"/>
      <x/>
    </i>
    <i r="1">
      <x v="1"/>
    </i>
    <i r="1">
      <x v="2"/>
    </i>
    <i r="1">
      <x v="3"/>
    </i>
  </rowItems>
  <colFields count="1">
    <field x="0"/>
  </colFields>
  <colItems count="12">
    <i>
      <x/>
    </i>
    <i>
      <x v="1"/>
    </i>
    <i>
      <x v="2"/>
    </i>
    <i>
      <x v="3"/>
    </i>
    <i>
      <x v="4"/>
    </i>
    <i>
      <x v="5"/>
    </i>
    <i>
      <x v="6"/>
    </i>
    <i>
      <x v="7"/>
    </i>
    <i>
      <x v="8"/>
    </i>
    <i>
      <x v="9"/>
    </i>
    <i>
      <x v="10"/>
    </i>
    <i>
      <x v="11"/>
    </i>
  </colItems>
  <dataFields count="1">
    <dataField name="Teacher FTTE" fld="2" baseField="0"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7"/>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B47E57-C443-42AA-831F-013AA08AF333}" name="PivotTable8" cacheId="8" applyNumberFormats="0" applyBorderFormats="0" applyFontFormats="0" applyPatternFormats="0" applyAlignmentFormats="0" applyWidthHeightFormats="1" dataCaption="Values" showError="1" tag="80f8667b-9133-4a67-aebc-c001798e6c80" updatedVersion="8" minRefreshableVersion="3" showDrill="0" showMemberPropertyTips="0" showDataTips="0" enableDrill="0" useAutoFormatting="1" rowGrandTotals="0" colGrandTotals="0" itemPrintTitles="1" createdVersion="8" indent="0" showHeaders="0" compact="0" compactData="0" multipleFieldFilters="0">
  <location ref="A4:N38"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11">
        <item x="0"/>
        <item x="1"/>
        <item x="2"/>
        <item x="3"/>
        <item x="4"/>
        <item x="5"/>
        <item x="6"/>
        <item x="7"/>
        <item x="8"/>
        <item x="9"/>
        <item x="10"/>
      </items>
    </pivotField>
    <pivotField dataField="1" compact="0" outline="0" subtotalTop="0" showAll="0" defaultSubtotal="0"/>
  </pivotFields>
  <rowFields count="2">
    <field x="1"/>
    <field x="2"/>
  </rowFields>
  <rowItems count="33">
    <i>
      <x/>
      <x/>
    </i>
    <i r="1">
      <x v="1"/>
    </i>
    <i r="1">
      <x v="2"/>
    </i>
    <i r="1">
      <x v="3"/>
    </i>
    <i r="1">
      <x v="4"/>
    </i>
    <i r="1">
      <x v="5"/>
    </i>
    <i r="1">
      <x v="6"/>
    </i>
    <i r="1">
      <x v="7"/>
    </i>
    <i r="1">
      <x v="8"/>
    </i>
    <i r="1">
      <x v="9"/>
    </i>
    <i r="1">
      <x v="10"/>
    </i>
    <i>
      <x v="1"/>
      <x/>
    </i>
    <i r="1">
      <x v="1"/>
    </i>
    <i r="1">
      <x v="2"/>
    </i>
    <i r="1">
      <x v="3"/>
    </i>
    <i r="1">
      <x v="4"/>
    </i>
    <i r="1">
      <x v="5"/>
    </i>
    <i r="1">
      <x v="6"/>
    </i>
    <i r="1">
      <x v="7"/>
    </i>
    <i r="1">
      <x v="8"/>
    </i>
    <i r="1">
      <x v="9"/>
    </i>
    <i r="1">
      <x v="10"/>
    </i>
    <i>
      <x v="2"/>
      <x/>
    </i>
    <i r="1">
      <x v="1"/>
    </i>
    <i r="1">
      <x v="2"/>
    </i>
    <i r="1">
      <x v="3"/>
    </i>
    <i r="1">
      <x v="4"/>
    </i>
    <i r="1">
      <x v="5"/>
    </i>
    <i r="1">
      <x v="6"/>
    </i>
    <i r="1">
      <x v="7"/>
    </i>
    <i r="1">
      <x v="8"/>
    </i>
    <i r="1">
      <x v="9"/>
    </i>
    <i r="1">
      <x v="10"/>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907D678-C8EE-4DEE-98CE-0201990A8A32}" name="PivotTable8" cacheId="15" applyNumberFormats="0" applyBorderFormats="0" applyFontFormats="0" applyPatternFormats="0" applyAlignmentFormats="0" applyWidthHeightFormats="1" dataCaption="Values" showError="1" tag="70f19994-c2ec-48d4-86b4-af32095c5537" updatedVersion="8" minRefreshableVersion="3" showDrill="0" showMemberPropertyTips="0" showDataTips="0" enableDrill="0" useAutoFormatting="1" rowGrandTotals="0" colGrandTotals="0" itemPrintTitles="1" createdVersion="8" indent="0" showHeaders="0" compact="0" compactData="0" multipleFieldFilters="0">
  <location ref="A4:N17"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4">
        <item x="1"/>
        <item x="2"/>
        <item x="0"/>
        <item x="3"/>
      </items>
    </pivotField>
    <pivotField dataField="1" compact="0" outline="0" subtotalTop="0" showAll="0" defaultSubtotal="0"/>
  </pivotFields>
  <rowFields count="2">
    <field x="1"/>
    <field x="2"/>
  </rowFields>
  <rowItems count="12">
    <i>
      <x/>
      <x/>
    </i>
    <i r="1">
      <x v="1"/>
    </i>
    <i r="1">
      <x v="2"/>
    </i>
    <i r="1">
      <x v="3"/>
    </i>
    <i>
      <x v="1"/>
      <x/>
    </i>
    <i r="1">
      <x v="1"/>
    </i>
    <i r="1">
      <x v="2"/>
    </i>
    <i r="1">
      <x v="3"/>
    </i>
    <i>
      <x v="2"/>
      <x/>
    </i>
    <i r="1">
      <x v="1"/>
    </i>
    <i r="1">
      <x v="2"/>
    </i>
    <i r="1">
      <x v="3"/>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544DF2-7710-4D96-8D7B-ACF4356DA30E}" name="PivotTable8" cacheId="0" applyNumberFormats="0" applyBorderFormats="0" applyFontFormats="0" applyPatternFormats="0" applyAlignmentFormats="0" applyWidthHeightFormats="1" dataCaption="Values" showError="1" tag="1fd61a6b-2ca9-4ead-84f1-05feffa767d6" updatedVersion="8" minRefreshableVersion="3" showDrill="0" showMemberPropertyTips="0" showDataTips="0" enableDrill="0" useAutoFormatting="1" rowGrandTotals="0" colGrandTotals="0" itemPrintTitles="1" createdVersion="8" indent="0" showHeaders="0" compact="0" compactData="0" multipleFieldFilters="0">
  <location ref="A4:N25"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efaultSubtotal="0" defaultAttributeDrillState="1">
      <items count="7">
        <item x="1"/>
        <item x="0"/>
        <item x="2"/>
        <item x="5"/>
        <item x="4"/>
        <item x="3"/>
        <item x="6"/>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s>
  <rowFields count="2">
    <field x="3"/>
    <field x="1"/>
  </rowFields>
  <rowItems count="20">
    <i>
      <x/>
      <x/>
    </i>
    <i r="1">
      <x v="1"/>
    </i>
    <i r="1">
      <x v="2"/>
    </i>
    <i r="1">
      <x v="3"/>
    </i>
    <i r="1">
      <x v="4"/>
    </i>
    <i r="1">
      <x v="5"/>
    </i>
    <i>
      <x v="1"/>
      <x/>
    </i>
    <i r="1">
      <x v="1"/>
    </i>
    <i r="1">
      <x v="2"/>
    </i>
    <i r="1">
      <x v="3"/>
    </i>
    <i r="1">
      <x v="4"/>
    </i>
    <i r="1">
      <x v="5"/>
    </i>
    <i r="1">
      <x v="6"/>
    </i>
    <i>
      <x v="2"/>
      <x/>
    </i>
    <i r="1">
      <x v="1"/>
    </i>
    <i r="1">
      <x v="2"/>
    </i>
    <i r="1">
      <x v="3"/>
    </i>
    <i r="1">
      <x v="4"/>
    </i>
    <i r="1">
      <x v="5"/>
    </i>
    <i r="1">
      <x v="6"/>
    </i>
  </rowItems>
  <colFields count="1">
    <field x="0"/>
  </colFields>
  <colItems count="12">
    <i>
      <x/>
    </i>
    <i>
      <x v="1"/>
    </i>
    <i>
      <x v="2"/>
    </i>
    <i>
      <x v="3"/>
    </i>
    <i>
      <x v="4"/>
    </i>
    <i>
      <x v="5"/>
    </i>
    <i>
      <x v="6"/>
    </i>
    <i>
      <x v="7"/>
    </i>
    <i>
      <x v="8"/>
    </i>
    <i>
      <x v="9"/>
    </i>
    <i>
      <x v="10"/>
    </i>
    <i>
      <x v="11"/>
    </i>
  </colItems>
  <dataFields count="1">
    <dataField name="Teacher FTTE" fld="2" baseField="1"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2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1BB3203-7623-4FE4-8164-47296A52F4CC}" name="PivotTable8" cacheId="1" applyNumberFormats="0" applyBorderFormats="0" applyFontFormats="0" applyPatternFormats="0" applyAlignmentFormats="0" applyWidthHeightFormats="1" dataCaption="Values" showError="1" tag="5f990dc0-357e-4d22-ba03-e94960b55454"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N41"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12">
        <item x="5"/>
        <item x="7"/>
        <item x="6"/>
        <item x="8"/>
        <item x="10"/>
        <item x="0"/>
        <item x="9"/>
        <item x="2"/>
        <item x="11"/>
        <item x="3"/>
        <item x="1"/>
        <item x="4"/>
      </items>
    </pivotField>
    <pivotField dataField="1" compact="0" outline="0" subtotalTop="0" showAll="0" defaultSubtotal="0"/>
  </pivotFields>
  <rowFields count="2">
    <field x="1"/>
    <field x="2"/>
  </rowFields>
  <rowItems count="36">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26"/>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BBF69EF-0327-4C60-B478-BC2739C9B1E4}" name="PivotTable8" cacheId="11" applyNumberFormats="0" applyBorderFormats="0" applyFontFormats="0" applyPatternFormats="0" applyAlignmentFormats="0" applyWidthHeightFormats="1" dataCaption="Values" showError="1" tag="b2a2b3be-3f48-4903-a7e6-f050954dd71f"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N57"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compact="0" outline="0" subtotalTop="0" showAll="0" defaultSubtotal="0"/>
  </pivotFields>
  <rowFields count="2">
    <field x="1"/>
    <field x="2"/>
  </rowFields>
  <rowItems count="52">
    <i>
      <x/>
      <x/>
    </i>
    <i r="1">
      <x v="1"/>
    </i>
    <i r="1">
      <x v="2"/>
    </i>
    <i r="1">
      <x v="3"/>
    </i>
    <i r="1">
      <x v="4"/>
    </i>
    <i r="1">
      <x v="5"/>
    </i>
    <i r="1">
      <x v="6"/>
    </i>
    <i r="1">
      <x v="7"/>
    </i>
    <i r="1">
      <x v="8"/>
    </i>
    <i r="1">
      <x v="9"/>
    </i>
    <i r="1">
      <x v="10"/>
    </i>
    <i r="1">
      <x v="11"/>
    </i>
    <i r="1">
      <x v="12"/>
    </i>
    <i r="1">
      <x v="13"/>
    </i>
    <i r="1">
      <x v="14"/>
    </i>
    <i r="1">
      <x v="15"/>
    </i>
    <i r="1">
      <x v="16"/>
    </i>
    <i>
      <x v="1"/>
      <x/>
    </i>
    <i r="1">
      <x v="1"/>
    </i>
    <i r="1">
      <x v="2"/>
    </i>
    <i r="1">
      <x v="3"/>
    </i>
    <i r="1">
      <x v="4"/>
    </i>
    <i r="1">
      <x v="5"/>
    </i>
    <i r="1">
      <x v="6"/>
    </i>
    <i r="1">
      <x v="7"/>
    </i>
    <i r="1">
      <x v="8"/>
    </i>
    <i r="1">
      <x v="9"/>
    </i>
    <i r="1">
      <x v="10"/>
    </i>
    <i r="1">
      <x v="11"/>
    </i>
    <i r="1">
      <x v="12"/>
    </i>
    <i r="1">
      <x v="13"/>
    </i>
    <i r="1">
      <x v="14"/>
    </i>
    <i r="1">
      <x v="15"/>
    </i>
    <i r="1">
      <x v="17"/>
    </i>
    <i>
      <x v="2"/>
      <x/>
    </i>
    <i r="1">
      <x v="1"/>
    </i>
    <i r="1">
      <x v="2"/>
    </i>
    <i r="1">
      <x v="3"/>
    </i>
    <i r="1">
      <x v="4"/>
    </i>
    <i r="1">
      <x v="5"/>
    </i>
    <i r="1">
      <x v="6"/>
    </i>
    <i r="1">
      <x v="7"/>
    </i>
    <i r="1">
      <x v="8"/>
    </i>
    <i r="1">
      <x v="9"/>
    </i>
    <i r="1">
      <x v="10"/>
    </i>
    <i r="1">
      <x v="11"/>
    </i>
    <i r="1">
      <x v="12"/>
    </i>
    <i r="1">
      <x v="13"/>
    </i>
    <i r="1">
      <x v="14"/>
    </i>
    <i r="1">
      <x v="15"/>
    </i>
    <i r="1">
      <x v="16"/>
    </i>
    <i r="1">
      <x v="17"/>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B064D8D-DF65-4CA1-941D-E427313447F8}" name="PivotTable8" cacheId="10" applyNumberFormats="0" applyBorderFormats="0" applyFontFormats="0" applyPatternFormats="0" applyAlignmentFormats="0" applyWidthHeightFormats="1" dataCaption="Values" showError="1" tag="ab66360c-74ee-4880-8262-63ebe56a8696"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N266"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pivotField>
    <pivotField dataField="1" compact="0" outline="0" subtotalTop="0" showAll="0" defaultSubtotal="0"/>
  </pivotFields>
  <rowFields count="2">
    <field x="1"/>
    <field x="2"/>
  </rowFields>
  <rowItems count="261">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9"/>
    </i>
    <i r="1">
      <x v="80"/>
    </i>
    <i r="1">
      <x v="81"/>
    </i>
    <i r="1">
      <x v="82"/>
    </i>
    <i r="1">
      <x v="83"/>
    </i>
    <i r="1">
      <x v="84"/>
    </i>
    <i r="1">
      <x v="85"/>
    </i>
    <i r="1">
      <x v="86"/>
    </i>
    <i r="1">
      <x v="87"/>
    </i>
    <i>
      <x v="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2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BBD30E9-3029-4F54-B824-7AF1869C3BFF}" name="PivotTable8" cacheId="12" applyNumberFormats="0" applyBorderFormats="0" applyFontFormats="0" applyPatternFormats="0" applyAlignmentFormats="0" applyWidthHeightFormats="1" dataCaption="Values" showError="1" tag="c8b737e2-0c3f-4b81-a15d-c0aecc36cf48"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N14"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3">
        <item x="0"/>
        <item x="2"/>
        <item x="1"/>
      </items>
    </pivotField>
    <pivotField dataField="1" compact="0" outline="0" subtotalTop="0" showAll="0" defaultSubtotal="0"/>
  </pivotFields>
  <rowFields count="2">
    <field x="1"/>
    <field x="2"/>
  </rowFields>
  <rowItems count="9">
    <i>
      <x/>
      <x/>
    </i>
    <i r="1">
      <x v="1"/>
    </i>
    <i r="1">
      <x v="2"/>
    </i>
    <i>
      <x v="1"/>
      <x/>
    </i>
    <i r="1">
      <x v="1"/>
    </i>
    <i r="1">
      <x v="2"/>
    </i>
    <i>
      <x v="2"/>
      <x/>
    </i>
    <i r="1">
      <x v="1"/>
    </i>
    <i r="1">
      <x v="2"/>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27"/>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pivotTable" Target="../pivotTables/pivotTable16.xm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DC0EB-9C1F-454F-BB22-7861E3F391D9}">
  <sheetPr codeName="Sheet1"/>
  <dimension ref="A1:Z38"/>
  <sheetViews>
    <sheetView showGridLines="0" tabSelected="1" workbookViewId="0">
      <selection activeCell="B2" sqref="B2:Q2"/>
    </sheetView>
  </sheetViews>
  <sheetFormatPr defaultColWidth="9.1796875" defaultRowHeight="14.5"/>
  <cols>
    <col min="1" max="25" width="9.1796875" style="4"/>
    <col min="26" max="26" width="12.1796875" style="4" customWidth="1"/>
    <col min="27" max="16384" width="9.1796875" style="4"/>
  </cols>
  <sheetData>
    <row r="1" spans="1:17">
      <c r="A1" s="45"/>
      <c r="B1" s="45"/>
      <c r="C1" s="1"/>
      <c r="D1" s="1"/>
    </row>
    <row r="2" spans="1:17" ht="26">
      <c r="A2" s="1"/>
      <c r="B2" s="46" t="s">
        <v>201</v>
      </c>
      <c r="C2" s="46"/>
      <c r="D2" s="46"/>
      <c r="E2" s="46"/>
      <c r="F2" s="46"/>
      <c r="G2" s="46"/>
      <c r="H2" s="46"/>
      <c r="I2" s="46"/>
      <c r="J2" s="46"/>
      <c r="K2" s="46"/>
      <c r="L2" s="46"/>
      <c r="M2" s="46"/>
      <c r="N2" s="46"/>
      <c r="O2" s="46"/>
      <c r="P2" s="46"/>
      <c r="Q2" s="46"/>
    </row>
    <row r="3" spans="1:17">
      <c r="A3" s="1"/>
      <c r="B3" s="1" t="s">
        <v>202</v>
      </c>
      <c r="C3" s="1"/>
      <c r="D3" s="1"/>
    </row>
    <row r="4" spans="1:17">
      <c r="A4" s="1"/>
      <c r="B4" s="12" t="s">
        <v>203</v>
      </c>
      <c r="C4" s="1"/>
      <c r="D4" s="1"/>
    </row>
    <row r="5" spans="1:17">
      <c r="A5" s="1"/>
      <c r="B5" s="1" t="s">
        <v>204</v>
      </c>
      <c r="C5" s="1"/>
      <c r="D5" s="1"/>
    </row>
    <row r="6" spans="1:17">
      <c r="A6" s="1"/>
      <c r="B6" s="12"/>
      <c r="C6" s="1"/>
      <c r="D6" s="1"/>
    </row>
    <row r="7" spans="1:17">
      <c r="A7" s="1"/>
      <c r="B7" s="12"/>
      <c r="C7" s="1"/>
      <c r="D7" s="1"/>
    </row>
    <row r="8" spans="1:17">
      <c r="A8" s="1"/>
      <c r="B8" s="2" t="s">
        <v>0</v>
      </c>
      <c r="C8" s="1"/>
      <c r="D8" s="1"/>
    </row>
    <row r="9" spans="1:17">
      <c r="A9" s="1"/>
      <c r="B9" s="2" t="s">
        <v>205</v>
      </c>
      <c r="C9" s="1"/>
      <c r="D9" s="1"/>
    </row>
    <row r="10" spans="1:17">
      <c r="A10" s="1"/>
      <c r="B10" s="2" t="s">
        <v>1</v>
      </c>
      <c r="C10" s="1"/>
      <c r="D10" s="1"/>
    </row>
    <row r="11" spans="1:17">
      <c r="A11" s="1"/>
      <c r="B11" s="2" t="s">
        <v>2</v>
      </c>
      <c r="C11" s="1"/>
      <c r="D11" s="1"/>
    </row>
    <row r="12" spans="1:17">
      <c r="A12" s="1"/>
      <c r="B12" s="2" t="s">
        <v>3</v>
      </c>
      <c r="C12" s="1"/>
      <c r="D12" s="1"/>
    </row>
    <row r="13" spans="1:17">
      <c r="A13" s="1"/>
      <c r="B13" s="2" t="s">
        <v>4</v>
      </c>
      <c r="C13" s="1"/>
      <c r="D13" s="1"/>
    </row>
    <row r="14" spans="1:17">
      <c r="A14" s="1"/>
      <c r="B14" s="2" t="s">
        <v>5</v>
      </c>
      <c r="C14" s="1"/>
      <c r="D14" s="1"/>
    </row>
    <row r="15" spans="1:17">
      <c r="A15" s="1"/>
      <c r="B15" s="2" t="s">
        <v>6</v>
      </c>
      <c r="C15" s="1"/>
      <c r="D15" s="1"/>
    </row>
    <row r="16" spans="1:17">
      <c r="A16" s="1"/>
      <c r="B16" s="2" t="s">
        <v>206</v>
      </c>
      <c r="C16" s="1"/>
      <c r="D16" s="1"/>
    </row>
    <row r="17" spans="1:4">
      <c r="A17" s="1"/>
      <c r="B17" s="2" t="s">
        <v>199</v>
      </c>
      <c r="C17" s="1"/>
      <c r="D17" s="1"/>
    </row>
    <row r="18" spans="1:4">
      <c r="A18" s="1"/>
      <c r="B18" s="2" t="s">
        <v>250</v>
      </c>
      <c r="C18" s="1"/>
      <c r="D18" s="1"/>
    </row>
    <row r="19" spans="1:4">
      <c r="A19" s="1"/>
      <c r="B19" s="2" t="s">
        <v>8</v>
      </c>
      <c r="C19" s="1"/>
      <c r="D19" s="1"/>
    </row>
    <row r="20" spans="1:4">
      <c r="A20" s="1"/>
      <c r="B20" s="2" t="s">
        <v>9</v>
      </c>
      <c r="C20" s="1"/>
      <c r="D20" s="1"/>
    </row>
    <row r="21" spans="1:4">
      <c r="A21" s="1"/>
      <c r="B21" s="2" t="s">
        <v>7</v>
      </c>
      <c r="C21" s="1"/>
      <c r="D21" s="1"/>
    </row>
    <row r="22" spans="1:4">
      <c r="A22" s="1"/>
      <c r="B22" s="2" t="s">
        <v>12</v>
      </c>
      <c r="C22" s="1"/>
      <c r="D22" s="1"/>
    </row>
    <row r="23" spans="1:4">
      <c r="A23" s="1"/>
      <c r="B23" s="2" t="s">
        <v>11</v>
      </c>
      <c r="C23" s="1"/>
      <c r="D23" s="1"/>
    </row>
    <row r="24" spans="1:4">
      <c r="A24" s="1"/>
      <c r="B24" s="2" t="s">
        <v>10</v>
      </c>
      <c r="C24" s="1"/>
      <c r="D24" s="1"/>
    </row>
    <row r="25" spans="1:4">
      <c r="A25" s="1"/>
      <c r="B25" s="2" t="s">
        <v>57</v>
      </c>
      <c r="C25" s="1"/>
      <c r="D25" s="1"/>
    </row>
    <row r="26" spans="1:4">
      <c r="A26" s="45"/>
      <c r="B26" s="45"/>
      <c r="C26" s="1"/>
      <c r="D26" s="1"/>
    </row>
    <row r="27" spans="1:4">
      <c r="A27" s="44"/>
      <c r="B27" s="44"/>
      <c r="C27" s="3"/>
      <c r="D27" s="3"/>
    </row>
    <row r="28" spans="1:4">
      <c r="A28" s="44"/>
      <c r="B28" s="44"/>
      <c r="C28" s="3"/>
      <c r="D28" s="3"/>
    </row>
    <row r="29" spans="1:4">
      <c r="A29" s="44"/>
      <c r="B29" s="44"/>
      <c r="C29" s="3"/>
      <c r="D29" s="3"/>
    </row>
    <row r="36" spans="26:26">
      <c r="Z36" s="11"/>
    </row>
    <row r="37" spans="26:26">
      <c r="Z37" s="11"/>
    </row>
    <row r="38" spans="26:26">
      <c r="Z38" s="11"/>
    </row>
  </sheetData>
  <mergeCells count="6">
    <mergeCell ref="A28:B28"/>
    <mergeCell ref="A29:B29"/>
    <mergeCell ref="A1:B1"/>
    <mergeCell ref="A26:B26"/>
    <mergeCell ref="A27:B27"/>
    <mergeCell ref="B2:Q2"/>
  </mergeCells>
  <hyperlinks>
    <hyperlink ref="B8" location="Sector!A1" display="Sector" xr:uid="{1C3A15E3-6FEB-4944-A6FF-05437402FC15}"/>
    <hyperlink ref="B10" location="'Employment Type'!A1" display="Employment Type" xr:uid="{5C81F16D-04D0-4152-B8FF-70C613C8491B}"/>
    <hyperlink ref="B11" location="'Full Part Time'!A1" display="Full/Part Time" xr:uid="{F5CF981E-D8A6-4343-807D-1DC98BB9ADD2}"/>
    <hyperlink ref="B12" location="'Ethnic Group'!A1" display="Ethnic Group" xr:uid="{EF1EC428-DD93-4D0F-BF61-6700A679C085}"/>
    <hyperlink ref="B13" location="'Age Group'!A1" display="Age Group" xr:uid="{2C347378-41D2-4BA2-8689-D95AFD561751}"/>
    <hyperlink ref="B14" location="Gender!A1" display="Teacher Gender" xr:uid="{07DE986E-F95F-457B-9DDF-24599676326A}"/>
    <hyperlink ref="B15" location="'School Gender'!A1" display="School Gender" xr:uid="{D06FBC1C-8362-4DA1-A6B4-82189E1BBCA8}"/>
    <hyperlink ref="B21" location="'Urban Rural'!A1" display="Urban/Rural" xr:uid="{185AB007-6ED9-4555-873A-4128F65A651C}"/>
    <hyperlink ref="B19" location="Decile!A1" display="Decile" xr:uid="{5833AF83-B9B8-435E-8A92-061E18A0F44B}"/>
    <hyperlink ref="B20" location="'Grouped Decile'!A1" display="Grouped Decile" xr:uid="{BDE6CF29-142A-4AB0-93E2-766EF6A19926}"/>
    <hyperlink ref="B24" location="'Territorial Authority'!A1" display="Territorial Authority" xr:uid="{83A32D32-86B5-424A-A340-AFFFAE37F800}"/>
    <hyperlink ref="B23" location="'Regional Council'!A1" display="Regional Council" xr:uid="{6A72A545-25F5-419D-9CED-7CD24E1CCD8C}"/>
    <hyperlink ref="B22" location="'Education Region'!A1" display="Education Region" xr:uid="{770357DF-AEEC-429F-8150-DB6581CA61EC}"/>
    <hyperlink ref="B25" location="'Te Mahau Takiwā'!A1" display="Te Mahau Takiwā" xr:uid="{F794B14C-9336-43E3-A5C6-D8A6791C2E5E}"/>
    <hyperlink ref="B9" location="Designation!A1" display="Designation" xr:uid="{3EB61972-E354-4455-AEE3-5D5E83B8A15B}"/>
    <hyperlink ref="B17" location="'Equity Index Band'!A1" display="Equity Index Band" xr:uid="{02D6E66E-DB82-462B-8E9C-2BBDF9DAAE23}"/>
    <hyperlink ref="B16" location="'School Type'!A1" display="School Type" xr:uid="{9092169F-F923-4881-8EA3-0CD9EB2292EE}"/>
    <hyperlink ref="B18" location="'Equity Index Group'!A1" display="Equity Index Group" xr:uid="{53579944-2D9D-4384-BF8B-852001B58AE9}"/>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FEAED-A9C0-458E-96B6-3AB6C1C46907}">
  <dimension ref="A1:M67"/>
  <sheetViews>
    <sheetView workbookViewId="0"/>
  </sheetViews>
  <sheetFormatPr defaultColWidth="9.1796875" defaultRowHeight="14.5"/>
  <cols>
    <col min="1" max="1" width="41.7265625" style="4" customWidth="1"/>
    <col min="2" max="2" width="16.7265625" style="4" bestFit="1" customWidth="1"/>
    <col min="3" max="12" width="9.1796875" style="4"/>
    <col min="13" max="13" width="42.7265625" style="4" customWidth="1"/>
    <col min="14" max="14" width="41.1796875" style="4" bestFit="1" customWidth="1"/>
    <col min="15" max="16384" width="9.1796875" style="4"/>
  </cols>
  <sheetData>
    <row r="1" spans="1:13" ht="23">
      <c r="A1" s="5" t="s">
        <v>13</v>
      </c>
      <c r="B1" s="6"/>
      <c r="C1" s="6"/>
      <c r="D1" s="6"/>
      <c r="E1" s="6"/>
      <c r="F1" s="6"/>
      <c r="G1" s="6"/>
      <c r="H1" s="6"/>
      <c r="I1" s="7"/>
      <c r="J1" s="7"/>
      <c r="K1" s="7"/>
      <c r="L1" s="7"/>
      <c r="M1" s="7"/>
    </row>
    <row r="2" spans="1:13">
      <c r="A2" s="8"/>
      <c r="B2" s="6"/>
      <c r="C2" s="6"/>
      <c r="D2" s="6"/>
      <c r="E2" s="6"/>
      <c r="F2" s="6"/>
      <c r="G2" s="6"/>
      <c r="H2" s="6"/>
      <c r="I2" s="7"/>
      <c r="J2" s="7"/>
      <c r="K2" s="7"/>
      <c r="L2" s="7"/>
      <c r="M2" s="7"/>
    </row>
    <row r="3" spans="1:13">
      <c r="A3" s="9" t="s">
        <v>14</v>
      </c>
      <c r="B3" s="50" t="s">
        <v>13</v>
      </c>
      <c r="C3" s="50"/>
      <c r="D3" s="50"/>
      <c r="E3" s="50"/>
      <c r="F3" s="50"/>
      <c r="G3" s="50"/>
      <c r="H3" s="50"/>
      <c r="I3" s="50"/>
      <c r="J3" s="50"/>
      <c r="K3" s="50"/>
      <c r="L3" s="50"/>
      <c r="M3" s="50"/>
    </row>
    <row r="4" spans="1:13" ht="15" customHeight="1">
      <c r="A4" s="51" t="s">
        <v>26</v>
      </c>
      <c r="B4" s="54" t="s">
        <v>264</v>
      </c>
      <c r="C4" s="55"/>
      <c r="D4" s="55"/>
      <c r="E4" s="55"/>
      <c r="F4" s="55"/>
      <c r="G4" s="55"/>
      <c r="H4" s="55"/>
      <c r="I4" s="55"/>
      <c r="J4" s="55"/>
      <c r="K4" s="55"/>
      <c r="L4" s="55"/>
      <c r="M4" s="56"/>
    </row>
    <row r="5" spans="1:13">
      <c r="A5" s="52"/>
      <c r="B5" s="57"/>
      <c r="C5" s="58"/>
      <c r="D5" s="58"/>
      <c r="E5" s="58"/>
      <c r="F5" s="58"/>
      <c r="G5" s="58"/>
      <c r="H5" s="58"/>
      <c r="I5" s="58"/>
      <c r="J5" s="58"/>
      <c r="K5" s="58"/>
      <c r="L5" s="58"/>
      <c r="M5" s="59"/>
    </row>
    <row r="6" spans="1:13">
      <c r="A6" s="53"/>
      <c r="B6" s="60"/>
      <c r="C6" s="61"/>
      <c r="D6" s="61"/>
      <c r="E6" s="61"/>
      <c r="F6" s="61"/>
      <c r="G6" s="61"/>
      <c r="H6" s="61"/>
      <c r="I6" s="61"/>
      <c r="J6" s="61"/>
      <c r="K6" s="61"/>
      <c r="L6" s="61"/>
      <c r="M6" s="62"/>
    </row>
    <row r="7" spans="1:13" s="7" customFormat="1" ht="13">
      <c r="A7" s="9" t="s">
        <v>265</v>
      </c>
      <c r="B7" s="47" t="s">
        <v>233</v>
      </c>
      <c r="C7" s="48"/>
      <c r="D7" s="48"/>
      <c r="E7" s="48"/>
      <c r="F7" s="48"/>
      <c r="G7" s="48"/>
      <c r="H7" s="48"/>
      <c r="I7" s="48"/>
      <c r="J7" s="48"/>
      <c r="K7" s="48"/>
      <c r="L7" s="48"/>
      <c r="M7" s="49"/>
    </row>
    <row r="8" spans="1:13">
      <c r="A8" s="18" t="s">
        <v>59</v>
      </c>
      <c r="B8" s="47" t="s">
        <v>20</v>
      </c>
      <c r="C8" s="48"/>
      <c r="D8" s="48"/>
      <c r="E8" s="48"/>
      <c r="F8" s="48"/>
      <c r="G8" s="48"/>
      <c r="H8" s="48"/>
      <c r="I8" s="48"/>
      <c r="J8" s="48"/>
      <c r="K8" s="48"/>
      <c r="L8" s="48"/>
      <c r="M8" s="49"/>
    </row>
    <row r="9" spans="1:13">
      <c r="A9" s="18" t="s">
        <v>21</v>
      </c>
      <c r="B9" s="47" t="s">
        <v>22</v>
      </c>
      <c r="C9" s="48"/>
      <c r="D9" s="48"/>
      <c r="E9" s="48"/>
      <c r="F9" s="48"/>
      <c r="G9" s="48"/>
      <c r="H9" s="48"/>
      <c r="I9" s="48"/>
      <c r="J9" s="48"/>
      <c r="K9" s="48"/>
      <c r="L9" s="48"/>
      <c r="M9" s="49"/>
    </row>
    <row r="10" spans="1:13">
      <c r="A10" s="51" t="s">
        <v>15</v>
      </c>
      <c r="B10" s="54" t="s">
        <v>58</v>
      </c>
      <c r="C10" s="55"/>
      <c r="D10" s="55"/>
      <c r="E10" s="55"/>
      <c r="F10" s="55"/>
      <c r="G10" s="55"/>
      <c r="H10" s="55"/>
      <c r="I10" s="55"/>
      <c r="J10" s="55"/>
      <c r="K10" s="55"/>
      <c r="L10" s="55"/>
      <c r="M10" s="56"/>
    </row>
    <row r="11" spans="1:13">
      <c r="A11" s="52"/>
      <c r="B11" s="57"/>
      <c r="C11" s="58"/>
      <c r="D11" s="58"/>
      <c r="E11" s="58"/>
      <c r="F11" s="58"/>
      <c r="G11" s="58"/>
      <c r="H11" s="58"/>
      <c r="I11" s="58"/>
      <c r="J11" s="58"/>
      <c r="K11" s="58"/>
      <c r="L11" s="58"/>
      <c r="M11" s="59"/>
    </row>
    <row r="12" spans="1:13">
      <c r="A12" s="52"/>
      <c r="B12" s="57"/>
      <c r="C12" s="58"/>
      <c r="D12" s="58"/>
      <c r="E12" s="58"/>
      <c r="F12" s="58"/>
      <c r="G12" s="58"/>
      <c r="H12" s="58"/>
      <c r="I12" s="58"/>
      <c r="J12" s="58"/>
      <c r="K12" s="58"/>
      <c r="L12" s="58"/>
      <c r="M12" s="59"/>
    </row>
    <row r="13" spans="1:13">
      <c r="A13" s="52"/>
      <c r="B13" s="57"/>
      <c r="C13" s="58"/>
      <c r="D13" s="58"/>
      <c r="E13" s="58"/>
      <c r="F13" s="58"/>
      <c r="G13" s="58"/>
      <c r="H13" s="58"/>
      <c r="I13" s="58"/>
      <c r="J13" s="58"/>
      <c r="K13" s="58"/>
      <c r="L13" s="58"/>
      <c r="M13" s="59"/>
    </row>
    <row r="14" spans="1:13">
      <c r="A14" s="53"/>
      <c r="B14" s="60"/>
      <c r="C14" s="61"/>
      <c r="D14" s="61"/>
      <c r="E14" s="61"/>
      <c r="F14" s="61"/>
      <c r="G14" s="61"/>
      <c r="H14" s="61"/>
      <c r="I14" s="61"/>
      <c r="J14" s="61"/>
      <c r="K14" s="61"/>
      <c r="L14" s="61"/>
      <c r="M14" s="62"/>
    </row>
    <row r="15" spans="1:13">
      <c r="A15" s="18" t="s">
        <v>16</v>
      </c>
      <c r="B15" s="47" t="s">
        <v>17</v>
      </c>
      <c r="C15" s="48"/>
      <c r="D15" s="48"/>
      <c r="E15" s="48"/>
      <c r="F15" s="48"/>
      <c r="G15" s="48"/>
      <c r="H15" s="48"/>
      <c r="I15" s="48"/>
      <c r="J15" s="48"/>
      <c r="K15" s="48"/>
      <c r="L15" s="48"/>
      <c r="M15" s="49"/>
    </row>
    <row r="16" spans="1:13">
      <c r="A16" s="18" t="s">
        <v>18</v>
      </c>
      <c r="B16" s="47" t="s">
        <v>19</v>
      </c>
      <c r="C16" s="48"/>
      <c r="D16" s="48"/>
      <c r="E16" s="48"/>
      <c r="F16" s="48"/>
      <c r="G16" s="48"/>
      <c r="H16" s="48"/>
      <c r="I16" s="48"/>
      <c r="J16" s="48"/>
      <c r="K16" s="48"/>
      <c r="L16" s="48"/>
      <c r="M16" s="49"/>
    </row>
    <row r="17" spans="1:13">
      <c r="A17" s="9" t="s">
        <v>23</v>
      </c>
      <c r="B17" s="47" t="s">
        <v>266</v>
      </c>
      <c r="C17" s="48"/>
      <c r="D17" s="48"/>
      <c r="E17" s="48"/>
      <c r="F17" s="48"/>
      <c r="G17" s="48"/>
      <c r="H17" s="48"/>
      <c r="I17" s="48"/>
      <c r="J17" s="48"/>
      <c r="K17" s="48"/>
      <c r="L17" s="48"/>
      <c r="M17" s="49"/>
    </row>
    <row r="18" spans="1:13">
      <c r="A18" s="19" t="s">
        <v>267</v>
      </c>
      <c r="B18" s="47" t="s">
        <v>268</v>
      </c>
      <c r="C18" s="48"/>
      <c r="D18" s="48"/>
      <c r="E18" s="48"/>
      <c r="F18" s="48"/>
      <c r="G18" s="48"/>
      <c r="H18" s="48"/>
      <c r="I18" s="48"/>
      <c r="J18" s="48"/>
      <c r="K18" s="48"/>
      <c r="L18" s="48"/>
      <c r="M18" s="49"/>
    </row>
    <row r="19" spans="1:13" ht="15" customHeight="1">
      <c r="A19" s="51" t="s">
        <v>200</v>
      </c>
      <c r="B19" s="54" t="s">
        <v>269</v>
      </c>
      <c r="C19" s="55"/>
      <c r="D19" s="55"/>
      <c r="E19" s="55"/>
      <c r="F19" s="55"/>
      <c r="G19" s="55"/>
      <c r="H19" s="55"/>
      <c r="I19" s="55"/>
      <c r="J19" s="55"/>
      <c r="K19" s="55"/>
      <c r="L19" s="55"/>
      <c r="M19" s="56"/>
    </row>
    <row r="20" spans="1:13">
      <c r="A20" s="52"/>
      <c r="B20" s="57"/>
      <c r="C20" s="58"/>
      <c r="D20" s="58"/>
      <c r="E20" s="58"/>
      <c r="F20" s="58"/>
      <c r="G20" s="58"/>
      <c r="H20" s="58"/>
      <c r="I20" s="58"/>
      <c r="J20" s="58"/>
      <c r="K20" s="58"/>
      <c r="L20" s="58"/>
      <c r="M20" s="59"/>
    </row>
    <row r="21" spans="1:13">
      <c r="A21" s="52"/>
      <c r="B21" s="57"/>
      <c r="C21" s="58"/>
      <c r="D21" s="58"/>
      <c r="E21" s="58"/>
      <c r="F21" s="58"/>
      <c r="G21" s="58"/>
      <c r="H21" s="58"/>
      <c r="I21" s="58"/>
      <c r="J21" s="58"/>
      <c r="K21" s="58"/>
      <c r="L21" s="58"/>
      <c r="M21" s="59"/>
    </row>
    <row r="22" spans="1:13">
      <c r="A22" s="52"/>
      <c r="B22" s="57"/>
      <c r="C22" s="58"/>
      <c r="D22" s="58"/>
      <c r="E22" s="58"/>
      <c r="F22" s="58"/>
      <c r="G22" s="58"/>
      <c r="H22" s="58"/>
      <c r="I22" s="58"/>
      <c r="J22" s="58"/>
      <c r="K22" s="58"/>
      <c r="L22" s="58"/>
      <c r="M22" s="59"/>
    </row>
    <row r="23" spans="1:13">
      <c r="A23" s="52"/>
      <c r="B23" s="57"/>
      <c r="C23" s="58"/>
      <c r="D23" s="58"/>
      <c r="E23" s="58"/>
      <c r="F23" s="58"/>
      <c r="G23" s="58"/>
      <c r="H23" s="58"/>
      <c r="I23" s="58"/>
      <c r="J23" s="58"/>
      <c r="K23" s="58"/>
      <c r="L23" s="58"/>
      <c r="M23" s="59"/>
    </row>
    <row r="24" spans="1:13">
      <c r="A24" s="52"/>
      <c r="B24" s="57"/>
      <c r="C24" s="58"/>
      <c r="D24" s="58"/>
      <c r="E24" s="58"/>
      <c r="F24" s="58"/>
      <c r="G24" s="58"/>
      <c r="H24" s="58"/>
      <c r="I24" s="58"/>
      <c r="J24" s="58"/>
      <c r="K24" s="58"/>
      <c r="L24" s="58"/>
      <c r="M24" s="59"/>
    </row>
    <row r="25" spans="1:13">
      <c r="A25" s="52"/>
      <c r="B25" s="57"/>
      <c r="C25" s="58"/>
      <c r="D25" s="58"/>
      <c r="E25" s="58"/>
      <c r="F25" s="58"/>
      <c r="G25" s="58"/>
      <c r="H25" s="58"/>
      <c r="I25" s="58"/>
      <c r="J25" s="58"/>
      <c r="K25" s="58"/>
      <c r="L25" s="58"/>
      <c r="M25" s="59"/>
    </row>
    <row r="26" spans="1:13">
      <c r="A26" s="52"/>
      <c r="B26" s="57"/>
      <c r="C26" s="58"/>
      <c r="D26" s="58"/>
      <c r="E26" s="58"/>
      <c r="F26" s="58"/>
      <c r="G26" s="58"/>
      <c r="H26" s="58"/>
      <c r="I26" s="58"/>
      <c r="J26" s="58"/>
      <c r="K26" s="58"/>
      <c r="L26" s="58"/>
      <c r="M26" s="59"/>
    </row>
    <row r="27" spans="1:13">
      <c r="A27" s="52"/>
      <c r="B27" s="57"/>
      <c r="C27" s="58"/>
      <c r="D27" s="58"/>
      <c r="E27" s="58"/>
      <c r="F27" s="58"/>
      <c r="G27" s="58"/>
      <c r="H27" s="58"/>
      <c r="I27" s="58"/>
      <c r="J27" s="58"/>
      <c r="K27" s="58"/>
      <c r="L27" s="58"/>
      <c r="M27" s="59"/>
    </row>
    <row r="28" spans="1:13">
      <c r="A28" s="52"/>
      <c r="B28" s="57"/>
      <c r="C28" s="58"/>
      <c r="D28" s="58"/>
      <c r="E28" s="58"/>
      <c r="F28" s="58"/>
      <c r="G28" s="58"/>
      <c r="H28" s="58"/>
      <c r="I28" s="58"/>
      <c r="J28" s="58"/>
      <c r="K28" s="58"/>
      <c r="L28" s="58"/>
      <c r="M28" s="59"/>
    </row>
    <row r="29" spans="1:13">
      <c r="A29" s="52"/>
      <c r="B29" s="57"/>
      <c r="C29" s="58"/>
      <c r="D29" s="58"/>
      <c r="E29" s="58"/>
      <c r="F29" s="58"/>
      <c r="G29" s="58"/>
      <c r="H29" s="58"/>
      <c r="I29" s="58"/>
      <c r="J29" s="58"/>
      <c r="K29" s="58"/>
      <c r="L29" s="58"/>
      <c r="M29" s="59"/>
    </row>
    <row r="30" spans="1:13">
      <c r="A30" s="53"/>
      <c r="B30" s="57"/>
      <c r="C30" s="58"/>
      <c r="D30" s="58"/>
      <c r="E30" s="58"/>
      <c r="F30" s="58"/>
      <c r="G30" s="58"/>
      <c r="H30" s="58"/>
      <c r="I30" s="58"/>
      <c r="J30" s="58"/>
      <c r="K30" s="58"/>
      <c r="L30" s="58"/>
      <c r="M30" s="59"/>
    </row>
    <row r="31" spans="1:13">
      <c r="A31" s="63" t="s">
        <v>270</v>
      </c>
      <c r="B31" s="66" t="s">
        <v>271</v>
      </c>
      <c r="C31" s="67"/>
      <c r="D31" s="67"/>
      <c r="E31" s="67"/>
      <c r="F31" s="67"/>
      <c r="G31" s="67"/>
      <c r="H31" s="67"/>
      <c r="I31" s="67"/>
      <c r="J31" s="67"/>
      <c r="K31" s="67"/>
      <c r="L31" s="67"/>
      <c r="M31" s="68"/>
    </row>
    <row r="32" spans="1:13">
      <c r="A32" s="64"/>
      <c r="B32" s="69"/>
      <c r="C32" s="70"/>
      <c r="D32" s="70"/>
      <c r="E32" s="70"/>
      <c r="F32" s="70"/>
      <c r="G32" s="70"/>
      <c r="H32" s="70"/>
      <c r="I32" s="70"/>
      <c r="J32" s="70"/>
      <c r="K32" s="70"/>
      <c r="L32" s="70"/>
      <c r="M32" s="71"/>
    </row>
    <row r="33" spans="1:13">
      <c r="A33" s="65"/>
      <c r="B33" s="72"/>
      <c r="C33" s="73"/>
      <c r="D33" s="73"/>
      <c r="E33" s="73"/>
      <c r="F33" s="73"/>
      <c r="G33" s="73"/>
      <c r="H33" s="73"/>
      <c r="I33" s="73"/>
      <c r="J33" s="73"/>
      <c r="K33" s="73"/>
      <c r="L33" s="73"/>
      <c r="M33" s="74"/>
    </row>
    <row r="34" spans="1:13">
      <c r="A34" s="75" t="s">
        <v>272</v>
      </c>
      <c r="B34" s="78"/>
      <c r="C34" s="79"/>
      <c r="D34" s="79"/>
      <c r="E34" s="79"/>
      <c r="F34" s="79"/>
      <c r="G34" s="79"/>
      <c r="H34" s="79"/>
      <c r="I34" s="79"/>
      <c r="J34" s="79"/>
      <c r="K34" s="79"/>
      <c r="L34" s="79"/>
      <c r="M34" s="80"/>
    </row>
    <row r="35" spans="1:13">
      <c r="A35" s="76"/>
      <c r="B35" s="81"/>
      <c r="C35" s="82"/>
      <c r="D35" s="82"/>
      <c r="E35" s="82"/>
      <c r="F35" s="82"/>
      <c r="G35" s="82"/>
      <c r="H35" s="82"/>
      <c r="I35" s="82"/>
      <c r="J35" s="82"/>
      <c r="K35" s="82"/>
      <c r="L35" s="82"/>
      <c r="M35" s="83"/>
    </row>
    <row r="36" spans="1:13">
      <c r="A36" s="76"/>
      <c r="B36" s="81"/>
      <c r="C36" s="82"/>
      <c r="D36" s="82"/>
      <c r="E36" s="82"/>
      <c r="F36" s="82"/>
      <c r="G36" s="82"/>
      <c r="H36" s="82"/>
      <c r="I36" s="82"/>
      <c r="J36" s="82"/>
      <c r="K36" s="82"/>
      <c r="L36" s="82"/>
      <c r="M36" s="83"/>
    </row>
    <row r="37" spans="1:13">
      <c r="A37" s="76"/>
      <c r="B37" s="81"/>
      <c r="C37" s="82"/>
      <c r="D37" s="82"/>
      <c r="E37" s="82"/>
      <c r="F37" s="82"/>
      <c r="G37" s="82"/>
      <c r="H37" s="82"/>
      <c r="I37" s="82"/>
      <c r="J37" s="82"/>
      <c r="K37" s="82"/>
      <c r="L37" s="82"/>
      <c r="M37" s="83"/>
    </row>
    <row r="38" spans="1:13">
      <c r="A38" s="76"/>
      <c r="B38" s="81"/>
      <c r="C38" s="82"/>
      <c r="D38" s="82"/>
      <c r="E38" s="82"/>
      <c r="F38" s="82"/>
      <c r="G38" s="82"/>
      <c r="H38" s="82"/>
      <c r="I38" s="82"/>
      <c r="J38" s="82"/>
      <c r="K38" s="82"/>
      <c r="L38" s="82"/>
      <c r="M38" s="83"/>
    </row>
    <row r="39" spans="1:13">
      <c r="A39" s="76"/>
      <c r="B39" s="81"/>
      <c r="C39" s="82"/>
      <c r="D39" s="82"/>
      <c r="E39" s="82"/>
      <c r="F39" s="82"/>
      <c r="G39" s="82"/>
      <c r="H39" s="82"/>
      <c r="I39" s="82"/>
      <c r="J39" s="82"/>
      <c r="K39" s="82"/>
      <c r="L39" s="82"/>
      <c r="M39" s="83"/>
    </row>
    <row r="40" spans="1:13">
      <c r="A40" s="76"/>
      <c r="B40" s="81"/>
      <c r="C40" s="82"/>
      <c r="D40" s="82"/>
      <c r="E40" s="82"/>
      <c r="F40" s="82"/>
      <c r="G40" s="82"/>
      <c r="H40" s="82"/>
      <c r="I40" s="82"/>
      <c r="J40" s="82"/>
      <c r="K40" s="82"/>
      <c r="L40" s="82"/>
      <c r="M40" s="83"/>
    </row>
    <row r="41" spans="1:13">
      <c r="A41" s="76"/>
      <c r="B41" s="81"/>
      <c r="C41" s="82"/>
      <c r="D41" s="82"/>
      <c r="E41" s="82"/>
      <c r="F41" s="82"/>
      <c r="G41" s="82"/>
      <c r="H41" s="82"/>
      <c r="I41" s="82"/>
      <c r="J41" s="82"/>
      <c r="K41" s="82"/>
      <c r="L41" s="82"/>
      <c r="M41" s="83"/>
    </row>
    <row r="42" spans="1:13">
      <c r="A42" s="76"/>
      <c r="B42" s="81"/>
      <c r="C42" s="82"/>
      <c r="D42" s="82"/>
      <c r="E42" s="82"/>
      <c r="F42" s="82"/>
      <c r="G42" s="82"/>
      <c r="H42" s="82"/>
      <c r="I42" s="82"/>
      <c r="J42" s="82"/>
      <c r="K42" s="82"/>
      <c r="L42" s="82"/>
      <c r="M42" s="83"/>
    </row>
    <row r="43" spans="1:13">
      <c r="A43" s="76"/>
      <c r="B43" s="81"/>
      <c r="C43" s="82"/>
      <c r="D43" s="82"/>
      <c r="E43" s="82"/>
      <c r="F43" s="82"/>
      <c r="G43" s="82"/>
      <c r="H43" s="82"/>
      <c r="I43" s="82"/>
      <c r="J43" s="82"/>
      <c r="K43" s="82"/>
      <c r="L43" s="82"/>
      <c r="M43" s="83"/>
    </row>
    <row r="44" spans="1:13">
      <c r="A44" s="76"/>
      <c r="B44" s="81"/>
      <c r="C44" s="82"/>
      <c r="D44" s="82"/>
      <c r="E44" s="82"/>
      <c r="F44" s="82"/>
      <c r="G44" s="82"/>
      <c r="H44" s="82"/>
      <c r="I44" s="82"/>
      <c r="J44" s="82"/>
      <c r="K44" s="82"/>
      <c r="L44" s="82"/>
      <c r="M44" s="83"/>
    </row>
    <row r="45" spans="1:13">
      <c r="A45" s="76"/>
      <c r="B45" s="81"/>
      <c r="C45" s="82"/>
      <c r="D45" s="82"/>
      <c r="E45" s="82"/>
      <c r="F45" s="82"/>
      <c r="G45" s="82"/>
      <c r="H45" s="82"/>
      <c r="I45" s="82"/>
      <c r="J45" s="82"/>
      <c r="K45" s="82"/>
      <c r="L45" s="82"/>
      <c r="M45" s="83"/>
    </row>
    <row r="46" spans="1:13">
      <c r="A46" s="76"/>
      <c r="B46" s="81"/>
      <c r="C46" s="82"/>
      <c r="D46" s="82"/>
      <c r="E46" s="82"/>
      <c r="F46" s="82"/>
      <c r="G46" s="82"/>
      <c r="H46" s="82"/>
      <c r="I46" s="82"/>
      <c r="J46" s="82"/>
      <c r="K46" s="82"/>
      <c r="L46" s="82"/>
      <c r="M46" s="83"/>
    </row>
    <row r="47" spans="1:13">
      <c r="A47" s="76"/>
      <c r="B47" s="81"/>
      <c r="C47" s="82"/>
      <c r="D47" s="82"/>
      <c r="E47" s="82"/>
      <c r="F47" s="82"/>
      <c r="G47" s="82"/>
      <c r="H47" s="82"/>
      <c r="I47" s="82"/>
      <c r="J47" s="82"/>
      <c r="K47" s="82"/>
      <c r="L47" s="82"/>
      <c r="M47" s="83"/>
    </row>
    <row r="48" spans="1:13">
      <c r="A48" s="77"/>
      <c r="B48" s="84"/>
      <c r="C48" s="85"/>
      <c r="D48" s="85"/>
      <c r="E48" s="85"/>
      <c r="F48" s="85"/>
      <c r="G48" s="85"/>
      <c r="H48" s="85"/>
      <c r="I48" s="85"/>
      <c r="J48" s="85"/>
      <c r="K48" s="85"/>
      <c r="L48" s="85"/>
      <c r="M48" s="86"/>
    </row>
    <row r="49" spans="1:13">
      <c r="A49" s="87" t="s">
        <v>24</v>
      </c>
      <c r="B49" s="90" t="s">
        <v>273</v>
      </c>
      <c r="C49" s="91"/>
      <c r="D49" s="91"/>
      <c r="E49" s="91"/>
      <c r="F49" s="91"/>
      <c r="G49" s="91"/>
      <c r="H49" s="91"/>
      <c r="I49" s="91"/>
      <c r="J49" s="91"/>
      <c r="K49" s="91"/>
      <c r="L49" s="91"/>
      <c r="M49" s="92"/>
    </row>
    <row r="50" spans="1:13">
      <c r="A50" s="88"/>
      <c r="B50" s="93"/>
      <c r="C50" s="94"/>
      <c r="D50" s="94"/>
      <c r="E50" s="94"/>
      <c r="F50" s="94"/>
      <c r="G50" s="94"/>
      <c r="H50" s="94"/>
      <c r="I50" s="94"/>
      <c r="J50" s="94"/>
      <c r="K50" s="94"/>
      <c r="L50" s="94"/>
      <c r="M50" s="95"/>
    </row>
    <row r="51" spans="1:13">
      <c r="A51" s="88"/>
      <c r="B51" s="93"/>
      <c r="C51" s="94"/>
      <c r="D51" s="94"/>
      <c r="E51" s="94"/>
      <c r="F51" s="94"/>
      <c r="G51" s="94"/>
      <c r="H51" s="94"/>
      <c r="I51" s="94"/>
      <c r="J51" s="94"/>
      <c r="K51" s="94"/>
      <c r="L51" s="94"/>
      <c r="M51" s="95"/>
    </row>
    <row r="52" spans="1:13">
      <c r="A52" s="88"/>
      <c r="B52" s="93"/>
      <c r="C52" s="94"/>
      <c r="D52" s="94"/>
      <c r="E52" s="94"/>
      <c r="F52" s="94"/>
      <c r="G52" s="94"/>
      <c r="H52" s="94"/>
      <c r="I52" s="94"/>
      <c r="J52" s="94"/>
      <c r="K52" s="94"/>
      <c r="L52" s="94"/>
      <c r="M52" s="95"/>
    </row>
    <row r="53" spans="1:13">
      <c r="A53" s="89"/>
      <c r="B53" s="93"/>
      <c r="C53" s="94"/>
      <c r="D53" s="94"/>
      <c r="E53" s="94"/>
      <c r="F53" s="94"/>
      <c r="G53" s="94"/>
      <c r="H53" s="94"/>
      <c r="I53" s="94"/>
      <c r="J53" s="94"/>
      <c r="K53" s="94"/>
      <c r="L53" s="94"/>
      <c r="M53" s="95"/>
    </row>
    <row r="54" spans="1:13">
      <c r="A54" s="9" t="s">
        <v>25</v>
      </c>
      <c r="B54" s="96" t="s">
        <v>274</v>
      </c>
      <c r="C54" s="97"/>
      <c r="D54" s="97"/>
      <c r="E54" s="97"/>
      <c r="F54" s="97"/>
      <c r="G54" s="97"/>
      <c r="H54" s="97"/>
      <c r="I54" s="97"/>
      <c r="J54" s="97"/>
      <c r="K54" s="97"/>
      <c r="L54" s="97"/>
      <c r="M54" s="98"/>
    </row>
    <row r="55" spans="1:13">
      <c r="A55" s="51" t="s">
        <v>27</v>
      </c>
      <c r="B55" s="54" t="s">
        <v>275</v>
      </c>
      <c r="C55" s="55"/>
      <c r="D55" s="55"/>
      <c r="E55" s="55"/>
      <c r="F55" s="55"/>
      <c r="G55" s="55"/>
      <c r="H55" s="55"/>
      <c r="I55" s="55"/>
      <c r="J55" s="55"/>
      <c r="K55" s="55"/>
      <c r="L55" s="55"/>
      <c r="M55" s="56"/>
    </row>
    <row r="56" spans="1:13">
      <c r="A56" s="52"/>
      <c r="B56" s="57"/>
      <c r="C56" s="58"/>
      <c r="D56" s="58"/>
      <c r="E56" s="58"/>
      <c r="F56" s="58"/>
      <c r="G56" s="58"/>
      <c r="H56" s="58"/>
      <c r="I56" s="58"/>
      <c r="J56" s="58"/>
      <c r="K56" s="58"/>
      <c r="L56" s="58"/>
      <c r="M56" s="59"/>
    </row>
    <row r="57" spans="1:13">
      <c r="A57" s="52"/>
      <c r="B57" s="99" t="s">
        <v>28</v>
      </c>
      <c r="C57" s="58" t="s">
        <v>29</v>
      </c>
      <c r="D57" s="58"/>
      <c r="E57" s="58"/>
      <c r="F57" s="58"/>
      <c r="G57" s="58"/>
      <c r="H57" s="58"/>
      <c r="I57" s="58"/>
      <c r="J57" s="58"/>
      <c r="K57" s="58"/>
      <c r="L57" s="58"/>
      <c r="M57" s="59"/>
    </row>
    <row r="58" spans="1:13">
      <c r="A58" s="52"/>
      <c r="B58" s="99"/>
      <c r="C58" s="58"/>
      <c r="D58" s="58"/>
      <c r="E58" s="58"/>
      <c r="F58" s="58"/>
      <c r="G58" s="58"/>
      <c r="H58" s="58"/>
      <c r="I58" s="58"/>
      <c r="J58" s="58"/>
      <c r="K58" s="58"/>
      <c r="L58" s="58"/>
      <c r="M58" s="59"/>
    </row>
    <row r="59" spans="1:13">
      <c r="A59" s="52"/>
      <c r="B59" s="20" t="s">
        <v>30</v>
      </c>
      <c r="C59" s="58" t="s">
        <v>31</v>
      </c>
      <c r="D59" s="58"/>
      <c r="E59" s="58"/>
      <c r="F59" s="58"/>
      <c r="G59" s="58"/>
      <c r="H59" s="58"/>
      <c r="I59" s="58"/>
      <c r="J59" s="58"/>
      <c r="K59" s="58"/>
      <c r="L59" s="58"/>
      <c r="M59" s="59"/>
    </row>
    <row r="60" spans="1:13">
      <c r="A60" s="52"/>
      <c r="B60" s="99" t="s">
        <v>32</v>
      </c>
      <c r="C60" s="58" t="s">
        <v>33</v>
      </c>
      <c r="D60" s="58"/>
      <c r="E60" s="58"/>
      <c r="F60" s="58"/>
      <c r="G60" s="58"/>
      <c r="H60" s="58"/>
      <c r="I60" s="58"/>
      <c r="J60" s="58"/>
      <c r="K60" s="58"/>
      <c r="L60" s="58"/>
      <c r="M60" s="59"/>
    </row>
    <row r="61" spans="1:13">
      <c r="A61" s="52"/>
      <c r="B61" s="99"/>
      <c r="C61" s="58"/>
      <c r="D61" s="58"/>
      <c r="E61" s="58"/>
      <c r="F61" s="58"/>
      <c r="G61" s="58"/>
      <c r="H61" s="58"/>
      <c r="I61" s="58"/>
      <c r="J61" s="58"/>
      <c r="K61" s="58"/>
      <c r="L61" s="58"/>
      <c r="M61" s="59"/>
    </row>
    <row r="62" spans="1:13" ht="39">
      <c r="A62" s="53"/>
      <c r="B62" s="21" t="s">
        <v>60</v>
      </c>
      <c r="C62" s="61" t="s">
        <v>34</v>
      </c>
      <c r="D62" s="61"/>
      <c r="E62" s="61"/>
      <c r="F62" s="61"/>
      <c r="G62" s="61"/>
      <c r="H62" s="61"/>
      <c r="I62" s="61"/>
      <c r="J62" s="61"/>
      <c r="K62" s="61"/>
      <c r="L62" s="61"/>
      <c r="M62" s="62"/>
    </row>
    <row r="63" spans="1:13">
      <c r="A63" s="18" t="s">
        <v>36</v>
      </c>
      <c r="B63" s="47" t="s">
        <v>276</v>
      </c>
      <c r="C63" s="48"/>
      <c r="D63" s="48"/>
      <c r="E63" s="48"/>
      <c r="F63" s="48"/>
      <c r="G63" s="48"/>
      <c r="H63" s="48"/>
      <c r="I63" s="48"/>
      <c r="J63" s="48"/>
      <c r="K63" s="48"/>
      <c r="L63" s="48"/>
      <c r="M63" s="49"/>
    </row>
    <row r="64" spans="1:13">
      <c r="A64" s="18" t="s">
        <v>35</v>
      </c>
      <c r="B64" s="47" t="s">
        <v>61</v>
      </c>
      <c r="C64" s="48"/>
      <c r="D64" s="48"/>
      <c r="E64" s="48"/>
      <c r="F64" s="48"/>
      <c r="G64" s="48"/>
      <c r="H64" s="48"/>
      <c r="I64" s="48"/>
      <c r="J64" s="48"/>
      <c r="K64" s="48"/>
      <c r="L64" s="48"/>
      <c r="M64" s="49"/>
    </row>
    <row r="65" spans="1:13">
      <c r="A65" s="18" t="s">
        <v>62</v>
      </c>
      <c r="B65" s="47" t="s">
        <v>277</v>
      </c>
      <c r="C65" s="48"/>
      <c r="D65" s="48"/>
      <c r="E65" s="48"/>
      <c r="F65" s="48"/>
      <c r="G65" s="48"/>
      <c r="H65" s="48"/>
      <c r="I65" s="48"/>
      <c r="J65" s="48"/>
      <c r="K65" s="48"/>
      <c r="L65" s="48"/>
      <c r="M65" s="49"/>
    </row>
    <row r="66" spans="1:13">
      <c r="A66" s="51" t="s">
        <v>152</v>
      </c>
      <c r="B66" s="55" t="s">
        <v>278</v>
      </c>
      <c r="C66" s="55"/>
      <c r="D66" s="55"/>
      <c r="E66" s="55"/>
      <c r="F66" s="55"/>
      <c r="G66" s="55"/>
      <c r="H66" s="55"/>
      <c r="I66" s="55"/>
      <c r="J66" s="55"/>
      <c r="K66" s="55"/>
      <c r="L66" s="55"/>
      <c r="M66" s="56"/>
    </row>
    <row r="67" spans="1:13">
      <c r="A67" s="53"/>
      <c r="B67" s="61"/>
      <c r="C67" s="61"/>
      <c r="D67" s="61"/>
      <c r="E67" s="61"/>
      <c r="F67" s="61"/>
      <c r="G67" s="61"/>
      <c r="H67" s="61"/>
      <c r="I67" s="61"/>
      <c r="J67" s="61"/>
      <c r="K67" s="61"/>
      <c r="L67" s="61"/>
      <c r="M67" s="62"/>
    </row>
  </sheetData>
  <mergeCells count="34">
    <mergeCell ref="B63:M63"/>
    <mergeCell ref="B64:M64"/>
    <mergeCell ref="B65:M65"/>
    <mergeCell ref="A66:A67"/>
    <mergeCell ref="B66:M67"/>
    <mergeCell ref="A49:A53"/>
    <mergeCell ref="B49:M53"/>
    <mergeCell ref="B54:M54"/>
    <mergeCell ref="A55:A62"/>
    <mergeCell ref="B55:M56"/>
    <mergeCell ref="B57:B58"/>
    <mergeCell ref="C57:M58"/>
    <mergeCell ref="C59:M59"/>
    <mergeCell ref="B60:B61"/>
    <mergeCell ref="C60:M61"/>
    <mergeCell ref="C62:M62"/>
    <mergeCell ref="A19:A30"/>
    <mergeCell ref="B19:M30"/>
    <mergeCell ref="A31:A33"/>
    <mergeCell ref="B31:M33"/>
    <mergeCell ref="A34:A48"/>
    <mergeCell ref="B34:M48"/>
    <mergeCell ref="B18:M18"/>
    <mergeCell ref="B3:M3"/>
    <mergeCell ref="A4:A6"/>
    <mergeCell ref="B4:M6"/>
    <mergeCell ref="B7:M7"/>
    <mergeCell ref="B8:M8"/>
    <mergeCell ref="B9:M9"/>
    <mergeCell ref="A10:A14"/>
    <mergeCell ref="B10:M14"/>
    <mergeCell ref="B15:M15"/>
    <mergeCell ref="B16:M16"/>
    <mergeCell ref="B17:M17"/>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5706-1BEF-4F01-9B84-F0D5D485B9E3}">
  <dimension ref="A1:S8"/>
  <sheetViews>
    <sheetView showGridLines="0" workbookViewId="0">
      <pane ySplit="5" topLeftCell="A6" activePane="bottomLeft" state="frozen"/>
      <selection pane="bottomLeft" sqref="A1:P1"/>
    </sheetView>
  </sheetViews>
  <sheetFormatPr defaultRowHeight="14.5"/>
  <cols>
    <col min="1" max="1" width="12.453125" bestFit="1" customWidth="1"/>
    <col min="2" max="13" width="6.54296875" bestFit="1" customWidth="1"/>
    <col min="14" max="20" width="11.453125" bestFit="1" customWidth="1"/>
    <col min="21" max="325" width="12" bestFit="1" customWidth="1"/>
    <col min="326" max="326" width="7.1796875" bestFit="1" customWidth="1"/>
  </cols>
  <sheetData>
    <row r="1" spans="1:19" ht="23.25" customHeight="1">
      <c r="A1" s="100" t="s">
        <v>220</v>
      </c>
      <c r="B1" s="100"/>
      <c r="C1" s="100"/>
      <c r="D1" s="100"/>
      <c r="E1" s="100"/>
      <c r="F1" s="100"/>
      <c r="G1" s="100"/>
      <c r="H1" s="100"/>
      <c r="I1" s="100"/>
      <c r="J1" s="100"/>
      <c r="K1" s="100"/>
      <c r="L1" s="100"/>
      <c r="M1" s="100"/>
      <c r="N1" s="100"/>
      <c r="O1" s="100"/>
      <c r="P1" s="100"/>
      <c r="Q1" s="16"/>
      <c r="R1" s="16"/>
      <c r="S1" s="16"/>
    </row>
    <row r="4" spans="1:19">
      <c r="A4" s="10" t="s">
        <v>232</v>
      </c>
    </row>
    <row r="5" spans="1:19">
      <c r="B5">
        <v>2014</v>
      </c>
      <c r="C5">
        <v>2015</v>
      </c>
      <c r="D5">
        <v>2016</v>
      </c>
      <c r="E5">
        <v>2017</v>
      </c>
      <c r="F5">
        <v>2018</v>
      </c>
      <c r="G5">
        <v>2019</v>
      </c>
      <c r="H5">
        <v>2020</v>
      </c>
      <c r="I5">
        <v>2021</v>
      </c>
      <c r="J5">
        <v>2022</v>
      </c>
      <c r="K5">
        <v>2023</v>
      </c>
      <c r="L5">
        <v>2024</v>
      </c>
      <c r="M5">
        <v>2025</v>
      </c>
    </row>
    <row r="6" spans="1:19">
      <c r="A6" t="s">
        <v>207</v>
      </c>
      <c r="B6" s="14">
        <v>28661.137200000001</v>
      </c>
      <c r="C6" s="14">
        <v>29034.740600000001</v>
      </c>
      <c r="D6" s="14">
        <v>29414.8338</v>
      </c>
      <c r="E6" s="14">
        <v>29855.034100000001</v>
      </c>
      <c r="F6" s="14">
        <v>30146.215700000001</v>
      </c>
      <c r="G6" s="14">
        <v>30844.248500000002</v>
      </c>
      <c r="H6" s="14">
        <v>31272.939200000001</v>
      </c>
      <c r="I6" s="14">
        <v>31635.7739</v>
      </c>
      <c r="J6" s="14">
        <v>31764.706600000001</v>
      </c>
      <c r="K6" s="14">
        <v>31663.550800000001</v>
      </c>
      <c r="L6" s="14">
        <v>32689.063399999999</v>
      </c>
      <c r="M6" s="14">
        <v>33767.219499999999</v>
      </c>
    </row>
    <row r="7" spans="1:19">
      <c r="A7" t="s">
        <v>208</v>
      </c>
      <c r="B7" s="14">
        <v>22782.966</v>
      </c>
      <c r="C7" s="14">
        <v>22850.124599999999</v>
      </c>
      <c r="D7" s="14">
        <v>22984.830600000001</v>
      </c>
      <c r="E7" s="14">
        <v>23284.280500000001</v>
      </c>
      <c r="F7" s="14">
        <v>23465.315299999998</v>
      </c>
      <c r="G7" s="14">
        <v>23772.910899999999</v>
      </c>
      <c r="H7" s="14">
        <v>24116.2916</v>
      </c>
      <c r="I7" s="14">
        <v>24618.080300000001</v>
      </c>
      <c r="J7" s="14">
        <v>24974.240900000001</v>
      </c>
      <c r="K7" s="14">
        <v>25144.3</v>
      </c>
      <c r="L7" s="14">
        <v>26167.429400000001</v>
      </c>
      <c r="M7" s="14">
        <v>27007.1054</v>
      </c>
    </row>
    <row r="8" spans="1:19">
      <c r="A8" t="s">
        <v>37</v>
      </c>
      <c r="B8" s="14">
        <v>51444.103199999998</v>
      </c>
      <c r="C8" s="14">
        <v>51884.8652</v>
      </c>
      <c r="D8" s="14">
        <v>52399.664400000001</v>
      </c>
      <c r="E8" s="14">
        <v>53139.314599999998</v>
      </c>
      <c r="F8" s="14">
        <v>53611.531000000003</v>
      </c>
      <c r="G8" s="14">
        <v>54617.159399999997</v>
      </c>
      <c r="H8" s="14">
        <v>55389.230799999998</v>
      </c>
      <c r="I8" s="14">
        <v>56253.854200000002</v>
      </c>
      <c r="J8" s="14">
        <v>56738.947500000002</v>
      </c>
      <c r="K8" s="14">
        <v>56807.8508</v>
      </c>
      <c r="L8" s="14">
        <v>58856.4928</v>
      </c>
      <c r="M8" s="14">
        <v>60774.3249</v>
      </c>
    </row>
  </sheetData>
  <mergeCells count="1">
    <mergeCell ref="A1:P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ED3A9-C54C-4D6E-9073-CDF6F83BE74D}">
  <dimension ref="A1:S35"/>
  <sheetViews>
    <sheetView showGridLines="0" workbookViewId="0">
      <pane ySplit="5" topLeftCell="A6" activePane="bottomLeft" state="frozen"/>
      <selection pane="bottomLeft" sqref="A1:O1"/>
    </sheetView>
  </sheetViews>
  <sheetFormatPr defaultRowHeight="14.5"/>
  <cols>
    <col min="1" max="1" width="12.453125" bestFit="1" customWidth="1"/>
    <col min="2" max="2" width="27.54296875" bestFit="1" customWidth="1"/>
    <col min="3" max="14" width="6.54296875" bestFit="1" customWidth="1"/>
    <col min="15" max="20" width="11.453125" bestFit="1" customWidth="1"/>
    <col min="21" max="325" width="12" bestFit="1" customWidth="1"/>
    <col min="326" max="326" width="7.1796875" bestFit="1" customWidth="1"/>
  </cols>
  <sheetData>
    <row r="1" spans="1:19" ht="23.25" customHeight="1">
      <c r="A1" s="100" t="s">
        <v>231</v>
      </c>
      <c r="B1" s="100"/>
      <c r="C1" s="100"/>
      <c r="D1" s="100"/>
      <c r="E1" s="100"/>
      <c r="F1" s="100"/>
      <c r="G1" s="100"/>
      <c r="H1" s="100"/>
      <c r="I1" s="100"/>
      <c r="J1" s="100"/>
      <c r="K1" s="100"/>
      <c r="L1" s="100"/>
      <c r="M1" s="100"/>
      <c r="N1" s="100"/>
      <c r="O1" s="100"/>
      <c r="P1" s="15"/>
      <c r="Q1" s="15"/>
      <c r="R1" s="15"/>
      <c r="S1" s="15"/>
    </row>
    <row r="4" spans="1:19">
      <c r="A4" s="10" t="s">
        <v>232</v>
      </c>
    </row>
    <row r="5" spans="1:19">
      <c r="C5">
        <v>2014</v>
      </c>
      <c r="D5">
        <v>2015</v>
      </c>
      <c r="E5">
        <v>2016</v>
      </c>
      <c r="F5">
        <v>2017</v>
      </c>
      <c r="G5">
        <v>2018</v>
      </c>
      <c r="H5">
        <v>2019</v>
      </c>
      <c r="I5">
        <v>2020</v>
      </c>
      <c r="J5">
        <v>2021</v>
      </c>
      <c r="K5">
        <v>2022</v>
      </c>
      <c r="L5">
        <v>2023</v>
      </c>
      <c r="M5">
        <v>2024</v>
      </c>
      <c r="N5">
        <v>2025</v>
      </c>
    </row>
    <row r="6" spans="1:19">
      <c r="A6" t="s">
        <v>207</v>
      </c>
      <c r="B6" t="s">
        <v>221</v>
      </c>
      <c r="C6" s="14">
        <v>17.989000000000001</v>
      </c>
      <c r="D6" s="14">
        <v>21.351500000000001</v>
      </c>
      <c r="E6" s="14">
        <v>20.879100000000001</v>
      </c>
      <c r="F6" s="14">
        <v>19.9313</v>
      </c>
      <c r="G6" s="14">
        <v>16.843299999999999</v>
      </c>
      <c r="H6" s="14">
        <v>14.950100000000001</v>
      </c>
      <c r="I6" s="14">
        <v>11.827999999999999</v>
      </c>
      <c r="J6" s="14">
        <v>10.502700000000001</v>
      </c>
      <c r="K6" s="14">
        <v>11.4999</v>
      </c>
      <c r="L6" s="14">
        <v>11.9338</v>
      </c>
      <c r="M6" s="14">
        <v>26.862300000000001</v>
      </c>
      <c r="N6" s="14">
        <v>25.945599999999999</v>
      </c>
    </row>
    <row r="7" spans="1:19">
      <c r="B7" t="s">
        <v>222</v>
      </c>
      <c r="C7" s="14">
        <v>1940.7977000000001</v>
      </c>
      <c r="D7" s="14">
        <v>1936.9219000000001</v>
      </c>
      <c r="E7" s="14">
        <v>1932.2867000000001</v>
      </c>
      <c r="F7" s="14">
        <v>1904.2935</v>
      </c>
      <c r="G7" s="14">
        <v>1901.9507000000001</v>
      </c>
      <c r="H7" s="14">
        <v>1913.4012</v>
      </c>
      <c r="I7" s="14">
        <v>1911.6577</v>
      </c>
      <c r="J7" s="14">
        <v>1897.7947999999999</v>
      </c>
      <c r="K7" s="14">
        <v>1904.1791000000001</v>
      </c>
      <c r="L7" s="14">
        <v>1898.3887</v>
      </c>
      <c r="M7" s="14">
        <v>1905.3106</v>
      </c>
      <c r="N7" s="14">
        <v>1904.8487</v>
      </c>
    </row>
    <row r="8" spans="1:19">
      <c r="B8" t="s">
        <v>223</v>
      </c>
      <c r="C8" s="14">
        <v>25674.748800000001</v>
      </c>
      <c r="D8" s="14">
        <v>26019.9797</v>
      </c>
      <c r="E8" s="14">
        <v>26373.3511</v>
      </c>
      <c r="F8" s="14">
        <v>26792.719400000002</v>
      </c>
      <c r="G8" s="14">
        <v>27036.018199999999</v>
      </c>
      <c r="H8" s="14">
        <v>27655.489699999998</v>
      </c>
      <c r="I8" s="14">
        <v>28073.578600000001</v>
      </c>
      <c r="J8" s="14">
        <v>28439.749800000001</v>
      </c>
      <c r="K8" s="14">
        <v>28563.809000000001</v>
      </c>
      <c r="L8" s="14">
        <v>28452.7775</v>
      </c>
      <c r="M8" s="14">
        <v>29418.657299999999</v>
      </c>
      <c r="N8" s="14">
        <v>30500.939200000001</v>
      </c>
    </row>
    <row r="9" spans="1:19">
      <c r="B9" t="s">
        <v>224</v>
      </c>
      <c r="C9" s="14">
        <v>64.547700000000006</v>
      </c>
      <c r="D9" s="14">
        <v>64.252899999999997</v>
      </c>
      <c r="E9" s="14">
        <v>65.67</v>
      </c>
      <c r="F9" s="14">
        <v>74.716700000000003</v>
      </c>
      <c r="G9" s="14">
        <v>82.021299999999997</v>
      </c>
      <c r="H9" s="14">
        <v>86.232799999999997</v>
      </c>
      <c r="I9" s="14">
        <v>89.006299999999996</v>
      </c>
      <c r="J9" s="14">
        <v>97.353300000000004</v>
      </c>
      <c r="K9" s="14">
        <v>90.415199999999999</v>
      </c>
      <c r="L9" s="14">
        <v>104.7432</v>
      </c>
      <c r="M9" s="14">
        <v>118.1922</v>
      </c>
      <c r="N9" s="14">
        <v>117.8708</v>
      </c>
    </row>
    <row r="10" spans="1:19">
      <c r="B10" t="s">
        <v>225</v>
      </c>
      <c r="C10" s="14">
        <v>115.44670000000001</v>
      </c>
      <c r="D10" s="14">
        <v>110.8266</v>
      </c>
      <c r="E10" s="14">
        <v>118.9952</v>
      </c>
      <c r="F10" s="14">
        <v>123.5146</v>
      </c>
      <c r="G10" s="14">
        <v>123.5479</v>
      </c>
      <c r="H10" s="14">
        <v>132.291</v>
      </c>
      <c r="I10" s="14">
        <v>135.15260000000001</v>
      </c>
      <c r="J10" s="14">
        <v>138.98560000000001</v>
      </c>
      <c r="K10" s="14">
        <v>135.2038</v>
      </c>
      <c r="L10" s="14">
        <v>136.50649999999999</v>
      </c>
      <c r="M10" s="14">
        <v>151.93119999999999</v>
      </c>
      <c r="N10" s="14">
        <v>149.78460000000001</v>
      </c>
    </row>
    <row r="11" spans="1:19">
      <c r="B11" t="s">
        <v>226</v>
      </c>
      <c r="C11" s="14">
        <v>642.20929999999998</v>
      </c>
      <c r="D11" s="14">
        <v>678.5136</v>
      </c>
      <c r="E11" s="14">
        <v>681.52840000000003</v>
      </c>
      <c r="F11" s="14">
        <v>705.71990000000005</v>
      </c>
      <c r="G11" s="14">
        <v>748.17539999999997</v>
      </c>
      <c r="H11" s="14">
        <v>790.8818</v>
      </c>
      <c r="I11" s="14">
        <v>796.16179999999997</v>
      </c>
      <c r="J11" s="14">
        <v>791.84270000000004</v>
      </c>
      <c r="K11" s="14">
        <v>798.40449999999998</v>
      </c>
      <c r="L11" s="14">
        <v>798.54899999999998</v>
      </c>
      <c r="M11" s="14">
        <v>813.62570000000005</v>
      </c>
      <c r="N11" s="14">
        <v>813.69280000000003</v>
      </c>
    </row>
    <row r="12" spans="1:19">
      <c r="B12" t="s">
        <v>227</v>
      </c>
      <c r="C12" s="14">
        <v>95.513900000000007</v>
      </c>
      <c r="D12" s="14">
        <v>96.829300000000003</v>
      </c>
      <c r="E12" s="14">
        <v>99.263400000000004</v>
      </c>
      <c r="F12" s="14">
        <v>103.042</v>
      </c>
      <c r="G12" s="14">
        <v>99.410899999999998</v>
      </c>
      <c r="H12" s="14">
        <v>105.3152</v>
      </c>
      <c r="I12" s="14">
        <v>100.7881</v>
      </c>
      <c r="J12" s="14">
        <v>99.657399999999996</v>
      </c>
      <c r="K12" s="14">
        <v>103.8595</v>
      </c>
      <c r="L12" s="14">
        <v>105.7473</v>
      </c>
      <c r="M12" s="14">
        <v>103.9443</v>
      </c>
      <c r="N12" s="14">
        <v>99.417599999999993</v>
      </c>
    </row>
    <row r="13" spans="1:19">
      <c r="B13" t="s">
        <v>228</v>
      </c>
      <c r="C13" s="14">
        <v>36.483800000000002</v>
      </c>
      <c r="D13" s="14">
        <v>35.028300000000002</v>
      </c>
      <c r="E13" s="14">
        <v>36.945900000000002</v>
      </c>
      <c r="F13" s="14">
        <v>37.004100000000001</v>
      </c>
      <c r="G13" s="14">
        <v>35.311</v>
      </c>
      <c r="H13" s="14">
        <v>32.529499999999999</v>
      </c>
      <c r="I13" s="14">
        <v>33.873699999999999</v>
      </c>
      <c r="J13" s="14">
        <v>32.409399999999998</v>
      </c>
      <c r="K13" s="14">
        <v>31.1265</v>
      </c>
      <c r="L13" s="14">
        <v>28.9404</v>
      </c>
      <c r="M13" s="14">
        <v>28.759399999999999</v>
      </c>
      <c r="N13" s="14">
        <v>28.497</v>
      </c>
    </row>
    <row r="14" spans="1:19">
      <c r="B14" t="s">
        <v>229</v>
      </c>
      <c r="C14" s="14">
        <v>70.674000000000007</v>
      </c>
      <c r="D14" s="14">
        <v>70.046400000000006</v>
      </c>
      <c r="E14" s="14">
        <v>84.914000000000001</v>
      </c>
      <c r="F14" s="14">
        <v>92.0899</v>
      </c>
      <c r="G14" s="14">
        <v>100.94799999999999</v>
      </c>
      <c r="H14" s="14">
        <v>109.9104</v>
      </c>
      <c r="I14" s="14">
        <v>118.91889999999999</v>
      </c>
      <c r="J14" s="14">
        <v>125.3503</v>
      </c>
      <c r="K14" s="14">
        <v>124.20910000000001</v>
      </c>
      <c r="L14" s="14">
        <v>123.96720000000001</v>
      </c>
      <c r="M14" s="14">
        <v>119.8601</v>
      </c>
      <c r="N14" s="14">
        <v>124.2398</v>
      </c>
    </row>
    <row r="15" spans="1:19">
      <c r="B15" t="s">
        <v>230</v>
      </c>
      <c r="C15" s="14">
        <v>2.7263000000000002</v>
      </c>
      <c r="D15" s="14">
        <v>0.99039999999999995</v>
      </c>
      <c r="E15" s="14">
        <v>1</v>
      </c>
      <c r="F15" s="14">
        <v>2.0026999999999999</v>
      </c>
      <c r="G15" s="14">
        <v>1.9890000000000001</v>
      </c>
      <c r="H15" s="14">
        <v>3.2467999999999999</v>
      </c>
      <c r="I15" s="14">
        <v>1.9735</v>
      </c>
      <c r="J15" s="14">
        <v>2.1278999999999999</v>
      </c>
      <c r="K15" s="14">
        <v>2</v>
      </c>
      <c r="L15" s="14">
        <v>1.9972000000000001</v>
      </c>
      <c r="M15" s="14">
        <v>1.9202999999999999</v>
      </c>
      <c r="N15" s="14">
        <v>1.9834000000000001</v>
      </c>
    </row>
    <row r="16" spans="1:19">
      <c r="A16" t="s">
        <v>208</v>
      </c>
      <c r="B16" t="s">
        <v>221</v>
      </c>
      <c r="C16" s="14">
        <v>10.1099</v>
      </c>
      <c r="D16" s="14">
        <v>8.5455000000000005</v>
      </c>
      <c r="E16" s="14">
        <v>7.9394999999999998</v>
      </c>
      <c r="F16" s="14">
        <v>8.4176000000000002</v>
      </c>
      <c r="G16" s="14">
        <v>7.9284999999999997</v>
      </c>
      <c r="H16" s="14">
        <v>8.0123999999999995</v>
      </c>
      <c r="I16" s="14">
        <v>7.8121</v>
      </c>
      <c r="J16" s="14">
        <v>7.9931000000000001</v>
      </c>
      <c r="K16" s="14">
        <v>6.3517999999999999</v>
      </c>
      <c r="L16" s="14">
        <v>5.9044999999999996</v>
      </c>
      <c r="M16" s="14">
        <v>6.9943999999999997</v>
      </c>
      <c r="N16" s="14">
        <v>6.923</v>
      </c>
    </row>
    <row r="17" spans="1:14">
      <c r="B17" t="s">
        <v>222</v>
      </c>
      <c r="C17" s="14">
        <v>439.58019999999999</v>
      </c>
      <c r="D17" s="14">
        <v>442.76639999999998</v>
      </c>
      <c r="E17" s="14">
        <v>451.91449999999998</v>
      </c>
      <c r="F17" s="14">
        <v>449.03840000000002</v>
      </c>
      <c r="G17" s="14">
        <v>448.34320000000002</v>
      </c>
      <c r="H17" s="14">
        <v>460.40859999999998</v>
      </c>
      <c r="I17" s="14">
        <v>459.04950000000002</v>
      </c>
      <c r="J17" s="14">
        <v>469.0077</v>
      </c>
      <c r="K17" s="14">
        <v>468.36509999999998</v>
      </c>
      <c r="L17" s="14">
        <v>462.7278</v>
      </c>
      <c r="M17" s="14">
        <v>470.47640000000001</v>
      </c>
      <c r="N17" s="14">
        <v>478.85340000000002</v>
      </c>
    </row>
    <row r="18" spans="1:14">
      <c r="B18" t="s">
        <v>223</v>
      </c>
      <c r="C18" s="14">
        <v>21863.391800000001</v>
      </c>
      <c r="D18" s="14">
        <v>21943.104500000001</v>
      </c>
      <c r="E18" s="14">
        <v>22065.205600000001</v>
      </c>
      <c r="F18" s="14">
        <v>22366.875599999999</v>
      </c>
      <c r="G18" s="14">
        <v>22554.507000000001</v>
      </c>
      <c r="H18" s="14">
        <v>22863.237499999999</v>
      </c>
      <c r="I18" s="14">
        <v>23214.019199999999</v>
      </c>
      <c r="J18" s="14">
        <v>23690.341</v>
      </c>
      <c r="K18" s="14">
        <v>24057.736499999999</v>
      </c>
      <c r="L18" s="14">
        <v>24239.199799999999</v>
      </c>
      <c r="M18" s="14">
        <v>25289.6963</v>
      </c>
      <c r="N18" s="14">
        <v>26116.007799999999</v>
      </c>
    </row>
    <row r="19" spans="1:14">
      <c r="B19" t="s">
        <v>224</v>
      </c>
      <c r="C19" s="14">
        <v>189.83590000000001</v>
      </c>
      <c r="D19" s="14">
        <v>196.946</v>
      </c>
      <c r="E19" s="14">
        <v>207.53200000000001</v>
      </c>
      <c r="F19" s="14">
        <v>205.60640000000001</v>
      </c>
      <c r="G19" s="14">
        <v>215.6122</v>
      </c>
      <c r="H19" s="14">
        <v>221.5275</v>
      </c>
      <c r="I19" s="14">
        <v>216.8263</v>
      </c>
      <c r="J19" s="14">
        <v>217.71979999999999</v>
      </c>
      <c r="K19" s="14">
        <v>204.78749999999999</v>
      </c>
      <c r="L19" s="14">
        <v>196.27889999999999</v>
      </c>
      <c r="M19" s="14">
        <v>188.08690000000001</v>
      </c>
      <c r="N19" s="14">
        <v>200.6097</v>
      </c>
    </row>
    <row r="20" spans="1:14">
      <c r="B20" t="s">
        <v>225</v>
      </c>
      <c r="C20" s="14"/>
      <c r="D20" s="14"/>
      <c r="E20" s="14">
        <v>1</v>
      </c>
      <c r="F20" s="14">
        <v>1</v>
      </c>
      <c r="G20" s="14">
        <v>0.37909999999999999</v>
      </c>
      <c r="H20" s="14"/>
      <c r="I20" s="14"/>
      <c r="J20" s="14"/>
      <c r="K20" s="14"/>
      <c r="L20" s="14">
        <v>0.95330000000000004</v>
      </c>
      <c r="M20" s="14"/>
      <c r="N20" s="14"/>
    </row>
    <row r="21" spans="1:14">
      <c r="B21" t="s">
        <v>226</v>
      </c>
      <c r="C21" s="14">
        <v>252.33179999999999</v>
      </c>
      <c r="D21" s="14">
        <v>234.79599999999999</v>
      </c>
      <c r="E21" s="14">
        <v>232.0283</v>
      </c>
      <c r="F21" s="14">
        <v>233.98150000000001</v>
      </c>
      <c r="G21" s="14">
        <v>220.56739999999999</v>
      </c>
      <c r="H21" s="14">
        <v>200.1268</v>
      </c>
      <c r="I21" s="14">
        <v>199.7116</v>
      </c>
      <c r="J21" s="14">
        <v>214.3759</v>
      </c>
      <c r="K21" s="14">
        <v>214.8279</v>
      </c>
      <c r="L21" s="14">
        <v>215.15969999999999</v>
      </c>
      <c r="M21" s="14">
        <v>188.39240000000001</v>
      </c>
      <c r="N21" s="14">
        <v>181.1285</v>
      </c>
    </row>
    <row r="22" spans="1:14">
      <c r="B22" t="s">
        <v>227</v>
      </c>
      <c r="C22" s="14">
        <v>3</v>
      </c>
      <c r="D22" s="14">
        <v>2</v>
      </c>
      <c r="E22" s="14">
        <v>1</v>
      </c>
      <c r="F22" s="14">
        <v>2</v>
      </c>
      <c r="G22" s="14">
        <v>1.9862</v>
      </c>
      <c r="H22" s="14">
        <v>1.9944</v>
      </c>
      <c r="I22" s="14">
        <v>2</v>
      </c>
      <c r="J22" s="14">
        <v>3.7199</v>
      </c>
      <c r="K22" s="14">
        <v>2.8113999999999999</v>
      </c>
      <c r="L22" s="14">
        <v>3.8489</v>
      </c>
      <c r="M22" s="14">
        <v>3.5966999999999998</v>
      </c>
      <c r="N22" s="14">
        <v>3.6023000000000001</v>
      </c>
    </row>
    <row r="23" spans="1:14">
      <c r="B23" t="s">
        <v>228</v>
      </c>
      <c r="C23" s="14">
        <v>8.9559999999999995</v>
      </c>
      <c r="D23" s="14">
        <v>9.3571000000000009</v>
      </c>
      <c r="E23" s="14">
        <v>8.9314999999999998</v>
      </c>
      <c r="F23" s="14">
        <v>10.460900000000001</v>
      </c>
      <c r="G23" s="14">
        <v>10.9917</v>
      </c>
      <c r="H23" s="14">
        <v>12.963800000000001</v>
      </c>
      <c r="I23" s="14">
        <v>13.1904</v>
      </c>
      <c r="J23" s="14">
        <v>13.997199999999999</v>
      </c>
      <c r="K23" s="14">
        <v>18.519200000000001</v>
      </c>
      <c r="L23" s="14">
        <v>19.5532</v>
      </c>
      <c r="M23" s="14">
        <v>18.9862</v>
      </c>
      <c r="N23" s="14">
        <v>18.941700000000001</v>
      </c>
    </row>
    <row r="24" spans="1:14">
      <c r="B24" t="s">
        <v>229</v>
      </c>
      <c r="C24" s="14">
        <v>1</v>
      </c>
      <c r="D24" s="14">
        <v>1</v>
      </c>
      <c r="E24" s="14"/>
      <c r="F24" s="14"/>
      <c r="G24" s="14"/>
      <c r="H24" s="14"/>
      <c r="I24" s="14"/>
      <c r="J24" s="14"/>
      <c r="K24" s="14"/>
      <c r="L24" s="14"/>
      <c r="M24" s="14"/>
      <c r="N24" s="14"/>
    </row>
    <row r="25" spans="1:14">
      <c r="B25" t="s">
        <v>230</v>
      </c>
      <c r="C25" s="14">
        <v>14.760400000000001</v>
      </c>
      <c r="D25" s="14">
        <v>11.6091</v>
      </c>
      <c r="E25" s="14">
        <v>9.2791999999999994</v>
      </c>
      <c r="F25" s="14">
        <v>6.9001000000000001</v>
      </c>
      <c r="G25" s="14">
        <v>5</v>
      </c>
      <c r="H25" s="14">
        <v>4.6398999999999999</v>
      </c>
      <c r="I25" s="14">
        <v>3.6825000000000001</v>
      </c>
      <c r="J25" s="14">
        <v>0.92569999999999997</v>
      </c>
      <c r="K25" s="14">
        <v>0.84150000000000003</v>
      </c>
      <c r="L25" s="14">
        <v>0.67390000000000005</v>
      </c>
      <c r="M25" s="14">
        <v>1.2000999999999999</v>
      </c>
      <c r="N25" s="14">
        <v>1.0389999999999999</v>
      </c>
    </row>
    <row r="26" spans="1:14">
      <c r="A26" t="s">
        <v>37</v>
      </c>
      <c r="B26" t="s">
        <v>221</v>
      </c>
      <c r="C26" s="14">
        <v>28.0989</v>
      </c>
      <c r="D26" s="14">
        <v>29.896999999999998</v>
      </c>
      <c r="E26" s="14">
        <v>28.8186</v>
      </c>
      <c r="F26" s="14">
        <v>28.3489</v>
      </c>
      <c r="G26" s="14">
        <v>24.771799999999999</v>
      </c>
      <c r="H26" s="14">
        <v>22.962499999999999</v>
      </c>
      <c r="I26" s="14">
        <v>19.6401</v>
      </c>
      <c r="J26" s="14">
        <v>18.495799999999999</v>
      </c>
      <c r="K26" s="14">
        <v>17.851700000000001</v>
      </c>
      <c r="L26" s="14">
        <v>17.8383</v>
      </c>
      <c r="M26" s="14">
        <v>33.856699999999996</v>
      </c>
      <c r="N26" s="14">
        <v>32.868600000000001</v>
      </c>
    </row>
    <row r="27" spans="1:14">
      <c r="B27" t="s">
        <v>222</v>
      </c>
      <c r="C27" s="14">
        <v>2380.3779</v>
      </c>
      <c r="D27" s="14">
        <v>2379.6882999999998</v>
      </c>
      <c r="E27" s="14">
        <v>2384.2012</v>
      </c>
      <c r="F27" s="14">
        <v>2353.3319000000001</v>
      </c>
      <c r="G27" s="14">
        <v>2350.2939000000001</v>
      </c>
      <c r="H27" s="14">
        <v>2373.8098</v>
      </c>
      <c r="I27" s="14">
        <v>2370.7071999999998</v>
      </c>
      <c r="J27" s="14">
        <v>2366.8024999999998</v>
      </c>
      <c r="K27" s="14">
        <v>2372.5441999999998</v>
      </c>
      <c r="L27" s="14">
        <v>2361.1165000000001</v>
      </c>
      <c r="M27" s="14">
        <v>2375.7869999999998</v>
      </c>
      <c r="N27" s="14">
        <v>2383.7021</v>
      </c>
    </row>
    <row r="28" spans="1:14">
      <c r="B28" t="s">
        <v>223</v>
      </c>
      <c r="C28" s="14">
        <v>47538.140599999999</v>
      </c>
      <c r="D28" s="14">
        <v>47963.084199999998</v>
      </c>
      <c r="E28" s="14">
        <v>48438.556700000001</v>
      </c>
      <c r="F28" s="14">
        <v>49159.595000000001</v>
      </c>
      <c r="G28" s="14">
        <v>49590.525199999996</v>
      </c>
      <c r="H28" s="14">
        <v>50518.727200000001</v>
      </c>
      <c r="I28" s="14">
        <v>51287.597800000003</v>
      </c>
      <c r="J28" s="14">
        <v>52130.090799999998</v>
      </c>
      <c r="K28" s="14">
        <v>52621.5455</v>
      </c>
      <c r="L28" s="14">
        <v>52691.977299999999</v>
      </c>
      <c r="M28" s="14">
        <v>54708.353600000002</v>
      </c>
      <c r="N28" s="14">
        <v>56616.947</v>
      </c>
    </row>
    <row r="29" spans="1:14">
      <c r="B29" t="s">
        <v>224</v>
      </c>
      <c r="C29" s="14">
        <v>254.3836</v>
      </c>
      <c r="D29" s="14">
        <v>261.19889999999998</v>
      </c>
      <c r="E29" s="14">
        <v>273.202</v>
      </c>
      <c r="F29" s="14">
        <v>280.32310000000001</v>
      </c>
      <c r="G29" s="14">
        <v>297.63350000000003</v>
      </c>
      <c r="H29" s="14">
        <v>307.76029999999997</v>
      </c>
      <c r="I29" s="14">
        <v>305.83260000000001</v>
      </c>
      <c r="J29" s="14">
        <v>315.07310000000001</v>
      </c>
      <c r="K29" s="14">
        <v>295.20269999999999</v>
      </c>
      <c r="L29" s="14">
        <v>301.02210000000002</v>
      </c>
      <c r="M29" s="14">
        <v>306.27910000000003</v>
      </c>
      <c r="N29" s="14">
        <v>318.48050000000001</v>
      </c>
    </row>
    <row r="30" spans="1:14">
      <c r="B30" t="s">
        <v>225</v>
      </c>
      <c r="C30" s="14">
        <v>115.44670000000001</v>
      </c>
      <c r="D30" s="14">
        <v>110.8266</v>
      </c>
      <c r="E30" s="14">
        <v>119.9952</v>
      </c>
      <c r="F30" s="14">
        <v>124.5146</v>
      </c>
      <c r="G30" s="14">
        <v>123.92700000000001</v>
      </c>
      <c r="H30" s="14">
        <v>132.291</v>
      </c>
      <c r="I30" s="14">
        <v>135.15260000000001</v>
      </c>
      <c r="J30" s="14">
        <v>138.98560000000001</v>
      </c>
      <c r="K30" s="14">
        <v>135.2038</v>
      </c>
      <c r="L30" s="14">
        <v>137.4598</v>
      </c>
      <c r="M30" s="14">
        <v>151.93119999999999</v>
      </c>
      <c r="N30" s="14">
        <v>149.78460000000001</v>
      </c>
    </row>
    <row r="31" spans="1:14">
      <c r="B31" t="s">
        <v>226</v>
      </c>
      <c r="C31" s="14">
        <v>894.54110000000003</v>
      </c>
      <c r="D31" s="14">
        <v>913.30960000000005</v>
      </c>
      <c r="E31" s="14">
        <v>913.55669999999998</v>
      </c>
      <c r="F31" s="14">
        <v>939.70140000000004</v>
      </c>
      <c r="G31" s="14">
        <v>968.74279999999999</v>
      </c>
      <c r="H31" s="14">
        <v>991.0086</v>
      </c>
      <c r="I31" s="14">
        <v>995.87339999999995</v>
      </c>
      <c r="J31" s="14">
        <v>1006.2186</v>
      </c>
      <c r="K31" s="14">
        <v>1013.2324</v>
      </c>
      <c r="L31" s="14">
        <v>1013.7087</v>
      </c>
      <c r="M31" s="14">
        <v>1002.0181</v>
      </c>
      <c r="N31" s="14">
        <v>994.82129999999995</v>
      </c>
    </row>
    <row r="32" spans="1:14">
      <c r="B32" t="s">
        <v>227</v>
      </c>
      <c r="C32" s="14">
        <v>98.513900000000007</v>
      </c>
      <c r="D32" s="14">
        <v>98.829300000000003</v>
      </c>
      <c r="E32" s="14">
        <v>100.2634</v>
      </c>
      <c r="F32" s="14">
        <v>105.042</v>
      </c>
      <c r="G32" s="14">
        <v>101.39709999999999</v>
      </c>
      <c r="H32" s="14">
        <v>107.3096</v>
      </c>
      <c r="I32" s="14">
        <v>102.7881</v>
      </c>
      <c r="J32" s="14">
        <v>103.37730000000001</v>
      </c>
      <c r="K32" s="14">
        <v>106.6709</v>
      </c>
      <c r="L32" s="14">
        <v>109.5962</v>
      </c>
      <c r="M32" s="14">
        <v>107.541</v>
      </c>
      <c r="N32" s="14">
        <v>103.01990000000001</v>
      </c>
    </row>
    <row r="33" spans="2:14">
      <c r="B33" t="s">
        <v>228</v>
      </c>
      <c r="C33" s="14">
        <v>45.439799999999998</v>
      </c>
      <c r="D33" s="14">
        <v>44.385399999999997</v>
      </c>
      <c r="E33" s="14">
        <v>45.877400000000002</v>
      </c>
      <c r="F33" s="14">
        <v>47.465000000000003</v>
      </c>
      <c r="G33" s="14">
        <v>46.302700000000002</v>
      </c>
      <c r="H33" s="14">
        <v>45.493299999999998</v>
      </c>
      <c r="I33" s="14">
        <v>47.064100000000003</v>
      </c>
      <c r="J33" s="14">
        <v>46.406599999999997</v>
      </c>
      <c r="K33" s="14">
        <v>49.645699999999998</v>
      </c>
      <c r="L33" s="14">
        <v>48.493600000000001</v>
      </c>
      <c r="M33" s="14">
        <v>47.745600000000003</v>
      </c>
      <c r="N33" s="14">
        <v>47.438699999999997</v>
      </c>
    </row>
    <row r="34" spans="2:14">
      <c r="B34" t="s">
        <v>229</v>
      </c>
      <c r="C34" s="14">
        <v>71.674000000000007</v>
      </c>
      <c r="D34" s="14">
        <v>71.046400000000006</v>
      </c>
      <c r="E34" s="14">
        <v>84.914000000000001</v>
      </c>
      <c r="F34" s="14">
        <v>92.0899</v>
      </c>
      <c r="G34" s="14">
        <v>100.94799999999999</v>
      </c>
      <c r="H34" s="14">
        <v>109.9104</v>
      </c>
      <c r="I34" s="14">
        <v>118.91889999999999</v>
      </c>
      <c r="J34" s="14">
        <v>125.3503</v>
      </c>
      <c r="K34" s="14">
        <v>124.20910000000001</v>
      </c>
      <c r="L34" s="14">
        <v>123.96720000000001</v>
      </c>
      <c r="M34" s="14">
        <v>119.8601</v>
      </c>
      <c r="N34" s="14">
        <v>124.2398</v>
      </c>
    </row>
    <row r="35" spans="2:14">
      <c r="B35" t="s">
        <v>230</v>
      </c>
      <c r="C35" s="14">
        <v>17.486699999999999</v>
      </c>
      <c r="D35" s="14">
        <v>12.599500000000001</v>
      </c>
      <c r="E35" s="14">
        <v>10.279199999999999</v>
      </c>
      <c r="F35" s="14">
        <v>8.9027999999999992</v>
      </c>
      <c r="G35" s="14">
        <v>6.9889999999999999</v>
      </c>
      <c r="H35" s="14">
        <v>7.8867000000000003</v>
      </c>
      <c r="I35" s="14">
        <v>5.6559999999999997</v>
      </c>
      <c r="J35" s="14">
        <v>3.0535999999999999</v>
      </c>
      <c r="K35" s="14">
        <v>2.8414999999999999</v>
      </c>
      <c r="L35" s="14">
        <v>2.6711</v>
      </c>
      <c r="M35" s="14">
        <v>3.1204000000000001</v>
      </c>
      <c r="N35" s="14">
        <v>3.0224000000000002</v>
      </c>
    </row>
  </sheetData>
  <mergeCells count="1">
    <mergeCell ref="A1:O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5D5ED-98D0-471D-9E57-E293B46A5490}">
  <dimension ref="A1:T14"/>
  <sheetViews>
    <sheetView showGridLines="0" workbookViewId="0">
      <pane ySplit="5" topLeftCell="A6" activePane="bottomLeft" state="frozen"/>
      <selection pane="bottomLeft" sqref="A1:T1"/>
    </sheetView>
  </sheetViews>
  <sheetFormatPr defaultRowHeight="14.5"/>
  <cols>
    <col min="1" max="1" width="12.453125" bestFit="1" customWidth="1"/>
    <col min="2" max="2" width="10.81640625" bestFit="1" customWidth="1"/>
    <col min="3" max="20" width="6.54296875" bestFit="1" customWidth="1"/>
  </cols>
  <sheetData>
    <row r="1" spans="1:20" ht="23.25" customHeight="1">
      <c r="A1" s="100" t="s">
        <v>209</v>
      </c>
      <c r="B1" s="100"/>
      <c r="C1" s="100"/>
      <c r="D1" s="100"/>
      <c r="E1" s="100"/>
      <c r="F1" s="100"/>
      <c r="G1" s="100"/>
      <c r="H1" s="100"/>
      <c r="I1" s="100"/>
      <c r="J1" s="100"/>
      <c r="K1" s="100"/>
      <c r="L1" s="100"/>
      <c r="M1" s="100"/>
      <c r="N1" s="100"/>
      <c r="O1" s="100"/>
      <c r="P1" s="100"/>
      <c r="Q1" s="100"/>
      <c r="R1" s="100"/>
      <c r="S1" s="100"/>
      <c r="T1" s="100"/>
    </row>
    <row r="4" spans="1:20">
      <c r="A4" s="10" t="s">
        <v>232</v>
      </c>
    </row>
    <row r="5" spans="1:20">
      <c r="C5">
        <v>2014</v>
      </c>
      <c r="D5">
        <v>2015</v>
      </c>
      <c r="E5">
        <v>2016</v>
      </c>
      <c r="F5">
        <v>2017</v>
      </c>
      <c r="G5">
        <v>2018</v>
      </c>
      <c r="H5">
        <v>2019</v>
      </c>
      <c r="I5">
        <v>2020</v>
      </c>
      <c r="J5">
        <v>2021</v>
      </c>
      <c r="K5">
        <v>2022</v>
      </c>
      <c r="L5">
        <v>2023</v>
      </c>
      <c r="M5">
        <v>2024</v>
      </c>
      <c r="N5">
        <v>2025</v>
      </c>
    </row>
    <row r="6" spans="1:20">
      <c r="A6" t="s">
        <v>207</v>
      </c>
      <c r="B6" t="s">
        <v>64</v>
      </c>
      <c r="C6" s="14">
        <v>20959.714400000001</v>
      </c>
      <c r="D6" s="14">
        <v>21064.7104</v>
      </c>
      <c r="E6" s="14">
        <v>21400.347399999999</v>
      </c>
      <c r="F6" s="14">
        <v>21825.9444</v>
      </c>
      <c r="G6" s="14">
        <v>22289.073</v>
      </c>
      <c r="H6" s="14">
        <v>22885.7837</v>
      </c>
      <c r="I6" s="14">
        <v>23911.158500000001</v>
      </c>
      <c r="J6" s="14">
        <v>24400.083200000001</v>
      </c>
      <c r="K6" s="14">
        <v>24561.696499999998</v>
      </c>
      <c r="L6" s="14">
        <v>24491.324400000001</v>
      </c>
      <c r="M6" s="14">
        <v>25280.314999999999</v>
      </c>
      <c r="N6" s="14">
        <v>26151.802500000002</v>
      </c>
    </row>
    <row r="7" spans="1:20">
      <c r="B7" t="s">
        <v>63</v>
      </c>
      <c r="C7" s="14">
        <v>6426.1751999999997</v>
      </c>
      <c r="D7" s="14">
        <v>6630.1751999999997</v>
      </c>
      <c r="E7" s="14">
        <v>6672.3135000000002</v>
      </c>
      <c r="F7" s="14">
        <v>6645.9683999999997</v>
      </c>
      <c r="G7" s="14">
        <v>6532.2950000000001</v>
      </c>
      <c r="H7" s="14">
        <v>6559.5002000000004</v>
      </c>
      <c r="I7" s="14">
        <v>6307.2150000000001</v>
      </c>
      <c r="J7" s="14">
        <v>6254.7248</v>
      </c>
      <c r="K7" s="14">
        <v>5865.4535999999998</v>
      </c>
      <c r="L7" s="14">
        <v>5886.0432000000001</v>
      </c>
      <c r="M7" s="14">
        <v>6098.6088</v>
      </c>
      <c r="N7" s="14">
        <v>6320.3733000000002</v>
      </c>
    </row>
    <row r="8" spans="1:20">
      <c r="B8" t="s">
        <v>38</v>
      </c>
      <c r="C8" s="14">
        <v>1275.2475999999999</v>
      </c>
      <c r="D8" s="14">
        <v>1339.855</v>
      </c>
      <c r="E8" s="14">
        <v>1342.1729</v>
      </c>
      <c r="F8" s="14">
        <v>1383.1213</v>
      </c>
      <c r="G8" s="14">
        <v>1324.8477</v>
      </c>
      <c r="H8" s="14">
        <v>1398.9646</v>
      </c>
      <c r="I8" s="14">
        <v>1054.5657000000001</v>
      </c>
      <c r="J8" s="14">
        <v>980.96590000000003</v>
      </c>
      <c r="K8" s="14">
        <v>1337.5564999999999</v>
      </c>
      <c r="L8" s="14">
        <v>1286.1831999999999</v>
      </c>
      <c r="M8" s="14">
        <v>1310.1396</v>
      </c>
      <c r="N8" s="14">
        <v>1295.0436999999999</v>
      </c>
    </row>
    <row r="9" spans="1:20">
      <c r="A9" t="s">
        <v>208</v>
      </c>
      <c r="B9" t="s">
        <v>64</v>
      </c>
      <c r="C9" s="14">
        <v>19009.518499999998</v>
      </c>
      <c r="D9" s="14">
        <v>18896.4866</v>
      </c>
      <c r="E9" s="14">
        <v>19062.175599999999</v>
      </c>
      <c r="F9" s="14">
        <v>19336.6649</v>
      </c>
      <c r="G9" s="14">
        <v>19521.436300000001</v>
      </c>
      <c r="H9" s="14">
        <v>19729.709900000002</v>
      </c>
      <c r="I9" s="14">
        <v>20414.000800000002</v>
      </c>
      <c r="J9" s="14">
        <v>20856.666700000002</v>
      </c>
      <c r="K9" s="14">
        <v>21007.039000000001</v>
      </c>
      <c r="L9" s="14">
        <v>21231.2232</v>
      </c>
      <c r="M9" s="14">
        <v>22074.007799999999</v>
      </c>
      <c r="N9" s="14">
        <v>22683.134399999999</v>
      </c>
    </row>
    <row r="10" spans="1:20">
      <c r="B10" t="s">
        <v>63</v>
      </c>
      <c r="C10" s="14">
        <v>2996.6770000000001</v>
      </c>
      <c r="D10" s="14">
        <v>3166.6749</v>
      </c>
      <c r="E10" s="14">
        <v>3141.627</v>
      </c>
      <c r="F10" s="14">
        <v>3110.4994999999999</v>
      </c>
      <c r="G10" s="14">
        <v>3103.9949000000001</v>
      </c>
      <c r="H10" s="14">
        <v>3157.4090000000001</v>
      </c>
      <c r="I10" s="14">
        <v>3027.7734</v>
      </c>
      <c r="J10" s="14">
        <v>3053.9457000000002</v>
      </c>
      <c r="K10" s="14">
        <v>3004.4034000000001</v>
      </c>
      <c r="L10" s="14">
        <v>2987.1985</v>
      </c>
      <c r="M10" s="14">
        <v>3020.3532</v>
      </c>
      <c r="N10" s="14">
        <v>3228.8771999999999</v>
      </c>
    </row>
    <row r="11" spans="1:20">
      <c r="B11" t="s">
        <v>38</v>
      </c>
      <c r="C11" s="14">
        <v>776.77049999999997</v>
      </c>
      <c r="D11" s="14">
        <v>786.96310000000005</v>
      </c>
      <c r="E11" s="14">
        <v>781.02800000000002</v>
      </c>
      <c r="F11" s="14">
        <v>837.11609999999996</v>
      </c>
      <c r="G11" s="14">
        <v>839.88409999999999</v>
      </c>
      <c r="H11" s="14">
        <v>885.79200000000003</v>
      </c>
      <c r="I11" s="14">
        <v>674.51739999999995</v>
      </c>
      <c r="J11" s="14">
        <v>707.46789999999999</v>
      </c>
      <c r="K11" s="14">
        <v>962.79849999999999</v>
      </c>
      <c r="L11" s="14">
        <v>925.87829999999997</v>
      </c>
      <c r="M11" s="14">
        <v>1073.0684000000001</v>
      </c>
      <c r="N11" s="14">
        <v>1095.0938000000001</v>
      </c>
    </row>
    <row r="12" spans="1:20">
      <c r="A12" t="s">
        <v>37</v>
      </c>
      <c r="B12" t="s">
        <v>64</v>
      </c>
      <c r="C12" s="14">
        <v>39969.232900000003</v>
      </c>
      <c r="D12" s="14">
        <v>39961.197</v>
      </c>
      <c r="E12" s="14">
        <v>40462.523000000001</v>
      </c>
      <c r="F12" s="14">
        <v>41162.609299999996</v>
      </c>
      <c r="G12" s="14">
        <v>41810.509299999998</v>
      </c>
      <c r="H12" s="14">
        <v>42615.493600000002</v>
      </c>
      <c r="I12" s="14">
        <v>44325.159299999999</v>
      </c>
      <c r="J12" s="14">
        <v>45256.749900000003</v>
      </c>
      <c r="K12" s="14">
        <v>45568.735500000003</v>
      </c>
      <c r="L12" s="14">
        <v>45722.547599999998</v>
      </c>
      <c r="M12" s="14">
        <v>47354.322800000002</v>
      </c>
      <c r="N12" s="14">
        <v>48834.936900000001</v>
      </c>
    </row>
    <row r="13" spans="1:20">
      <c r="B13" t="s">
        <v>63</v>
      </c>
      <c r="C13" s="14">
        <v>9422.8521999999994</v>
      </c>
      <c r="D13" s="14">
        <v>9796.8500999999997</v>
      </c>
      <c r="E13" s="14">
        <v>9813.9405000000006</v>
      </c>
      <c r="F13" s="14">
        <v>9756.4678999999996</v>
      </c>
      <c r="G13" s="14">
        <v>9636.2898999999998</v>
      </c>
      <c r="H13" s="14">
        <v>9716.9092000000001</v>
      </c>
      <c r="I13" s="14">
        <v>9334.9884000000002</v>
      </c>
      <c r="J13" s="14">
        <v>9308.6705000000002</v>
      </c>
      <c r="K13" s="14">
        <v>8869.857</v>
      </c>
      <c r="L13" s="14">
        <v>8873.2417000000005</v>
      </c>
      <c r="M13" s="14">
        <v>9118.9619999999995</v>
      </c>
      <c r="N13" s="14">
        <v>9549.2505000000001</v>
      </c>
    </row>
    <row r="14" spans="1:20">
      <c r="B14" t="s">
        <v>38</v>
      </c>
      <c r="C14" s="14">
        <v>2052.0180999999998</v>
      </c>
      <c r="D14" s="14">
        <v>2126.8181</v>
      </c>
      <c r="E14" s="14">
        <v>2123.2008999999998</v>
      </c>
      <c r="F14" s="14">
        <v>2220.2374</v>
      </c>
      <c r="G14" s="14">
        <v>2164.7318</v>
      </c>
      <c r="H14" s="14">
        <v>2284.7566000000002</v>
      </c>
      <c r="I14" s="14">
        <v>1729.0831000000001</v>
      </c>
      <c r="J14" s="14">
        <v>1688.4338</v>
      </c>
      <c r="K14" s="14">
        <v>2300.355</v>
      </c>
      <c r="L14" s="14">
        <v>2212.0614999999998</v>
      </c>
      <c r="M14" s="14">
        <v>2383.2080000000001</v>
      </c>
      <c r="N14" s="14">
        <v>2390.1374999999998</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B6C72-802D-4149-AC98-80C825CE465E}">
  <dimension ref="A1:T14"/>
  <sheetViews>
    <sheetView showGridLines="0" workbookViewId="0">
      <pane ySplit="5" topLeftCell="A6" activePane="bottomLeft" state="frozen"/>
      <selection pane="bottomLeft" sqref="A1:T1"/>
    </sheetView>
  </sheetViews>
  <sheetFormatPr defaultRowHeight="14.5"/>
  <cols>
    <col min="1" max="1" width="12.453125" bestFit="1" customWidth="1"/>
    <col min="2" max="2" width="10" bestFit="1" customWidth="1"/>
    <col min="3" max="20" width="6.54296875" bestFit="1" customWidth="1"/>
  </cols>
  <sheetData>
    <row r="1" spans="1:20" ht="23.5">
      <c r="A1" s="100" t="s">
        <v>210</v>
      </c>
      <c r="B1" s="100"/>
      <c r="C1" s="100"/>
      <c r="D1" s="100"/>
      <c r="E1" s="100"/>
      <c r="F1" s="100"/>
      <c r="G1" s="100"/>
      <c r="H1" s="100"/>
      <c r="I1" s="100"/>
      <c r="J1" s="100"/>
      <c r="K1" s="100"/>
      <c r="L1" s="100"/>
      <c r="M1" s="100"/>
      <c r="N1" s="100"/>
      <c r="O1" s="100"/>
      <c r="P1" s="100"/>
      <c r="Q1" s="100"/>
      <c r="R1" s="100"/>
      <c r="S1" s="100"/>
      <c r="T1" s="100"/>
    </row>
    <row r="4" spans="1:20">
      <c r="A4" s="10" t="s">
        <v>232</v>
      </c>
    </row>
    <row r="5" spans="1:20">
      <c r="C5">
        <v>2014</v>
      </c>
      <c r="D5">
        <v>2015</v>
      </c>
      <c r="E5">
        <v>2016</v>
      </c>
      <c r="F5">
        <v>2017</v>
      </c>
      <c r="G5">
        <v>2018</v>
      </c>
      <c r="H5">
        <v>2019</v>
      </c>
      <c r="I5">
        <v>2020</v>
      </c>
      <c r="J5">
        <v>2021</v>
      </c>
      <c r="K5">
        <v>2022</v>
      </c>
      <c r="L5">
        <v>2023</v>
      </c>
      <c r="M5">
        <v>2024</v>
      </c>
      <c r="N5">
        <v>2025</v>
      </c>
    </row>
    <row r="6" spans="1:20">
      <c r="A6" t="s">
        <v>207</v>
      </c>
      <c r="B6" t="s">
        <v>160</v>
      </c>
      <c r="C6" s="14">
        <v>23758.267400000001</v>
      </c>
      <c r="D6" s="14">
        <v>24009.2366</v>
      </c>
      <c r="E6" s="14">
        <v>24331.900900000001</v>
      </c>
      <c r="F6" s="14">
        <v>24515.614099999999</v>
      </c>
      <c r="G6" s="14">
        <v>24708.0275</v>
      </c>
      <c r="H6" s="14">
        <v>25030.713599999999</v>
      </c>
      <c r="I6" s="14">
        <v>25826.973999999998</v>
      </c>
      <c r="J6" s="14">
        <v>26003.588100000001</v>
      </c>
      <c r="K6" s="14">
        <v>25638.963500000002</v>
      </c>
      <c r="L6" s="14">
        <v>25476.543600000001</v>
      </c>
      <c r="M6" s="14">
        <v>26170.790799999999</v>
      </c>
      <c r="N6" s="14">
        <v>26816.0851</v>
      </c>
    </row>
    <row r="7" spans="1:20">
      <c r="B7" t="s">
        <v>161</v>
      </c>
      <c r="C7" s="14">
        <v>3627.6221999999998</v>
      </c>
      <c r="D7" s="14">
        <v>3685.6489999999999</v>
      </c>
      <c r="E7" s="14">
        <v>3740.76</v>
      </c>
      <c r="F7" s="14">
        <v>3956.2986999999998</v>
      </c>
      <c r="G7" s="14">
        <v>4113.3405000000002</v>
      </c>
      <c r="H7" s="14">
        <v>4414.5703000000003</v>
      </c>
      <c r="I7" s="14">
        <v>4391.3995000000004</v>
      </c>
      <c r="J7" s="14">
        <v>4651.2199000000001</v>
      </c>
      <c r="K7" s="14">
        <v>4788.1866</v>
      </c>
      <c r="L7" s="14">
        <v>4900.8239999999996</v>
      </c>
      <c r="M7" s="14">
        <v>5208.1329999999998</v>
      </c>
      <c r="N7" s="14">
        <v>5656.0906999999997</v>
      </c>
    </row>
    <row r="8" spans="1:20">
      <c r="B8" t="s">
        <v>38</v>
      </c>
      <c r="C8" s="14">
        <v>1275.2475999999999</v>
      </c>
      <c r="D8" s="14">
        <v>1339.855</v>
      </c>
      <c r="E8" s="14">
        <v>1342.1729</v>
      </c>
      <c r="F8" s="14">
        <v>1383.1213</v>
      </c>
      <c r="G8" s="14">
        <v>1324.8477</v>
      </c>
      <c r="H8" s="14">
        <v>1398.9646</v>
      </c>
      <c r="I8" s="14">
        <v>1054.5657000000001</v>
      </c>
      <c r="J8" s="14">
        <v>980.96590000000003</v>
      </c>
      <c r="K8" s="14">
        <v>1337.5564999999999</v>
      </c>
      <c r="L8" s="14">
        <v>1286.1831999999999</v>
      </c>
      <c r="M8" s="14">
        <v>1310.1396</v>
      </c>
      <c r="N8" s="14">
        <v>1295.0436999999999</v>
      </c>
    </row>
    <row r="9" spans="1:20">
      <c r="A9" t="s">
        <v>208</v>
      </c>
      <c r="B9" t="s">
        <v>160</v>
      </c>
      <c r="C9" s="14">
        <v>19726.965700000001</v>
      </c>
      <c r="D9" s="14">
        <v>19776.8272</v>
      </c>
      <c r="E9" s="14">
        <v>19882.705099999999</v>
      </c>
      <c r="F9" s="14">
        <v>20144.525300000001</v>
      </c>
      <c r="G9" s="14">
        <v>20327.607899999999</v>
      </c>
      <c r="H9" s="14">
        <v>20546.288799999998</v>
      </c>
      <c r="I9" s="14">
        <v>21065.828799999999</v>
      </c>
      <c r="J9" s="14">
        <v>21427.456999999999</v>
      </c>
      <c r="K9" s="14">
        <v>21581.102200000001</v>
      </c>
      <c r="L9" s="14">
        <v>21786.5049</v>
      </c>
      <c r="M9" s="14">
        <v>22545.332999999999</v>
      </c>
      <c r="N9" s="14">
        <v>23145.812699999999</v>
      </c>
    </row>
    <row r="10" spans="1:20">
      <c r="B10" t="s">
        <v>161</v>
      </c>
      <c r="C10" s="14">
        <v>2279.2298000000001</v>
      </c>
      <c r="D10" s="14">
        <v>2286.3343</v>
      </c>
      <c r="E10" s="14">
        <v>2321.0974999999999</v>
      </c>
      <c r="F10" s="14">
        <v>2302.6390999999999</v>
      </c>
      <c r="G10" s="14">
        <v>2297.8233</v>
      </c>
      <c r="H10" s="14">
        <v>2340.8301000000001</v>
      </c>
      <c r="I10" s="14">
        <v>2375.9454000000001</v>
      </c>
      <c r="J10" s="14">
        <v>2483.1554000000001</v>
      </c>
      <c r="K10" s="14">
        <v>2430.3402000000001</v>
      </c>
      <c r="L10" s="14">
        <v>2431.9168</v>
      </c>
      <c r="M10" s="14">
        <v>2549.0279999999998</v>
      </c>
      <c r="N10" s="14">
        <v>2766.1988999999999</v>
      </c>
    </row>
    <row r="11" spans="1:20">
      <c r="B11" t="s">
        <v>38</v>
      </c>
      <c r="C11" s="14">
        <v>776.77049999999997</v>
      </c>
      <c r="D11" s="14">
        <v>786.96310000000005</v>
      </c>
      <c r="E11" s="14">
        <v>781.02800000000002</v>
      </c>
      <c r="F11" s="14">
        <v>837.11609999999996</v>
      </c>
      <c r="G11" s="14">
        <v>839.88409999999999</v>
      </c>
      <c r="H11" s="14">
        <v>885.79200000000003</v>
      </c>
      <c r="I11" s="14">
        <v>674.51739999999995</v>
      </c>
      <c r="J11" s="14">
        <v>707.46789999999999</v>
      </c>
      <c r="K11" s="14">
        <v>962.79849999999999</v>
      </c>
      <c r="L11" s="14">
        <v>925.87829999999997</v>
      </c>
      <c r="M11" s="14">
        <v>1073.0684000000001</v>
      </c>
      <c r="N11" s="14">
        <v>1095.0938000000001</v>
      </c>
    </row>
    <row r="12" spans="1:20">
      <c r="A12" t="s">
        <v>37</v>
      </c>
      <c r="B12" t="s">
        <v>160</v>
      </c>
      <c r="C12" s="14">
        <v>43485.233099999998</v>
      </c>
      <c r="D12" s="14">
        <v>43786.063800000004</v>
      </c>
      <c r="E12" s="14">
        <v>44214.606</v>
      </c>
      <c r="F12" s="14">
        <v>44660.1394</v>
      </c>
      <c r="G12" s="14">
        <v>45035.635399999999</v>
      </c>
      <c r="H12" s="14">
        <v>45577.002399999998</v>
      </c>
      <c r="I12" s="14">
        <v>46892.802799999998</v>
      </c>
      <c r="J12" s="14">
        <v>47431.045100000003</v>
      </c>
      <c r="K12" s="14">
        <v>47220.065699999999</v>
      </c>
      <c r="L12" s="14">
        <v>47263.048499999997</v>
      </c>
      <c r="M12" s="14">
        <v>48716.123800000001</v>
      </c>
      <c r="N12" s="14">
        <v>49961.897799999999</v>
      </c>
    </row>
    <row r="13" spans="1:20">
      <c r="B13" t="s">
        <v>161</v>
      </c>
      <c r="C13" s="14">
        <v>5906.8519999999999</v>
      </c>
      <c r="D13" s="14">
        <v>5971.9832999999999</v>
      </c>
      <c r="E13" s="14">
        <v>6061.8575000000001</v>
      </c>
      <c r="F13" s="14">
        <v>6258.9377999999997</v>
      </c>
      <c r="G13" s="14">
        <v>6411.1638000000003</v>
      </c>
      <c r="H13" s="14">
        <v>6755.4004000000004</v>
      </c>
      <c r="I13" s="14">
        <v>6767.3449000000001</v>
      </c>
      <c r="J13" s="14">
        <v>7134.3752999999997</v>
      </c>
      <c r="K13" s="14">
        <v>7218.5267999999996</v>
      </c>
      <c r="L13" s="14">
        <v>7332.7407999999996</v>
      </c>
      <c r="M13" s="14">
        <v>7757.1610000000001</v>
      </c>
      <c r="N13" s="14">
        <v>8422.2896000000001</v>
      </c>
    </row>
    <row r="14" spans="1:20">
      <c r="B14" t="s">
        <v>38</v>
      </c>
      <c r="C14" s="14">
        <v>2052.0180999999998</v>
      </c>
      <c r="D14" s="14">
        <v>2126.8181</v>
      </c>
      <c r="E14" s="14">
        <v>2123.2008999999998</v>
      </c>
      <c r="F14" s="14">
        <v>2220.2374</v>
      </c>
      <c r="G14" s="14">
        <v>2164.7318</v>
      </c>
      <c r="H14" s="14">
        <v>2284.7566000000002</v>
      </c>
      <c r="I14" s="14">
        <v>1729.0831000000001</v>
      </c>
      <c r="J14" s="14">
        <v>1688.4338</v>
      </c>
      <c r="K14" s="14">
        <v>2300.355</v>
      </c>
      <c r="L14" s="14">
        <v>2212.0614999999998</v>
      </c>
      <c r="M14" s="14">
        <v>2383.2080000000001</v>
      </c>
      <c r="N14" s="14">
        <v>2390.1374999999998</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8C832-5138-4914-8999-08D649992EC8}">
  <dimension ref="A1:S29"/>
  <sheetViews>
    <sheetView showGridLines="0" workbookViewId="0">
      <pane ySplit="5" topLeftCell="A6" activePane="bottomLeft" state="frozen"/>
      <selection pane="bottomLeft" sqref="A1:R1"/>
    </sheetView>
  </sheetViews>
  <sheetFormatPr defaultRowHeight="14.5"/>
  <cols>
    <col min="1" max="1" width="12.453125" customWidth="1"/>
    <col min="2" max="2" width="16.81640625" bestFit="1" customWidth="1"/>
    <col min="3" max="20" width="6.54296875" bestFit="1" customWidth="1"/>
  </cols>
  <sheetData>
    <row r="1" spans="1:19" ht="23.5">
      <c r="A1" s="100" t="s">
        <v>211</v>
      </c>
      <c r="B1" s="100"/>
      <c r="C1" s="100"/>
      <c r="D1" s="100"/>
      <c r="E1" s="100"/>
      <c r="F1" s="100"/>
      <c r="G1" s="100"/>
      <c r="H1" s="100"/>
      <c r="I1" s="100"/>
      <c r="J1" s="100"/>
      <c r="K1" s="100"/>
      <c r="L1" s="100"/>
      <c r="M1" s="100"/>
      <c r="N1" s="100"/>
      <c r="O1" s="100"/>
      <c r="P1" s="100"/>
      <c r="Q1" s="100"/>
      <c r="R1" s="100"/>
      <c r="S1" s="17"/>
    </row>
    <row r="2" spans="1:19">
      <c r="A2" s="13" t="s">
        <v>65</v>
      </c>
    </row>
    <row r="4" spans="1:19">
      <c r="A4" s="10" t="s">
        <v>232</v>
      </c>
    </row>
    <row r="5" spans="1:19">
      <c r="C5">
        <v>2014</v>
      </c>
      <c r="D5">
        <v>2015</v>
      </c>
      <c r="E5">
        <v>2016</v>
      </c>
      <c r="F5">
        <v>2017</v>
      </c>
      <c r="G5">
        <v>2018</v>
      </c>
      <c r="H5">
        <v>2019</v>
      </c>
      <c r="I5">
        <v>2020</v>
      </c>
      <c r="J5">
        <v>2021</v>
      </c>
      <c r="K5">
        <v>2022</v>
      </c>
      <c r="L5">
        <v>2023</v>
      </c>
      <c r="M5">
        <v>2024</v>
      </c>
      <c r="N5">
        <v>2025</v>
      </c>
    </row>
    <row r="6" spans="1:19">
      <c r="A6" t="s">
        <v>207</v>
      </c>
      <c r="B6" t="s">
        <v>155</v>
      </c>
      <c r="C6" s="14">
        <v>2871.2628</v>
      </c>
      <c r="D6" s="14">
        <v>2974.3742999999999</v>
      </c>
      <c r="E6" s="14">
        <v>3118.1451000000002</v>
      </c>
      <c r="F6" s="14">
        <v>3239.5590999999999</v>
      </c>
      <c r="G6" s="14">
        <v>3384.2853</v>
      </c>
      <c r="H6" s="14">
        <v>3594.3049999999998</v>
      </c>
      <c r="I6" s="14">
        <v>3773.0324000000001</v>
      </c>
      <c r="J6" s="14">
        <v>3853.2494999999999</v>
      </c>
      <c r="K6" s="14">
        <v>3813.8569000000002</v>
      </c>
      <c r="L6" s="14">
        <v>3815.1601000000001</v>
      </c>
      <c r="M6" s="14">
        <v>3947.0282000000002</v>
      </c>
      <c r="N6" s="14">
        <v>4125.2214000000004</v>
      </c>
    </row>
    <row r="7" spans="1:19">
      <c r="B7" t="s">
        <v>159</v>
      </c>
      <c r="C7" s="14">
        <v>890.83810000000005</v>
      </c>
      <c r="D7" s="14">
        <v>960.61090000000002</v>
      </c>
      <c r="E7" s="14">
        <v>1021.0216</v>
      </c>
      <c r="F7" s="14">
        <v>1097.9570000000001</v>
      </c>
      <c r="G7" s="14">
        <v>1213.0415</v>
      </c>
      <c r="H7" s="14">
        <v>1328.9137000000001</v>
      </c>
      <c r="I7" s="14">
        <v>1395.1990000000001</v>
      </c>
      <c r="J7" s="14">
        <v>1466.1605</v>
      </c>
      <c r="K7" s="14">
        <v>1516.6977999999999</v>
      </c>
      <c r="L7" s="14">
        <v>1585.4213999999999</v>
      </c>
      <c r="M7" s="14">
        <v>1693.944</v>
      </c>
      <c r="N7" s="14">
        <v>1811.8803</v>
      </c>
    </row>
    <row r="8" spans="1:19">
      <c r="B8" t="s">
        <v>153</v>
      </c>
      <c r="C8" s="14">
        <v>843.46159999999998</v>
      </c>
      <c r="D8" s="14">
        <v>900.93799999999999</v>
      </c>
      <c r="E8" s="14">
        <v>965.19200000000001</v>
      </c>
      <c r="F8" s="14">
        <v>1044.6458</v>
      </c>
      <c r="G8" s="14">
        <v>1118.4647</v>
      </c>
      <c r="H8" s="14">
        <v>1245.9317000000001</v>
      </c>
      <c r="I8" s="14">
        <v>1332.0881999999999</v>
      </c>
      <c r="J8" s="14">
        <v>1415.7397000000001</v>
      </c>
      <c r="K8" s="14">
        <v>1517.4163000000001</v>
      </c>
      <c r="L8" s="14">
        <v>1617.3304000000001</v>
      </c>
      <c r="M8" s="14">
        <v>1809.6895</v>
      </c>
      <c r="N8" s="14">
        <v>2113.8616999999999</v>
      </c>
    </row>
    <row r="9" spans="1:19">
      <c r="B9" t="s">
        <v>156</v>
      </c>
      <c r="C9" s="14">
        <v>31.731100000000001</v>
      </c>
      <c r="D9" s="14">
        <v>62.133499999999998</v>
      </c>
      <c r="E9" s="14">
        <v>93.8155</v>
      </c>
      <c r="F9" s="14">
        <v>140.87280000000001</v>
      </c>
      <c r="G9" s="14">
        <v>191.06620000000001</v>
      </c>
      <c r="H9" s="14">
        <v>254.4803</v>
      </c>
      <c r="I9" s="14">
        <v>327.12520000000001</v>
      </c>
      <c r="J9" s="14">
        <v>355.49810000000002</v>
      </c>
      <c r="K9" s="14">
        <v>388.71800000000002</v>
      </c>
      <c r="L9" s="14">
        <v>447.17169999999999</v>
      </c>
      <c r="M9" s="14">
        <v>510.66059999999999</v>
      </c>
      <c r="N9" s="14">
        <v>602.84860000000003</v>
      </c>
    </row>
    <row r="10" spans="1:19">
      <c r="B10" t="s">
        <v>154</v>
      </c>
      <c r="C10" s="14">
        <v>21874.8907</v>
      </c>
      <c r="D10" s="14">
        <v>22012.719400000002</v>
      </c>
      <c r="E10" s="14">
        <v>22223.881099999999</v>
      </c>
      <c r="F10" s="14">
        <v>22627.615000000002</v>
      </c>
      <c r="G10" s="14">
        <v>22964.517800000001</v>
      </c>
      <c r="H10" s="14">
        <v>23368.006300000001</v>
      </c>
      <c r="I10" s="14">
        <v>23699.2258</v>
      </c>
      <c r="J10" s="14">
        <v>23918.745299999999</v>
      </c>
      <c r="K10" s="14">
        <v>23826.371999999999</v>
      </c>
      <c r="L10" s="14">
        <v>23517.466700000001</v>
      </c>
      <c r="M10" s="14">
        <v>23961.1783</v>
      </c>
      <c r="N10" s="14">
        <v>24347.8943</v>
      </c>
    </row>
    <row r="11" spans="1:19">
      <c r="B11" t="s">
        <v>158</v>
      </c>
      <c r="C11" s="14">
        <v>650.11839999999995</v>
      </c>
      <c r="D11" s="14">
        <v>605.17160000000001</v>
      </c>
      <c r="E11" s="14">
        <v>585.79700000000003</v>
      </c>
      <c r="F11" s="14">
        <v>572.76639999999998</v>
      </c>
      <c r="G11" s="14">
        <v>564.35659999999996</v>
      </c>
      <c r="H11" s="14">
        <v>603.62840000000006</v>
      </c>
      <c r="I11" s="14">
        <v>621.69650000000001</v>
      </c>
      <c r="J11" s="14">
        <v>620.86479999999995</v>
      </c>
      <c r="K11" s="14">
        <v>599.88009999999997</v>
      </c>
      <c r="L11" s="14">
        <v>598.1703</v>
      </c>
      <c r="M11" s="14">
        <v>621.04330000000004</v>
      </c>
      <c r="N11" s="14">
        <v>621.72299999999996</v>
      </c>
    </row>
    <row r="12" spans="1:19">
      <c r="B12" t="s">
        <v>157</v>
      </c>
      <c r="C12" s="14">
        <v>1923.1085</v>
      </c>
      <c r="D12" s="14">
        <v>2290.2820000000002</v>
      </c>
      <c r="E12" s="14">
        <v>2517.4061000000002</v>
      </c>
      <c r="F12" s="14">
        <v>2519.4978000000001</v>
      </c>
      <c r="G12" s="14">
        <v>2389.7954</v>
      </c>
      <c r="H12" s="14">
        <v>2464.1464999999998</v>
      </c>
      <c r="I12" s="14">
        <v>2400.8296</v>
      </c>
      <c r="J12" s="14">
        <v>2407.9742000000001</v>
      </c>
      <c r="K12" s="14">
        <v>2524.2505000000001</v>
      </c>
      <c r="L12" s="14">
        <v>2566.5864000000001</v>
      </c>
      <c r="M12" s="14">
        <v>2756.6468</v>
      </c>
      <c r="N12" s="14">
        <v>2917.2937999999999</v>
      </c>
    </row>
    <row r="13" spans="1:19">
      <c r="B13" t="s">
        <v>37</v>
      </c>
      <c r="C13" s="14">
        <v>28661.137200000001</v>
      </c>
      <c r="D13" s="14">
        <v>29034.740600000001</v>
      </c>
      <c r="E13" s="14">
        <v>29414.8338</v>
      </c>
      <c r="F13" s="14">
        <v>29855.034100000001</v>
      </c>
      <c r="G13" s="14">
        <v>30146.215700000001</v>
      </c>
      <c r="H13" s="14">
        <v>30844.248500000002</v>
      </c>
      <c r="I13" s="14">
        <v>31272.939200000001</v>
      </c>
      <c r="J13" s="14">
        <v>31635.7739</v>
      </c>
      <c r="K13" s="14">
        <v>31764.706600000001</v>
      </c>
      <c r="L13" s="14">
        <v>31663.550800000001</v>
      </c>
      <c r="M13" s="14">
        <v>32689.063399999999</v>
      </c>
      <c r="N13" s="14">
        <v>33767.219499999999</v>
      </c>
    </row>
    <row r="14" spans="1:19">
      <c r="A14" t="s">
        <v>208</v>
      </c>
      <c r="B14" t="s">
        <v>155</v>
      </c>
      <c r="C14" s="14">
        <v>2507.6435000000001</v>
      </c>
      <c r="D14" s="14">
        <v>2591.5421000000001</v>
      </c>
      <c r="E14" s="14">
        <v>2709.741</v>
      </c>
      <c r="F14" s="14">
        <v>2863.8402999999998</v>
      </c>
      <c r="G14" s="14">
        <v>2980.4749999999999</v>
      </c>
      <c r="H14" s="14">
        <v>3110.0787999999998</v>
      </c>
      <c r="I14" s="14">
        <v>3241.7719999999999</v>
      </c>
      <c r="J14" s="14">
        <v>3352.2622999999999</v>
      </c>
      <c r="K14" s="14">
        <v>3469.8721999999998</v>
      </c>
      <c r="L14" s="14">
        <v>3537.5805999999998</v>
      </c>
      <c r="M14" s="14">
        <v>3757.6554999999998</v>
      </c>
      <c r="N14" s="14">
        <v>3959.3757999999998</v>
      </c>
    </row>
    <row r="15" spans="1:19">
      <c r="B15" t="s">
        <v>159</v>
      </c>
      <c r="C15" s="14">
        <v>645.59370000000001</v>
      </c>
      <c r="D15" s="14">
        <v>666.18280000000004</v>
      </c>
      <c r="E15" s="14">
        <v>725.38840000000005</v>
      </c>
      <c r="F15" s="14">
        <v>793.9905</v>
      </c>
      <c r="G15" s="14">
        <v>863.34749999999997</v>
      </c>
      <c r="H15" s="14">
        <v>953.9796</v>
      </c>
      <c r="I15" s="14">
        <v>1037.9031</v>
      </c>
      <c r="J15" s="14">
        <v>1114.6251</v>
      </c>
      <c r="K15" s="14">
        <v>1195.1031</v>
      </c>
      <c r="L15" s="14">
        <v>1271.9965</v>
      </c>
      <c r="M15" s="14">
        <v>1482.2771</v>
      </c>
      <c r="N15" s="14">
        <v>1614.4665</v>
      </c>
    </row>
    <row r="16" spans="1:19">
      <c r="B16" t="s">
        <v>153</v>
      </c>
      <c r="C16" s="14">
        <v>1100.1070999999999</v>
      </c>
      <c r="D16" s="14">
        <v>1119.2561000000001</v>
      </c>
      <c r="E16" s="14">
        <v>1165.5545</v>
      </c>
      <c r="F16" s="14">
        <v>1249.6913</v>
      </c>
      <c r="G16" s="14">
        <v>1350.1828</v>
      </c>
      <c r="H16" s="14">
        <v>1429.0255</v>
      </c>
      <c r="I16" s="14">
        <v>1509.1695999999999</v>
      </c>
      <c r="J16" s="14">
        <v>1597.2283</v>
      </c>
      <c r="K16" s="14">
        <v>1710.4405999999999</v>
      </c>
      <c r="L16" s="14">
        <v>1800.4378999999999</v>
      </c>
      <c r="M16" s="14">
        <v>2073.6282000000001</v>
      </c>
      <c r="N16" s="14">
        <v>2331.2593999999999</v>
      </c>
    </row>
    <row r="17" spans="1:14">
      <c r="B17" t="s">
        <v>156</v>
      </c>
      <c r="C17" s="14">
        <v>28.895600000000002</v>
      </c>
      <c r="D17" s="14">
        <v>50.54</v>
      </c>
      <c r="E17" s="14">
        <v>78.537000000000006</v>
      </c>
      <c r="F17" s="14">
        <v>109.8154</v>
      </c>
      <c r="G17" s="14">
        <v>132.35339999999999</v>
      </c>
      <c r="H17" s="14">
        <v>189.99719999999999</v>
      </c>
      <c r="I17" s="14">
        <v>254.60239999999999</v>
      </c>
      <c r="J17" s="14">
        <v>284.19409999999999</v>
      </c>
      <c r="K17" s="14">
        <v>331.06540000000001</v>
      </c>
      <c r="L17" s="14">
        <v>384.33420000000001</v>
      </c>
      <c r="M17" s="14">
        <v>454.80430000000001</v>
      </c>
      <c r="N17" s="14">
        <v>503.01389999999998</v>
      </c>
    </row>
    <row r="18" spans="1:14">
      <c r="B18" t="s">
        <v>154</v>
      </c>
      <c r="C18" s="14">
        <v>15851.2186</v>
      </c>
      <c r="D18" s="14">
        <v>15744.925499999999</v>
      </c>
      <c r="E18" s="14">
        <v>15690.296</v>
      </c>
      <c r="F18" s="14">
        <v>15876.426100000001</v>
      </c>
      <c r="G18" s="14">
        <v>16032.0762</v>
      </c>
      <c r="H18" s="14">
        <v>16126.7001</v>
      </c>
      <c r="I18" s="14">
        <v>16340.855600000001</v>
      </c>
      <c r="J18" s="14">
        <v>16599.7716</v>
      </c>
      <c r="K18" s="14">
        <v>16601.766100000001</v>
      </c>
      <c r="L18" s="14">
        <v>16417.773300000001</v>
      </c>
      <c r="M18" s="14">
        <v>16621.394899999999</v>
      </c>
      <c r="N18" s="14">
        <v>16741.607100000001</v>
      </c>
    </row>
    <row r="19" spans="1:14">
      <c r="B19" t="s">
        <v>158</v>
      </c>
      <c r="C19" s="14">
        <v>863.98810000000003</v>
      </c>
      <c r="D19" s="14">
        <v>809.78830000000005</v>
      </c>
      <c r="E19" s="14">
        <v>781.51840000000004</v>
      </c>
      <c r="F19" s="14">
        <v>747.11040000000003</v>
      </c>
      <c r="G19" s="14">
        <v>734.47519999999997</v>
      </c>
      <c r="H19" s="14">
        <v>742.67870000000005</v>
      </c>
      <c r="I19" s="14">
        <v>739.14380000000006</v>
      </c>
      <c r="J19" s="14">
        <v>732.23860000000002</v>
      </c>
      <c r="K19" s="14">
        <v>726.36869999999999</v>
      </c>
      <c r="L19" s="14">
        <v>719.3605</v>
      </c>
      <c r="M19" s="14">
        <v>723.2636</v>
      </c>
      <c r="N19" s="14">
        <v>715.49109999999996</v>
      </c>
    </row>
    <row r="20" spans="1:14">
      <c r="B20" t="s">
        <v>157</v>
      </c>
      <c r="C20" s="14">
        <v>2059.2579999999998</v>
      </c>
      <c r="D20" s="14">
        <v>2343.9146000000001</v>
      </c>
      <c r="E20" s="14">
        <v>2536.3670000000002</v>
      </c>
      <c r="F20" s="14">
        <v>2567.9090000000001</v>
      </c>
      <c r="G20" s="14">
        <v>2522.6300999999999</v>
      </c>
      <c r="H20" s="14">
        <v>2591.8071</v>
      </c>
      <c r="I20" s="14">
        <v>2578.5927999999999</v>
      </c>
      <c r="J20" s="14">
        <v>2637.6803</v>
      </c>
      <c r="K20" s="14">
        <v>2745.3793999999998</v>
      </c>
      <c r="L20" s="14">
        <v>2882.2287000000001</v>
      </c>
      <c r="M20" s="14">
        <v>3072.0167999999999</v>
      </c>
      <c r="N20" s="14">
        <v>3245.3602999999998</v>
      </c>
    </row>
    <row r="21" spans="1:14">
      <c r="B21" t="s">
        <v>37</v>
      </c>
      <c r="C21" s="14">
        <v>22782.966</v>
      </c>
      <c r="D21" s="14">
        <v>22850.124599999999</v>
      </c>
      <c r="E21" s="14">
        <v>22984.830600000001</v>
      </c>
      <c r="F21" s="14">
        <v>23284.280500000001</v>
      </c>
      <c r="G21" s="14">
        <v>23465.315299999998</v>
      </c>
      <c r="H21" s="14">
        <v>23772.910899999999</v>
      </c>
      <c r="I21" s="14">
        <v>24116.2916</v>
      </c>
      <c r="J21" s="14">
        <v>24618.080300000001</v>
      </c>
      <c r="K21" s="14">
        <v>24974.240900000001</v>
      </c>
      <c r="L21" s="14">
        <v>25144.3</v>
      </c>
      <c r="M21" s="14">
        <v>26167.429400000001</v>
      </c>
      <c r="N21" s="14">
        <v>27007.1054</v>
      </c>
    </row>
    <row r="22" spans="1:14">
      <c r="A22" t="s">
        <v>37</v>
      </c>
      <c r="B22" t="s">
        <v>155</v>
      </c>
      <c r="C22" s="14">
        <v>5378.9062999999996</v>
      </c>
      <c r="D22" s="14">
        <v>5565.9164000000001</v>
      </c>
      <c r="E22" s="14">
        <v>5827.8860999999997</v>
      </c>
      <c r="F22" s="14">
        <v>6103.3994000000002</v>
      </c>
      <c r="G22" s="14">
        <v>6364.7602999999999</v>
      </c>
      <c r="H22" s="14">
        <v>6704.3837999999996</v>
      </c>
      <c r="I22" s="14">
        <v>7014.8044</v>
      </c>
      <c r="J22" s="14">
        <v>7205.5118000000002</v>
      </c>
      <c r="K22" s="14">
        <v>7283.7290999999996</v>
      </c>
      <c r="L22" s="14">
        <v>7352.7407000000003</v>
      </c>
      <c r="M22" s="14">
        <v>7704.6836999999996</v>
      </c>
      <c r="N22" s="14">
        <v>8084.5972000000002</v>
      </c>
    </row>
    <row r="23" spans="1:14">
      <c r="B23" t="s">
        <v>159</v>
      </c>
      <c r="C23" s="14">
        <v>1536.4318000000001</v>
      </c>
      <c r="D23" s="14">
        <v>1626.7936999999999</v>
      </c>
      <c r="E23" s="14">
        <v>1746.41</v>
      </c>
      <c r="F23" s="14">
        <v>1891.9475</v>
      </c>
      <c r="G23" s="14">
        <v>2076.3890000000001</v>
      </c>
      <c r="H23" s="14">
        <v>2282.8933000000002</v>
      </c>
      <c r="I23" s="14">
        <v>2433.1021000000001</v>
      </c>
      <c r="J23" s="14">
        <v>2580.7856000000002</v>
      </c>
      <c r="K23" s="14">
        <v>2711.8009000000002</v>
      </c>
      <c r="L23" s="14">
        <v>2857.4178999999999</v>
      </c>
      <c r="M23" s="14">
        <v>3176.2211000000002</v>
      </c>
      <c r="N23" s="14">
        <v>3426.3467999999998</v>
      </c>
    </row>
    <row r="24" spans="1:14">
      <c r="B24" t="s">
        <v>153</v>
      </c>
      <c r="C24" s="14">
        <v>1943.5687</v>
      </c>
      <c r="D24" s="14">
        <v>2020.1940999999999</v>
      </c>
      <c r="E24" s="14">
        <v>2130.7465000000002</v>
      </c>
      <c r="F24" s="14">
        <v>2294.3371000000002</v>
      </c>
      <c r="G24" s="14">
        <v>2468.6475</v>
      </c>
      <c r="H24" s="14">
        <v>2674.9571999999998</v>
      </c>
      <c r="I24" s="14">
        <v>2841.2577999999999</v>
      </c>
      <c r="J24" s="14">
        <v>3012.9679999999998</v>
      </c>
      <c r="K24" s="14">
        <v>3227.8569000000002</v>
      </c>
      <c r="L24" s="14">
        <v>3417.7683000000002</v>
      </c>
      <c r="M24" s="14">
        <v>3883.3177000000001</v>
      </c>
      <c r="N24" s="14">
        <v>4445.1211000000003</v>
      </c>
    </row>
    <row r="25" spans="1:14">
      <c r="B25" t="s">
        <v>156</v>
      </c>
      <c r="C25" s="14">
        <v>60.6267</v>
      </c>
      <c r="D25" s="14">
        <v>112.6735</v>
      </c>
      <c r="E25" s="14">
        <v>172.35249999999999</v>
      </c>
      <c r="F25" s="14">
        <v>250.68819999999999</v>
      </c>
      <c r="G25" s="14">
        <v>323.4196</v>
      </c>
      <c r="H25" s="14">
        <v>444.47750000000002</v>
      </c>
      <c r="I25" s="14">
        <v>581.72760000000005</v>
      </c>
      <c r="J25" s="14">
        <v>639.69219999999996</v>
      </c>
      <c r="K25" s="14">
        <v>719.78340000000003</v>
      </c>
      <c r="L25" s="14">
        <v>831.5059</v>
      </c>
      <c r="M25" s="14">
        <v>965.46489999999994</v>
      </c>
      <c r="N25" s="14">
        <v>1105.8625</v>
      </c>
    </row>
    <row r="26" spans="1:14">
      <c r="B26" t="s">
        <v>154</v>
      </c>
      <c r="C26" s="14">
        <v>37726.109299999996</v>
      </c>
      <c r="D26" s="14">
        <v>37757.644899999999</v>
      </c>
      <c r="E26" s="14">
        <v>37914.177100000001</v>
      </c>
      <c r="F26" s="14">
        <v>38504.041100000002</v>
      </c>
      <c r="G26" s="14">
        <v>38996.593999999997</v>
      </c>
      <c r="H26" s="14">
        <v>39494.706400000003</v>
      </c>
      <c r="I26" s="14">
        <v>40040.081400000003</v>
      </c>
      <c r="J26" s="14">
        <v>40518.516900000002</v>
      </c>
      <c r="K26" s="14">
        <v>40428.138099999996</v>
      </c>
      <c r="L26" s="14">
        <v>39935.24</v>
      </c>
      <c r="M26" s="14">
        <v>40582.573199999999</v>
      </c>
      <c r="N26" s="14">
        <v>41089.501400000001</v>
      </c>
    </row>
    <row r="27" spans="1:14">
      <c r="B27" t="s">
        <v>158</v>
      </c>
      <c r="C27" s="14">
        <v>1514.1065000000001</v>
      </c>
      <c r="D27" s="14">
        <v>1414.9599000000001</v>
      </c>
      <c r="E27" s="14">
        <v>1367.3154</v>
      </c>
      <c r="F27" s="14">
        <v>1319.8768</v>
      </c>
      <c r="G27" s="14">
        <v>1298.8317999999999</v>
      </c>
      <c r="H27" s="14">
        <v>1346.3071</v>
      </c>
      <c r="I27" s="14">
        <v>1360.8403000000001</v>
      </c>
      <c r="J27" s="14">
        <v>1353.1034</v>
      </c>
      <c r="K27" s="14">
        <v>1326.2488000000001</v>
      </c>
      <c r="L27" s="14">
        <v>1317.5308</v>
      </c>
      <c r="M27" s="14">
        <v>1344.3069</v>
      </c>
      <c r="N27" s="14">
        <v>1337.2140999999999</v>
      </c>
    </row>
    <row r="28" spans="1:14">
      <c r="B28" t="s">
        <v>157</v>
      </c>
      <c r="C28" s="14">
        <v>3982.3665000000001</v>
      </c>
      <c r="D28" s="14">
        <v>4634.1966000000002</v>
      </c>
      <c r="E28" s="14">
        <v>5053.7731000000003</v>
      </c>
      <c r="F28" s="14">
        <v>5087.4067999999997</v>
      </c>
      <c r="G28" s="14">
        <v>4912.4255000000003</v>
      </c>
      <c r="H28" s="14">
        <v>5055.9535999999998</v>
      </c>
      <c r="I28" s="14">
        <v>4979.4224000000004</v>
      </c>
      <c r="J28" s="14">
        <v>5045.6544999999996</v>
      </c>
      <c r="K28" s="14">
        <v>5269.6298999999999</v>
      </c>
      <c r="L28" s="14">
        <v>5448.8150999999998</v>
      </c>
      <c r="M28" s="14">
        <v>5828.6635999999999</v>
      </c>
      <c r="N28" s="14">
        <v>6162.6540999999997</v>
      </c>
    </row>
    <row r="29" spans="1:14">
      <c r="B29" t="s">
        <v>37</v>
      </c>
      <c r="C29" s="14">
        <v>51444.103199999998</v>
      </c>
      <c r="D29" s="14">
        <v>51884.8652</v>
      </c>
      <c r="E29" s="14">
        <v>52399.664400000001</v>
      </c>
      <c r="F29" s="14">
        <v>53139.314599999998</v>
      </c>
      <c r="G29" s="14">
        <v>53611.531000000003</v>
      </c>
      <c r="H29" s="14">
        <v>54617.159399999997</v>
      </c>
      <c r="I29" s="14">
        <v>55389.230799999998</v>
      </c>
      <c r="J29" s="14">
        <v>56253.854200000002</v>
      </c>
      <c r="K29" s="14">
        <v>56738.947500000002</v>
      </c>
      <c r="L29" s="14">
        <v>56807.8508</v>
      </c>
      <c r="M29" s="14">
        <v>58856.4928</v>
      </c>
      <c r="N29" s="14">
        <v>60774.3249</v>
      </c>
    </row>
  </sheetData>
  <mergeCells count="1">
    <mergeCell ref="A1:R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2564-CE8C-4CF3-B96E-5F38729F3036}">
  <dimension ref="A1:S29"/>
  <sheetViews>
    <sheetView showGridLines="0" workbookViewId="0">
      <pane ySplit="5" topLeftCell="A6" activePane="bottomLeft" state="frozen"/>
      <selection pane="bottomLeft" sqref="A1:S1"/>
    </sheetView>
  </sheetViews>
  <sheetFormatPr defaultRowHeight="14.5"/>
  <cols>
    <col min="1" max="1" width="12.453125" bestFit="1" customWidth="1"/>
    <col min="2" max="2" width="9.453125" bestFit="1" customWidth="1"/>
    <col min="3" max="21" width="6.54296875" bestFit="1" customWidth="1"/>
  </cols>
  <sheetData>
    <row r="1" spans="1:19" ht="23.5">
      <c r="A1" s="100" t="s">
        <v>237</v>
      </c>
      <c r="B1" s="100"/>
      <c r="C1" s="100"/>
      <c r="D1" s="100"/>
      <c r="E1" s="100"/>
      <c r="F1" s="100"/>
      <c r="G1" s="100"/>
      <c r="H1" s="100"/>
      <c r="I1" s="100"/>
      <c r="J1" s="100"/>
      <c r="K1" s="100"/>
      <c r="L1" s="100"/>
      <c r="M1" s="100"/>
      <c r="N1" s="100"/>
      <c r="O1" s="100"/>
      <c r="P1" s="100"/>
      <c r="Q1" s="100"/>
      <c r="R1" s="100"/>
      <c r="S1" s="100"/>
    </row>
    <row r="4" spans="1:19">
      <c r="A4" s="10" t="s">
        <v>232</v>
      </c>
    </row>
    <row r="5" spans="1:19">
      <c r="C5">
        <v>2014</v>
      </c>
      <c r="D5">
        <v>2015</v>
      </c>
      <c r="E5">
        <v>2016</v>
      </c>
      <c r="F5">
        <v>2017</v>
      </c>
      <c r="G5">
        <v>2018</v>
      </c>
      <c r="H5">
        <v>2019</v>
      </c>
      <c r="I5">
        <v>2020</v>
      </c>
      <c r="J5">
        <v>2021</v>
      </c>
      <c r="K5">
        <v>2022</v>
      </c>
      <c r="L5">
        <v>2023</v>
      </c>
      <c r="M5">
        <v>2024</v>
      </c>
      <c r="N5">
        <v>2025</v>
      </c>
    </row>
    <row r="6" spans="1:19">
      <c r="A6" t="s">
        <v>207</v>
      </c>
      <c r="B6" t="s">
        <v>66</v>
      </c>
      <c r="C6" s="14">
        <v>1194.4383</v>
      </c>
      <c r="D6" s="14">
        <v>1252.0083</v>
      </c>
      <c r="E6" s="14">
        <v>1340.8095000000001</v>
      </c>
      <c r="F6" s="14">
        <v>1394.9131</v>
      </c>
      <c r="G6" s="14">
        <v>1403.1161999999999</v>
      </c>
      <c r="H6" s="14">
        <v>1325.6721</v>
      </c>
      <c r="I6" s="14">
        <v>1307.625</v>
      </c>
      <c r="J6" s="14">
        <v>1274.1123</v>
      </c>
      <c r="K6" s="14">
        <v>1362.9748</v>
      </c>
      <c r="L6" s="14">
        <v>1337.7909</v>
      </c>
      <c r="M6" s="14">
        <v>1352.0545999999999</v>
      </c>
      <c r="N6" s="14">
        <v>1356.9503999999999</v>
      </c>
    </row>
    <row r="7" spans="1:19">
      <c r="B7" t="s">
        <v>67</v>
      </c>
      <c r="C7" s="14">
        <v>5145.2127</v>
      </c>
      <c r="D7" s="14">
        <v>5148.3665000000001</v>
      </c>
      <c r="E7" s="14">
        <v>5182.0713999999998</v>
      </c>
      <c r="F7" s="14">
        <v>5300.8671999999997</v>
      </c>
      <c r="G7" s="14">
        <v>5396.0927000000001</v>
      </c>
      <c r="H7" s="14">
        <v>5671.4564</v>
      </c>
      <c r="I7" s="14">
        <v>5957.0865999999996</v>
      </c>
      <c r="J7" s="14">
        <v>6021.7475999999997</v>
      </c>
      <c r="K7" s="14">
        <v>5941.6468000000004</v>
      </c>
      <c r="L7" s="14">
        <v>5800.7878000000001</v>
      </c>
      <c r="M7" s="14">
        <v>5874.2573000000002</v>
      </c>
      <c r="N7" s="14">
        <v>5927.3896000000004</v>
      </c>
    </row>
    <row r="8" spans="1:19">
      <c r="B8" t="s">
        <v>68</v>
      </c>
      <c r="C8" s="14">
        <v>7606.7556999999997</v>
      </c>
      <c r="D8" s="14">
        <v>7796.8522999999996</v>
      </c>
      <c r="E8" s="14">
        <v>7798.8494000000001</v>
      </c>
      <c r="F8" s="14">
        <v>7729.3968999999997</v>
      </c>
      <c r="G8" s="14">
        <v>7582.9998999999998</v>
      </c>
      <c r="H8" s="14">
        <v>7515.9112999999998</v>
      </c>
      <c r="I8" s="14">
        <v>7411.6796000000004</v>
      </c>
      <c r="J8" s="14">
        <v>7422.96</v>
      </c>
      <c r="K8" s="14">
        <v>7333.1962000000003</v>
      </c>
      <c r="L8" s="14">
        <v>7388.3631999999998</v>
      </c>
      <c r="M8" s="14">
        <v>7721.2574999999997</v>
      </c>
      <c r="N8" s="14">
        <v>8051.2716</v>
      </c>
    </row>
    <row r="9" spans="1:19">
      <c r="B9" t="s">
        <v>69</v>
      </c>
      <c r="C9" s="14">
        <v>7120.9739</v>
      </c>
      <c r="D9" s="14">
        <v>7153.0839999999998</v>
      </c>
      <c r="E9" s="14">
        <v>7310.2916999999998</v>
      </c>
      <c r="F9" s="14">
        <v>7553.5510999999997</v>
      </c>
      <c r="G9" s="14">
        <v>7823.1103999999996</v>
      </c>
      <c r="H9" s="14">
        <v>8230.1373000000003</v>
      </c>
      <c r="I9" s="14">
        <v>8713.8071</v>
      </c>
      <c r="J9" s="14">
        <v>8991.9976999999999</v>
      </c>
      <c r="K9" s="14">
        <v>9144.4282000000003</v>
      </c>
      <c r="L9" s="14">
        <v>9178.6394999999993</v>
      </c>
      <c r="M9" s="14">
        <v>9460.3083999999999</v>
      </c>
      <c r="N9" s="14">
        <v>9809.4174000000003</v>
      </c>
    </row>
    <row r="10" spans="1:19">
      <c r="B10" t="s">
        <v>70</v>
      </c>
      <c r="C10" s="14">
        <v>6274.3365000000003</v>
      </c>
      <c r="D10" s="14">
        <v>6304.6886999999997</v>
      </c>
      <c r="E10" s="14">
        <v>6309.5888999999997</v>
      </c>
      <c r="F10" s="14">
        <v>6272.1598999999997</v>
      </c>
      <c r="G10" s="14">
        <v>6254.5273999999999</v>
      </c>
      <c r="H10" s="14">
        <v>6268.8581000000004</v>
      </c>
      <c r="I10" s="14">
        <v>6125.7685000000001</v>
      </c>
      <c r="J10" s="14">
        <v>6125.0605999999998</v>
      </c>
      <c r="K10" s="14">
        <v>6022.6063999999997</v>
      </c>
      <c r="L10" s="14">
        <v>5932.0797000000002</v>
      </c>
      <c r="M10" s="14">
        <v>6041.0352000000003</v>
      </c>
      <c r="N10" s="14">
        <v>6237.4132</v>
      </c>
    </row>
    <row r="11" spans="1:19">
      <c r="B11" t="s">
        <v>71</v>
      </c>
      <c r="C11" s="14">
        <v>1159.4390000000001</v>
      </c>
      <c r="D11" s="14">
        <v>1252.6533999999999</v>
      </c>
      <c r="E11" s="14">
        <v>1338.6190999999999</v>
      </c>
      <c r="F11" s="14">
        <v>1466.3864000000001</v>
      </c>
      <c r="G11" s="14">
        <v>1552.2235000000001</v>
      </c>
      <c r="H11" s="14">
        <v>1693.7141999999999</v>
      </c>
      <c r="I11" s="14">
        <v>1630.5048999999999</v>
      </c>
      <c r="J11" s="14">
        <v>1678.4224999999999</v>
      </c>
      <c r="K11" s="14">
        <v>1830.5561</v>
      </c>
      <c r="L11" s="14">
        <v>1878.5679</v>
      </c>
      <c r="M11" s="14">
        <v>2078.12</v>
      </c>
      <c r="N11" s="14">
        <v>2202.5803000000001</v>
      </c>
    </row>
    <row r="12" spans="1:19">
      <c r="B12" t="s">
        <v>72</v>
      </c>
      <c r="C12" s="14">
        <v>41.443300000000001</v>
      </c>
      <c r="D12" s="14">
        <v>50.3568</v>
      </c>
      <c r="E12" s="14">
        <v>60.973300000000002</v>
      </c>
      <c r="F12" s="14">
        <v>67.705200000000005</v>
      </c>
      <c r="G12" s="14">
        <v>67.410399999999996</v>
      </c>
      <c r="H12" s="14">
        <v>81.361199999999997</v>
      </c>
      <c r="I12" s="14">
        <v>77.375799999999998</v>
      </c>
      <c r="J12" s="14">
        <v>89.387500000000003</v>
      </c>
      <c r="K12" s="14">
        <v>107.08969999999999</v>
      </c>
      <c r="L12" s="14">
        <v>132.83009999999999</v>
      </c>
      <c r="M12" s="14">
        <v>146.45249999999999</v>
      </c>
      <c r="N12" s="14">
        <v>166.29820000000001</v>
      </c>
    </row>
    <row r="13" spans="1:19">
      <c r="B13" t="s">
        <v>73</v>
      </c>
      <c r="C13" s="14">
        <v>118.5378</v>
      </c>
      <c r="D13" s="14">
        <v>76.730599999999995</v>
      </c>
      <c r="E13" s="14">
        <v>73.630499999999998</v>
      </c>
      <c r="F13" s="14">
        <v>70.054299999999998</v>
      </c>
      <c r="G13" s="14">
        <v>66.735200000000006</v>
      </c>
      <c r="H13" s="14">
        <v>57.137900000000002</v>
      </c>
      <c r="I13" s="14">
        <v>49.091700000000003</v>
      </c>
      <c r="J13" s="14">
        <v>32.085700000000003</v>
      </c>
      <c r="K13" s="14">
        <v>22.208400000000001</v>
      </c>
      <c r="L13" s="14">
        <v>14.4917</v>
      </c>
      <c r="M13" s="14">
        <v>15.5779</v>
      </c>
      <c r="N13" s="14">
        <v>15.8988</v>
      </c>
    </row>
    <row r="14" spans="1:19">
      <c r="A14" t="s">
        <v>208</v>
      </c>
      <c r="B14" t="s">
        <v>66</v>
      </c>
      <c r="C14" s="14">
        <v>577.43169999999998</v>
      </c>
      <c r="D14" s="14">
        <v>620.30349999999999</v>
      </c>
      <c r="E14" s="14">
        <v>621.51589999999999</v>
      </c>
      <c r="F14" s="14">
        <v>652.48800000000006</v>
      </c>
      <c r="G14" s="14">
        <v>618.60749999999996</v>
      </c>
      <c r="H14" s="14">
        <v>612.91110000000003</v>
      </c>
      <c r="I14" s="14">
        <v>607.01059999999995</v>
      </c>
      <c r="J14" s="14">
        <v>569.02549999999997</v>
      </c>
      <c r="K14" s="14">
        <v>687.50639999999999</v>
      </c>
      <c r="L14" s="14">
        <v>677.65269999999998</v>
      </c>
      <c r="M14" s="14">
        <v>658.02689999999996</v>
      </c>
      <c r="N14" s="14">
        <v>650.08180000000004</v>
      </c>
    </row>
    <row r="15" spans="1:19">
      <c r="B15" t="s">
        <v>67</v>
      </c>
      <c r="C15" s="14">
        <v>4112.3937999999998</v>
      </c>
      <c r="D15" s="14">
        <v>4003.1578</v>
      </c>
      <c r="E15" s="14">
        <v>3984.3706999999999</v>
      </c>
      <c r="F15" s="14">
        <v>4073.9690999999998</v>
      </c>
      <c r="G15" s="14">
        <v>4200.9412000000002</v>
      </c>
      <c r="H15" s="14">
        <v>4346.1334999999999</v>
      </c>
      <c r="I15" s="14">
        <v>4505.0793000000003</v>
      </c>
      <c r="J15" s="14">
        <v>4683.8236999999999</v>
      </c>
      <c r="K15" s="14">
        <v>4681.5099</v>
      </c>
      <c r="L15" s="14">
        <v>4673.0801000000001</v>
      </c>
      <c r="M15" s="14">
        <v>4748.4139999999998</v>
      </c>
      <c r="N15" s="14">
        <v>4831.4726000000001</v>
      </c>
    </row>
    <row r="16" spans="1:19">
      <c r="B16" t="s">
        <v>68</v>
      </c>
      <c r="C16" s="14">
        <v>5519.5492000000004</v>
      </c>
      <c r="D16" s="14">
        <v>5580.9796999999999</v>
      </c>
      <c r="E16" s="14">
        <v>5646.1450000000004</v>
      </c>
      <c r="F16" s="14">
        <v>5657.2610999999997</v>
      </c>
      <c r="G16" s="14">
        <v>5634.7407999999996</v>
      </c>
      <c r="H16" s="14">
        <v>5646.1844000000001</v>
      </c>
      <c r="I16" s="14">
        <v>5767.4174999999996</v>
      </c>
      <c r="J16" s="14">
        <v>5800.2570999999998</v>
      </c>
      <c r="K16" s="14">
        <v>5826.3247000000001</v>
      </c>
      <c r="L16" s="14">
        <v>5918.8459000000003</v>
      </c>
      <c r="M16" s="14">
        <v>6271.5397999999996</v>
      </c>
      <c r="N16" s="14">
        <v>6564.9481999999998</v>
      </c>
    </row>
    <row r="17" spans="1:14">
      <c r="B17" t="s">
        <v>69</v>
      </c>
      <c r="C17" s="14">
        <v>5737.4147000000003</v>
      </c>
      <c r="D17" s="14">
        <v>5697.2745999999997</v>
      </c>
      <c r="E17" s="14">
        <v>5707.3361999999997</v>
      </c>
      <c r="F17" s="14">
        <v>5746.1948000000002</v>
      </c>
      <c r="G17" s="14">
        <v>5868.8229000000001</v>
      </c>
      <c r="H17" s="14">
        <v>6013.6932999999999</v>
      </c>
      <c r="I17" s="14">
        <v>6251.3843999999999</v>
      </c>
      <c r="J17" s="14">
        <v>6501.3833999999997</v>
      </c>
      <c r="K17" s="14">
        <v>6663.0779000000002</v>
      </c>
      <c r="L17" s="14">
        <v>6800.4490999999998</v>
      </c>
      <c r="M17" s="14">
        <v>7131.0859</v>
      </c>
      <c r="N17" s="14">
        <v>7378.6634000000004</v>
      </c>
    </row>
    <row r="18" spans="1:14">
      <c r="B18" t="s">
        <v>70</v>
      </c>
      <c r="C18" s="14">
        <v>5619.9032999999999</v>
      </c>
      <c r="D18" s="14">
        <v>5645.9957999999997</v>
      </c>
      <c r="E18" s="14">
        <v>5628.8680000000004</v>
      </c>
      <c r="F18" s="14">
        <v>5655.5676999999996</v>
      </c>
      <c r="G18" s="14">
        <v>5590.5740999999998</v>
      </c>
      <c r="H18" s="14">
        <v>5493.8666000000003</v>
      </c>
      <c r="I18" s="14">
        <v>5304.9834000000001</v>
      </c>
      <c r="J18" s="14">
        <v>5275.5595000000003</v>
      </c>
      <c r="K18" s="14">
        <v>5187.7559000000001</v>
      </c>
      <c r="L18" s="14">
        <v>5148.3113000000003</v>
      </c>
      <c r="M18" s="14">
        <v>5247.6760000000004</v>
      </c>
      <c r="N18" s="14">
        <v>5336.3110999999999</v>
      </c>
    </row>
    <row r="19" spans="1:14">
      <c r="B19" t="s">
        <v>71</v>
      </c>
      <c r="C19" s="14">
        <v>1089.3516</v>
      </c>
      <c r="D19" s="14">
        <v>1187.2066</v>
      </c>
      <c r="E19" s="14">
        <v>1280.568</v>
      </c>
      <c r="F19" s="14">
        <v>1373.7372</v>
      </c>
      <c r="G19" s="14">
        <v>1438.0771999999999</v>
      </c>
      <c r="H19" s="14">
        <v>1531.4480000000001</v>
      </c>
      <c r="I19" s="14">
        <v>1559.1963000000001</v>
      </c>
      <c r="J19" s="14">
        <v>1661.2570000000001</v>
      </c>
      <c r="K19" s="14">
        <v>1771.4775</v>
      </c>
      <c r="L19" s="14">
        <v>1771.0998999999999</v>
      </c>
      <c r="M19" s="14">
        <v>1930.4306999999999</v>
      </c>
      <c r="N19" s="14">
        <v>2032.164</v>
      </c>
    </row>
    <row r="20" spans="1:14">
      <c r="B20" t="s">
        <v>72</v>
      </c>
      <c r="C20" s="14">
        <v>26.825199999999999</v>
      </c>
      <c r="D20" s="14">
        <v>34.199800000000003</v>
      </c>
      <c r="E20" s="14">
        <v>49.070300000000003</v>
      </c>
      <c r="F20" s="14">
        <v>64.792599999999993</v>
      </c>
      <c r="G20" s="14">
        <v>63.7699</v>
      </c>
      <c r="H20" s="14">
        <v>79.523799999999994</v>
      </c>
      <c r="I20" s="14">
        <v>78.599699999999999</v>
      </c>
      <c r="J20" s="14">
        <v>96.155600000000007</v>
      </c>
      <c r="K20" s="14">
        <v>134.2878</v>
      </c>
      <c r="L20" s="14">
        <v>137.821</v>
      </c>
      <c r="M20" s="14">
        <v>163.29740000000001</v>
      </c>
      <c r="N20" s="14">
        <v>197.2689</v>
      </c>
    </row>
    <row r="21" spans="1:14">
      <c r="B21" t="s">
        <v>73</v>
      </c>
      <c r="C21" s="14">
        <v>100.09650000000001</v>
      </c>
      <c r="D21" s="14">
        <v>81.006799999999998</v>
      </c>
      <c r="E21" s="14">
        <v>66.956500000000005</v>
      </c>
      <c r="F21" s="14">
        <v>60.27</v>
      </c>
      <c r="G21" s="14">
        <v>49.781700000000001</v>
      </c>
      <c r="H21" s="14">
        <v>49.150199999999998</v>
      </c>
      <c r="I21" s="14">
        <v>42.620399999999997</v>
      </c>
      <c r="J21" s="14">
        <v>30.618500000000001</v>
      </c>
      <c r="K21" s="14">
        <v>22.300799999999999</v>
      </c>
      <c r="L21" s="14">
        <v>17.04</v>
      </c>
      <c r="M21" s="14">
        <v>16.9587</v>
      </c>
      <c r="N21" s="14">
        <v>16.195399999999999</v>
      </c>
    </row>
    <row r="22" spans="1:14">
      <c r="A22" t="s">
        <v>37</v>
      </c>
      <c r="B22" t="s">
        <v>66</v>
      </c>
      <c r="C22" s="14">
        <v>1771.87</v>
      </c>
      <c r="D22" s="14">
        <v>1872.3117999999999</v>
      </c>
      <c r="E22" s="14">
        <v>1962.3253999999999</v>
      </c>
      <c r="F22" s="14">
        <v>2047.4011</v>
      </c>
      <c r="G22" s="14">
        <v>2021.7237</v>
      </c>
      <c r="H22" s="14">
        <v>1938.5832</v>
      </c>
      <c r="I22" s="14">
        <v>1914.6356000000001</v>
      </c>
      <c r="J22" s="14">
        <v>1843.1378</v>
      </c>
      <c r="K22" s="14">
        <v>2050.4812000000002</v>
      </c>
      <c r="L22" s="14">
        <v>2015.4436000000001</v>
      </c>
      <c r="M22" s="14">
        <v>2010.0815</v>
      </c>
      <c r="N22" s="14">
        <v>2007.0322000000001</v>
      </c>
    </row>
    <row r="23" spans="1:14">
      <c r="B23" t="s">
        <v>67</v>
      </c>
      <c r="C23" s="14">
        <v>9257.6064999999999</v>
      </c>
      <c r="D23" s="14">
        <v>9151.5242999999991</v>
      </c>
      <c r="E23" s="14">
        <v>9166.4421000000002</v>
      </c>
      <c r="F23" s="14">
        <v>9374.8363000000008</v>
      </c>
      <c r="G23" s="14">
        <v>9597.0339000000004</v>
      </c>
      <c r="H23" s="14">
        <v>10017.589900000001</v>
      </c>
      <c r="I23" s="14">
        <v>10462.1659</v>
      </c>
      <c r="J23" s="14">
        <v>10705.5713</v>
      </c>
      <c r="K23" s="14">
        <v>10623.1567</v>
      </c>
      <c r="L23" s="14">
        <v>10473.867899999999</v>
      </c>
      <c r="M23" s="14">
        <v>10622.6713</v>
      </c>
      <c r="N23" s="14">
        <v>10758.8622</v>
      </c>
    </row>
    <row r="24" spans="1:14">
      <c r="B24" t="s">
        <v>68</v>
      </c>
      <c r="C24" s="14">
        <v>13126.304899999999</v>
      </c>
      <c r="D24" s="14">
        <v>13377.832</v>
      </c>
      <c r="E24" s="14">
        <v>13444.9944</v>
      </c>
      <c r="F24" s="14">
        <v>13386.657999999999</v>
      </c>
      <c r="G24" s="14">
        <v>13217.7407</v>
      </c>
      <c r="H24" s="14">
        <v>13162.0957</v>
      </c>
      <c r="I24" s="14">
        <v>13179.097100000001</v>
      </c>
      <c r="J24" s="14">
        <v>13223.2171</v>
      </c>
      <c r="K24" s="14">
        <v>13159.5209</v>
      </c>
      <c r="L24" s="14">
        <v>13307.2091</v>
      </c>
      <c r="M24" s="14">
        <v>13992.7973</v>
      </c>
      <c r="N24" s="14">
        <v>14616.219800000001</v>
      </c>
    </row>
    <row r="25" spans="1:14">
      <c r="B25" t="s">
        <v>69</v>
      </c>
      <c r="C25" s="14">
        <v>12858.3886</v>
      </c>
      <c r="D25" s="14">
        <v>12850.3586</v>
      </c>
      <c r="E25" s="14">
        <v>13017.627899999999</v>
      </c>
      <c r="F25" s="14">
        <v>13299.7459</v>
      </c>
      <c r="G25" s="14">
        <v>13691.933300000001</v>
      </c>
      <c r="H25" s="14">
        <v>14243.830599999999</v>
      </c>
      <c r="I25" s="14">
        <v>14965.191500000001</v>
      </c>
      <c r="J25" s="14">
        <v>15493.381100000001</v>
      </c>
      <c r="K25" s="14">
        <v>15807.506100000001</v>
      </c>
      <c r="L25" s="14">
        <v>15979.088599999999</v>
      </c>
      <c r="M25" s="14">
        <v>16591.3943</v>
      </c>
      <c r="N25" s="14">
        <v>17188.0808</v>
      </c>
    </row>
    <row r="26" spans="1:14">
      <c r="B26" t="s">
        <v>70</v>
      </c>
      <c r="C26" s="14">
        <v>11894.239799999999</v>
      </c>
      <c r="D26" s="14">
        <v>11950.684499999999</v>
      </c>
      <c r="E26" s="14">
        <v>11938.456899999999</v>
      </c>
      <c r="F26" s="14">
        <v>11927.7276</v>
      </c>
      <c r="G26" s="14">
        <v>11845.101500000001</v>
      </c>
      <c r="H26" s="14">
        <v>11762.724700000001</v>
      </c>
      <c r="I26" s="14">
        <v>11430.751899999999</v>
      </c>
      <c r="J26" s="14">
        <v>11400.6201</v>
      </c>
      <c r="K26" s="14">
        <v>11210.362300000001</v>
      </c>
      <c r="L26" s="14">
        <v>11080.391</v>
      </c>
      <c r="M26" s="14">
        <v>11288.7112</v>
      </c>
      <c r="N26" s="14">
        <v>11573.7243</v>
      </c>
    </row>
    <row r="27" spans="1:14">
      <c r="B27" t="s">
        <v>71</v>
      </c>
      <c r="C27" s="14">
        <v>2248.7905999999998</v>
      </c>
      <c r="D27" s="14">
        <v>2439.86</v>
      </c>
      <c r="E27" s="14">
        <v>2619.1871000000001</v>
      </c>
      <c r="F27" s="14">
        <v>2840.1235999999999</v>
      </c>
      <c r="G27" s="14">
        <v>2990.3006999999998</v>
      </c>
      <c r="H27" s="14">
        <v>3225.1622000000002</v>
      </c>
      <c r="I27" s="14">
        <v>3189.7012</v>
      </c>
      <c r="J27" s="14">
        <v>3339.6795000000002</v>
      </c>
      <c r="K27" s="14">
        <v>3602.0336000000002</v>
      </c>
      <c r="L27" s="14">
        <v>3649.6678000000002</v>
      </c>
      <c r="M27" s="14">
        <v>4008.5506999999998</v>
      </c>
      <c r="N27" s="14">
        <v>4234.7443000000003</v>
      </c>
    </row>
    <row r="28" spans="1:14">
      <c r="B28" t="s">
        <v>72</v>
      </c>
      <c r="C28" s="14">
        <v>68.268500000000003</v>
      </c>
      <c r="D28" s="14">
        <v>84.556600000000003</v>
      </c>
      <c r="E28" s="14">
        <v>110.0436</v>
      </c>
      <c r="F28" s="14">
        <v>132.49780000000001</v>
      </c>
      <c r="G28" s="14">
        <v>131.18029999999999</v>
      </c>
      <c r="H28" s="14">
        <v>160.88499999999999</v>
      </c>
      <c r="I28" s="14">
        <v>155.97550000000001</v>
      </c>
      <c r="J28" s="14">
        <v>185.54310000000001</v>
      </c>
      <c r="K28" s="14">
        <v>241.3775</v>
      </c>
      <c r="L28" s="14">
        <v>270.65109999999999</v>
      </c>
      <c r="M28" s="14">
        <v>309.74990000000003</v>
      </c>
      <c r="N28" s="14">
        <v>363.56709999999998</v>
      </c>
    </row>
    <row r="29" spans="1:14">
      <c r="B29" t="s">
        <v>73</v>
      </c>
      <c r="C29" s="14">
        <v>218.6343</v>
      </c>
      <c r="D29" s="14">
        <v>157.73740000000001</v>
      </c>
      <c r="E29" s="14">
        <v>140.58699999999999</v>
      </c>
      <c r="F29" s="14">
        <v>130.32429999999999</v>
      </c>
      <c r="G29" s="14">
        <v>116.51690000000001</v>
      </c>
      <c r="H29" s="14">
        <v>106.2881</v>
      </c>
      <c r="I29" s="14">
        <v>91.712100000000007</v>
      </c>
      <c r="J29" s="14">
        <v>62.7042</v>
      </c>
      <c r="K29" s="14">
        <v>44.5092</v>
      </c>
      <c r="L29" s="14">
        <v>31.531700000000001</v>
      </c>
      <c r="M29" s="14">
        <v>32.5366</v>
      </c>
      <c r="N29" s="14">
        <v>32.094200000000001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A2294-8399-4D48-98CF-F3E6C7654AD3}">
  <dimension ref="A1:S14"/>
  <sheetViews>
    <sheetView showGridLines="0" workbookViewId="0">
      <pane ySplit="5" topLeftCell="A6" activePane="bottomLeft" state="frozen"/>
      <selection pane="bottomLeft" sqref="A1:P1"/>
    </sheetView>
  </sheetViews>
  <sheetFormatPr defaultRowHeight="14.5"/>
  <cols>
    <col min="1" max="1" width="12.453125" bestFit="1" customWidth="1"/>
    <col min="2" max="2" width="26.1796875" bestFit="1" customWidth="1"/>
    <col min="3" max="21" width="6.54296875" bestFit="1" customWidth="1"/>
  </cols>
  <sheetData>
    <row r="1" spans="1:19" ht="23.5">
      <c r="A1" s="100" t="s">
        <v>212</v>
      </c>
      <c r="B1" s="100"/>
      <c r="C1" s="100"/>
      <c r="D1" s="100"/>
      <c r="E1" s="100"/>
      <c r="F1" s="100"/>
      <c r="G1" s="100"/>
      <c r="H1" s="100"/>
      <c r="I1" s="100"/>
      <c r="J1" s="100"/>
      <c r="K1" s="100"/>
      <c r="L1" s="100"/>
      <c r="M1" s="100"/>
      <c r="N1" s="100"/>
      <c r="O1" s="100"/>
      <c r="P1" s="100"/>
      <c r="Q1" s="17"/>
      <c r="R1" s="17"/>
      <c r="S1" s="17"/>
    </row>
    <row r="4" spans="1:19">
      <c r="A4" s="10" t="s">
        <v>232</v>
      </c>
    </row>
    <row r="5" spans="1:19">
      <c r="C5">
        <v>2014</v>
      </c>
      <c r="D5">
        <v>2015</v>
      </c>
      <c r="E5">
        <v>2016</v>
      </c>
      <c r="F5">
        <v>2017</v>
      </c>
      <c r="G5">
        <v>2018</v>
      </c>
      <c r="H5">
        <v>2019</v>
      </c>
      <c r="I5">
        <v>2020</v>
      </c>
      <c r="J5">
        <v>2021</v>
      </c>
      <c r="K5">
        <v>2022</v>
      </c>
      <c r="L5">
        <v>2023</v>
      </c>
      <c r="M5">
        <v>2024</v>
      </c>
      <c r="N5">
        <v>2025</v>
      </c>
    </row>
    <row r="6" spans="1:19">
      <c r="A6" t="s">
        <v>207</v>
      </c>
      <c r="B6" t="s">
        <v>74</v>
      </c>
      <c r="C6" s="14">
        <v>23648.310300000001</v>
      </c>
      <c r="D6" s="14">
        <v>24000.662499999999</v>
      </c>
      <c r="E6" s="14">
        <v>24417.64</v>
      </c>
      <c r="F6" s="14">
        <v>24835.724699999999</v>
      </c>
      <c r="G6" s="14">
        <v>25123.745699999999</v>
      </c>
      <c r="H6" s="14">
        <v>25750.138500000001</v>
      </c>
      <c r="I6" s="14">
        <v>26156.377100000002</v>
      </c>
      <c r="J6" s="14">
        <v>26432.360799999999</v>
      </c>
      <c r="K6" s="14">
        <v>26545.198</v>
      </c>
      <c r="L6" s="14">
        <v>26583.852900000002</v>
      </c>
      <c r="M6" s="14">
        <v>27481.068500000001</v>
      </c>
      <c r="N6" s="14">
        <v>28432.3246</v>
      </c>
    </row>
    <row r="7" spans="1:19">
      <c r="B7" t="s">
        <v>75</v>
      </c>
      <c r="C7" s="14">
        <v>4989.9299000000001</v>
      </c>
      <c r="D7" s="14">
        <v>4999.0106999999998</v>
      </c>
      <c r="E7" s="14">
        <v>4985.0586000000003</v>
      </c>
      <c r="F7" s="14">
        <v>4996.9836999999998</v>
      </c>
      <c r="G7" s="14">
        <v>4996.6320999999998</v>
      </c>
      <c r="H7" s="14">
        <v>5060.0411999999997</v>
      </c>
      <c r="I7" s="14">
        <v>5068.0946999999996</v>
      </c>
      <c r="J7" s="14">
        <v>5136.9462000000003</v>
      </c>
      <c r="K7" s="14">
        <v>5119.2830999999996</v>
      </c>
      <c r="L7" s="14">
        <v>4967.5348999999997</v>
      </c>
      <c r="M7" s="14">
        <v>5066.3410999999996</v>
      </c>
      <c r="N7" s="14">
        <v>5160.3575000000001</v>
      </c>
    </row>
    <row r="8" spans="1:19">
      <c r="B8" t="s">
        <v>162</v>
      </c>
      <c r="C8" s="14">
        <v>22.896999999999998</v>
      </c>
      <c r="D8" s="14">
        <v>35.067399999999999</v>
      </c>
      <c r="E8" s="14">
        <v>12.135199999999999</v>
      </c>
      <c r="F8" s="14">
        <v>22.325700000000001</v>
      </c>
      <c r="G8" s="14">
        <v>25.837900000000001</v>
      </c>
      <c r="H8" s="14">
        <v>34.068800000000003</v>
      </c>
      <c r="I8" s="14">
        <v>48.467399999999998</v>
      </c>
      <c r="J8" s="14">
        <v>66.466899999999995</v>
      </c>
      <c r="K8" s="14">
        <v>100.2255</v>
      </c>
      <c r="L8" s="14">
        <v>112.163</v>
      </c>
      <c r="M8" s="14">
        <v>141.65379999999999</v>
      </c>
      <c r="N8" s="14">
        <v>174.53739999999999</v>
      </c>
    </row>
    <row r="9" spans="1:19">
      <c r="A9" t="s">
        <v>208</v>
      </c>
      <c r="B9" t="s">
        <v>74</v>
      </c>
      <c r="C9" s="14">
        <v>13612.852999999999</v>
      </c>
      <c r="D9" s="14">
        <v>13697.304400000001</v>
      </c>
      <c r="E9" s="14">
        <v>13884.955099999999</v>
      </c>
      <c r="F9" s="14">
        <v>14158.6185</v>
      </c>
      <c r="G9" s="14">
        <v>14348.4966</v>
      </c>
      <c r="H9" s="14">
        <v>14564.1479</v>
      </c>
      <c r="I9" s="14">
        <v>14926.455599999999</v>
      </c>
      <c r="J9" s="14">
        <v>15284.5347</v>
      </c>
      <c r="K9" s="14">
        <v>15493.903399999999</v>
      </c>
      <c r="L9" s="14">
        <v>15629.9905</v>
      </c>
      <c r="M9" s="14">
        <v>16333.248799999999</v>
      </c>
      <c r="N9" s="14">
        <v>16963.393100000001</v>
      </c>
    </row>
    <row r="10" spans="1:19">
      <c r="B10" t="s">
        <v>75</v>
      </c>
      <c r="C10" s="14">
        <v>9160.7435999999998</v>
      </c>
      <c r="D10" s="14">
        <v>9128.6622000000007</v>
      </c>
      <c r="E10" s="14">
        <v>9092.9845000000005</v>
      </c>
      <c r="F10" s="14">
        <v>9105.6144999999997</v>
      </c>
      <c r="G10" s="14">
        <v>9092.4495999999999</v>
      </c>
      <c r="H10" s="14">
        <v>9174.9007000000001</v>
      </c>
      <c r="I10" s="14">
        <v>9141.7548000000006</v>
      </c>
      <c r="J10" s="14">
        <v>9270.0365999999995</v>
      </c>
      <c r="K10" s="14">
        <v>9374.6044000000002</v>
      </c>
      <c r="L10" s="14">
        <v>9372.4987000000001</v>
      </c>
      <c r="M10" s="14">
        <v>9650.3354999999992</v>
      </c>
      <c r="N10" s="14">
        <v>9809.1463000000003</v>
      </c>
    </row>
    <row r="11" spans="1:19">
      <c r="B11" t="s">
        <v>162</v>
      </c>
      <c r="C11" s="14">
        <v>9.3694000000000006</v>
      </c>
      <c r="D11" s="14">
        <v>24.158000000000001</v>
      </c>
      <c r="E11" s="14">
        <v>6.891</v>
      </c>
      <c r="F11" s="14">
        <v>20.047499999999999</v>
      </c>
      <c r="G11" s="14">
        <v>24.3691</v>
      </c>
      <c r="H11" s="14">
        <v>33.862299999999998</v>
      </c>
      <c r="I11" s="14">
        <v>48.081200000000003</v>
      </c>
      <c r="J11" s="14">
        <v>63.509</v>
      </c>
      <c r="K11" s="14">
        <v>105.73309999999999</v>
      </c>
      <c r="L11" s="14">
        <v>141.8108</v>
      </c>
      <c r="M11" s="14">
        <v>183.8451</v>
      </c>
      <c r="N11" s="14">
        <v>234.566</v>
      </c>
    </row>
    <row r="12" spans="1:19">
      <c r="A12" t="s">
        <v>37</v>
      </c>
      <c r="B12" t="s">
        <v>74</v>
      </c>
      <c r="C12" s="14">
        <v>37261.1633</v>
      </c>
      <c r="D12" s="14">
        <v>37697.966899999999</v>
      </c>
      <c r="E12" s="14">
        <v>38302.595099999999</v>
      </c>
      <c r="F12" s="14">
        <v>38994.343200000003</v>
      </c>
      <c r="G12" s="14">
        <v>39472.242299999998</v>
      </c>
      <c r="H12" s="14">
        <v>40314.286399999997</v>
      </c>
      <c r="I12" s="14">
        <v>41082.832699999999</v>
      </c>
      <c r="J12" s="14">
        <v>41716.895499999999</v>
      </c>
      <c r="K12" s="14">
        <v>42039.1014</v>
      </c>
      <c r="L12" s="14">
        <v>42213.843399999998</v>
      </c>
      <c r="M12" s="14">
        <v>43814.317300000002</v>
      </c>
      <c r="N12" s="14">
        <v>45395.717700000001</v>
      </c>
    </row>
    <row r="13" spans="1:19">
      <c r="B13" t="s">
        <v>75</v>
      </c>
      <c r="C13" s="14">
        <v>14150.673500000001</v>
      </c>
      <c r="D13" s="14">
        <v>14127.6729</v>
      </c>
      <c r="E13" s="14">
        <v>14078.043100000001</v>
      </c>
      <c r="F13" s="14">
        <v>14102.5982</v>
      </c>
      <c r="G13" s="14">
        <v>14089.081700000001</v>
      </c>
      <c r="H13" s="14">
        <v>14234.9419</v>
      </c>
      <c r="I13" s="14">
        <v>14209.8495</v>
      </c>
      <c r="J13" s="14">
        <v>14406.9828</v>
      </c>
      <c r="K13" s="14">
        <v>14493.887500000001</v>
      </c>
      <c r="L13" s="14">
        <v>14340.033600000001</v>
      </c>
      <c r="M13" s="14">
        <v>14716.676600000001</v>
      </c>
      <c r="N13" s="14">
        <v>14969.5038</v>
      </c>
    </row>
    <row r="14" spans="1:19">
      <c r="B14" t="s">
        <v>162</v>
      </c>
      <c r="C14" s="14">
        <v>32.266399999999997</v>
      </c>
      <c r="D14" s="14">
        <v>59.2254</v>
      </c>
      <c r="E14" s="14">
        <v>19.026199999999999</v>
      </c>
      <c r="F14" s="14">
        <v>42.373199999999997</v>
      </c>
      <c r="G14" s="14">
        <v>50.207000000000001</v>
      </c>
      <c r="H14" s="14">
        <v>67.931100000000001</v>
      </c>
      <c r="I14" s="14">
        <v>96.548599999999993</v>
      </c>
      <c r="J14" s="14">
        <v>129.9759</v>
      </c>
      <c r="K14" s="14">
        <v>205.95859999999999</v>
      </c>
      <c r="L14" s="14">
        <v>253.97380000000001</v>
      </c>
      <c r="M14" s="14">
        <v>325.49889999999999</v>
      </c>
      <c r="N14" s="14">
        <v>409.10340000000002</v>
      </c>
    </row>
  </sheetData>
  <mergeCells count="1">
    <mergeCell ref="A1:P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3ADD6-6A54-4498-A5D9-47DD76AA73A3}">
  <dimension ref="A1:S14"/>
  <sheetViews>
    <sheetView showGridLines="0" workbookViewId="0">
      <pane ySplit="5" topLeftCell="A6" activePane="bottomLeft" state="frozen"/>
      <selection pane="bottomLeft" activeCell="L13" sqref="L13"/>
    </sheetView>
  </sheetViews>
  <sheetFormatPr defaultRowHeight="14.5"/>
  <cols>
    <col min="1" max="1" width="12.453125" bestFit="1" customWidth="1"/>
    <col min="2" max="2" width="15.81640625" bestFit="1" customWidth="1"/>
    <col min="3" max="21" width="6.54296875" bestFit="1" customWidth="1"/>
  </cols>
  <sheetData>
    <row r="1" spans="1:19" ht="23.5">
      <c r="A1" s="100" t="s">
        <v>213</v>
      </c>
      <c r="B1" s="100"/>
      <c r="C1" s="100"/>
      <c r="D1" s="100"/>
      <c r="E1" s="100"/>
      <c r="F1" s="100"/>
      <c r="G1" s="100"/>
      <c r="H1" s="100"/>
      <c r="I1" s="100"/>
      <c r="J1" s="100"/>
      <c r="K1" s="100"/>
      <c r="L1" s="100"/>
      <c r="M1" s="100"/>
      <c r="N1" s="100"/>
      <c r="O1" s="100"/>
      <c r="P1" s="100"/>
      <c r="Q1" s="100"/>
      <c r="R1" s="100"/>
      <c r="S1" s="100"/>
    </row>
    <row r="4" spans="1:19">
      <c r="A4" s="37" t="s">
        <v>232</v>
      </c>
      <c r="B4" s="22"/>
      <c r="C4" s="23"/>
      <c r="D4" s="23"/>
      <c r="E4" s="23"/>
      <c r="F4" s="23"/>
      <c r="G4" s="23"/>
      <c r="H4" s="23"/>
      <c r="I4" s="23"/>
      <c r="J4" s="23"/>
      <c r="K4" s="23"/>
      <c r="L4" s="23"/>
      <c r="M4" s="23"/>
      <c r="N4" s="24"/>
    </row>
    <row r="5" spans="1:19">
      <c r="A5" s="25"/>
      <c r="B5" s="26"/>
      <c r="C5" s="27">
        <v>2014</v>
      </c>
      <c r="D5" s="27">
        <v>2015</v>
      </c>
      <c r="E5" s="27">
        <v>2016</v>
      </c>
      <c r="F5" s="27">
        <v>2017</v>
      </c>
      <c r="G5" s="27">
        <v>2018</v>
      </c>
      <c r="H5" s="27">
        <v>2019</v>
      </c>
      <c r="I5" s="27">
        <v>2020</v>
      </c>
      <c r="J5" s="27">
        <v>2021</v>
      </c>
      <c r="K5" s="27">
        <v>2022</v>
      </c>
      <c r="L5" s="27">
        <v>2023</v>
      </c>
      <c r="M5" s="27">
        <v>2024</v>
      </c>
      <c r="N5" s="28">
        <v>2025</v>
      </c>
    </row>
    <row r="6" spans="1:19">
      <c r="A6" s="29" t="s">
        <v>207</v>
      </c>
      <c r="B6" s="30" t="s">
        <v>39</v>
      </c>
      <c r="C6" s="38">
        <v>28636.680700000001</v>
      </c>
      <c r="D6" s="39">
        <v>29010.449400000001</v>
      </c>
      <c r="E6" s="38">
        <v>29399.2749</v>
      </c>
      <c r="F6" s="39">
        <v>29840.293399999999</v>
      </c>
      <c r="G6" s="38">
        <v>30132.383000000002</v>
      </c>
      <c r="H6" s="39">
        <v>30830.233899999999</v>
      </c>
      <c r="I6" s="38">
        <v>31258.931799999998</v>
      </c>
      <c r="J6" s="39">
        <v>31620.718000000001</v>
      </c>
      <c r="K6" s="38">
        <v>31747.8541</v>
      </c>
      <c r="L6" s="39">
        <v>31645.1931</v>
      </c>
      <c r="M6" s="38">
        <v>32671.884699999999</v>
      </c>
      <c r="N6" s="40">
        <v>33751.370300000002</v>
      </c>
    </row>
    <row r="7" spans="1:19">
      <c r="A7" s="33"/>
      <c r="B7" s="30" t="s">
        <v>41</v>
      </c>
      <c r="C7" s="38">
        <v>7.9622999999999999</v>
      </c>
      <c r="D7" s="39">
        <v>7.8715000000000002</v>
      </c>
      <c r="E7" s="38"/>
      <c r="F7" s="39"/>
      <c r="G7" s="38"/>
      <c r="H7" s="39"/>
      <c r="I7" s="38"/>
      <c r="J7" s="39"/>
      <c r="K7" s="38"/>
      <c r="L7" s="39"/>
      <c r="M7" s="38"/>
      <c r="N7" s="40"/>
    </row>
    <row r="8" spans="1:19">
      <c r="A8" s="34"/>
      <c r="B8" s="32" t="s">
        <v>40</v>
      </c>
      <c r="C8" s="41">
        <v>16.494199999999999</v>
      </c>
      <c r="D8" s="42">
        <v>16.419699999999999</v>
      </c>
      <c r="E8" s="41">
        <v>15.5589</v>
      </c>
      <c r="F8" s="42">
        <v>14.7407</v>
      </c>
      <c r="G8" s="41">
        <v>13.832700000000001</v>
      </c>
      <c r="H8" s="42">
        <v>14.0146</v>
      </c>
      <c r="I8" s="41">
        <v>14.007400000000001</v>
      </c>
      <c r="J8" s="42">
        <v>15.055899999999999</v>
      </c>
      <c r="K8" s="41">
        <v>16.852499999999999</v>
      </c>
      <c r="L8" s="42">
        <v>18.357700000000001</v>
      </c>
      <c r="M8" s="41">
        <v>17.178699999999999</v>
      </c>
      <c r="N8" s="43">
        <v>16</v>
      </c>
    </row>
    <row r="9" spans="1:19">
      <c r="A9" s="29" t="s">
        <v>208</v>
      </c>
      <c r="B9" s="30" t="s">
        <v>39</v>
      </c>
      <c r="C9" s="38">
        <v>16808.910199999998</v>
      </c>
      <c r="D9" s="39">
        <v>16851.999299999999</v>
      </c>
      <c r="E9" s="38">
        <v>16948.844799999999</v>
      </c>
      <c r="F9" s="39">
        <v>17240.495699999999</v>
      </c>
      <c r="G9" s="38">
        <v>17405.736400000002</v>
      </c>
      <c r="H9" s="39">
        <v>17683.313399999999</v>
      </c>
      <c r="I9" s="38">
        <v>18015.842700000001</v>
      </c>
      <c r="J9" s="39">
        <v>18491.283500000001</v>
      </c>
      <c r="K9" s="38">
        <v>18799.6885</v>
      </c>
      <c r="L9" s="39">
        <v>18979.327300000001</v>
      </c>
      <c r="M9" s="38">
        <v>19805.321899999999</v>
      </c>
      <c r="N9" s="40">
        <v>20526.333999999999</v>
      </c>
    </row>
    <row r="10" spans="1:19">
      <c r="A10" s="31"/>
      <c r="B10" s="32" t="s">
        <v>41</v>
      </c>
      <c r="C10" s="41">
        <v>2920.6583000000001</v>
      </c>
      <c r="D10" s="42">
        <v>2948.3339999999998</v>
      </c>
      <c r="E10" s="41">
        <v>2991.0162</v>
      </c>
      <c r="F10" s="42">
        <v>2988.6507000000001</v>
      </c>
      <c r="G10" s="41">
        <v>3019.3751000000002</v>
      </c>
      <c r="H10" s="42">
        <v>3034.4994999999999</v>
      </c>
      <c r="I10" s="41">
        <v>3041.3625999999999</v>
      </c>
      <c r="J10" s="42">
        <v>3031.8863000000001</v>
      </c>
      <c r="K10" s="41">
        <v>3073.9641000000001</v>
      </c>
      <c r="L10" s="42">
        <v>3073.3654999999999</v>
      </c>
      <c r="M10" s="41">
        <v>3192.0581000000002</v>
      </c>
      <c r="N10" s="43">
        <v>3257.9223999999999</v>
      </c>
    </row>
    <row r="11" spans="1:19">
      <c r="A11" s="35"/>
      <c r="B11" s="30" t="s">
        <v>40</v>
      </c>
      <c r="C11" s="38">
        <v>3053.3975</v>
      </c>
      <c r="D11" s="39">
        <v>3049.7912999999999</v>
      </c>
      <c r="E11" s="38">
        <v>3044.9695999999999</v>
      </c>
      <c r="F11" s="39">
        <v>3055.1341000000002</v>
      </c>
      <c r="G11" s="38">
        <v>3040.2037999999998</v>
      </c>
      <c r="H11" s="39">
        <v>3055.098</v>
      </c>
      <c r="I11" s="38">
        <v>3059.0862999999999</v>
      </c>
      <c r="J11" s="39">
        <v>3094.9105</v>
      </c>
      <c r="K11" s="38">
        <v>3100.5882999999999</v>
      </c>
      <c r="L11" s="39">
        <v>3091.6071999999999</v>
      </c>
      <c r="M11" s="38">
        <v>3170.0493999999999</v>
      </c>
      <c r="N11" s="40">
        <v>3222.8490000000002</v>
      </c>
    </row>
    <row r="12" spans="1:19">
      <c r="A12" s="36" t="s">
        <v>37</v>
      </c>
      <c r="B12" s="32" t="s">
        <v>39</v>
      </c>
      <c r="C12" s="41">
        <v>45445.590900000003</v>
      </c>
      <c r="D12" s="42">
        <v>45862.448700000001</v>
      </c>
      <c r="E12" s="41">
        <v>46348.119700000003</v>
      </c>
      <c r="F12" s="42">
        <v>47080.789100000002</v>
      </c>
      <c r="G12" s="41">
        <v>47538.119400000003</v>
      </c>
      <c r="H12" s="42">
        <v>48513.547299999998</v>
      </c>
      <c r="I12" s="41">
        <v>49274.7745</v>
      </c>
      <c r="J12" s="42">
        <v>50112.001499999998</v>
      </c>
      <c r="K12" s="41">
        <v>50547.542600000001</v>
      </c>
      <c r="L12" s="42">
        <v>50624.520400000001</v>
      </c>
      <c r="M12" s="41">
        <v>52477.206599999998</v>
      </c>
      <c r="N12" s="43">
        <v>54277.704299999998</v>
      </c>
    </row>
    <row r="13" spans="1:19">
      <c r="A13" s="33"/>
      <c r="B13" s="30" t="s">
        <v>41</v>
      </c>
      <c r="C13" s="38">
        <v>2928.6206000000002</v>
      </c>
      <c r="D13" s="39">
        <v>2956.2055</v>
      </c>
      <c r="E13" s="38">
        <v>2991.0162</v>
      </c>
      <c r="F13" s="39">
        <v>2988.6507000000001</v>
      </c>
      <c r="G13" s="38">
        <v>3019.3751000000002</v>
      </c>
      <c r="H13" s="39">
        <v>3034.4994999999999</v>
      </c>
      <c r="I13" s="38">
        <v>3041.3625999999999</v>
      </c>
      <c r="J13" s="39">
        <v>3031.8863000000001</v>
      </c>
      <c r="K13" s="38">
        <v>3073.9641000000001</v>
      </c>
      <c r="L13" s="39">
        <v>3073.3654999999999</v>
      </c>
      <c r="M13" s="38">
        <v>3192.0581000000002</v>
      </c>
      <c r="N13" s="40">
        <v>3257.9223999999999</v>
      </c>
    </row>
    <row r="14" spans="1:19">
      <c r="A14" s="34"/>
      <c r="B14" s="32" t="s">
        <v>40</v>
      </c>
      <c r="C14" s="41">
        <v>3069.8917000000001</v>
      </c>
      <c r="D14" s="42">
        <v>3066.2109999999998</v>
      </c>
      <c r="E14" s="41">
        <v>3060.5284999999999</v>
      </c>
      <c r="F14" s="42">
        <v>3069.8748000000001</v>
      </c>
      <c r="G14" s="41">
        <v>3054.0365000000002</v>
      </c>
      <c r="H14" s="42">
        <v>3069.1125999999999</v>
      </c>
      <c r="I14" s="41">
        <v>3073.0936999999999</v>
      </c>
      <c r="J14" s="42">
        <v>3109.9663999999998</v>
      </c>
      <c r="K14" s="41">
        <v>3117.4407999999999</v>
      </c>
      <c r="L14" s="42">
        <v>3109.9648999999999</v>
      </c>
      <c r="M14" s="41">
        <v>3187.2280999999998</v>
      </c>
      <c r="N14" s="43">
        <v>3238.6981999999998</v>
      </c>
    </row>
  </sheetData>
  <mergeCells count="1">
    <mergeCell ref="A1:S1"/>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A0DAA-1299-41C2-87A8-3937FECAC5ED}">
  <dimension ref="A1:S19"/>
  <sheetViews>
    <sheetView showGridLines="0" workbookViewId="0">
      <pane ySplit="5" topLeftCell="A6" activePane="bottomLeft" state="frozen"/>
      <selection pane="bottomLeft" sqref="A1:R1"/>
    </sheetView>
  </sheetViews>
  <sheetFormatPr defaultRowHeight="14.5"/>
  <cols>
    <col min="1" max="1" width="12.453125" bestFit="1" customWidth="1"/>
    <col min="2" max="2" width="22.26953125" bestFit="1" customWidth="1"/>
    <col min="3" max="21" width="6.54296875" bestFit="1" customWidth="1"/>
  </cols>
  <sheetData>
    <row r="1" spans="1:19" ht="23.5">
      <c r="A1" s="100" t="s">
        <v>246</v>
      </c>
      <c r="B1" s="100"/>
      <c r="C1" s="100"/>
      <c r="D1" s="100"/>
      <c r="E1" s="100"/>
      <c r="F1" s="100"/>
      <c r="G1" s="100"/>
      <c r="H1" s="100"/>
      <c r="I1" s="100"/>
      <c r="J1" s="100"/>
      <c r="K1" s="100"/>
      <c r="L1" s="100"/>
      <c r="M1" s="100"/>
      <c r="N1" s="100"/>
      <c r="O1" s="100"/>
      <c r="P1" s="100"/>
      <c r="Q1" s="100"/>
      <c r="R1" s="100"/>
      <c r="S1" s="17"/>
    </row>
    <row r="4" spans="1:19">
      <c r="A4" s="10" t="s">
        <v>232</v>
      </c>
    </row>
    <row r="5" spans="1:19">
      <c r="C5">
        <v>2014</v>
      </c>
      <c r="D5">
        <v>2015</v>
      </c>
      <c r="E5">
        <v>2016</v>
      </c>
      <c r="F5">
        <v>2017</v>
      </c>
      <c r="G5">
        <v>2018</v>
      </c>
      <c r="H5">
        <v>2019</v>
      </c>
      <c r="I5">
        <v>2020</v>
      </c>
      <c r="J5">
        <v>2021</v>
      </c>
      <c r="K5">
        <v>2022</v>
      </c>
      <c r="L5">
        <v>2023</v>
      </c>
      <c r="M5">
        <v>2024</v>
      </c>
      <c r="N5">
        <v>2025</v>
      </c>
    </row>
    <row r="6" spans="1:19">
      <c r="A6" t="s">
        <v>207</v>
      </c>
      <c r="B6" t="s">
        <v>240</v>
      </c>
      <c r="C6" s="14">
        <v>13525.7179</v>
      </c>
      <c r="D6" s="14">
        <v>13732.3629</v>
      </c>
      <c r="E6" s="14">
        <v>13862.277099999999</v>
      </c>
      <c r="F6" s="14">
        <v>14129.082399999999</v>
      </c>
      <c r="G6" s="14">
        <v>14291.9149</v>
      </c>
      <c r="H6" s="14">
        <v>14558.470600000001</v>
      </c>
      <c r="I6" s="14">
        <v>14611.2379</v>
      </c>
      <c r="J6" s="14">
        <v>14653.3105</v>
      </c>
      <c r="K6" s="14">
        <v>14560.570100000001</v>
      </c>
      <c r="L6" s="14">
        <v>14444.034600000001</v>
      </c>
      <c r="M6" s="14">
        <v>15040.802299999999</v>
      </c>
      <c r="N6" s="14">
        <v>15449.617</v>
      </c>
    </row>
    <row r="7" spans="1:19">
      <c r="B7" t="s">
        <v>241</v>
      </c>
      <c r="C7" s="14">
        <v>10789.6415</v>
      </c>
      <c r="D7" s="14">
        <v>10903.080099999999</v>
      </c>
      <c r="E7" s="14">
        <v>11076.6638</v>
      </c>
      <c r="F7" s="14">
        <v>11179.2724</v>
      </c>
      <c r="G7" s="14">
        <v>11206.617</v>
      </c>
      <c r="H7" s="14">
        <v>11360.9013</v>
      </c>
      <c r="I7" s="14">
        <v>11596.6132</v>
      </c>
      <c r="J7" s="14">
        <v>11794.332899999999</v>
      </c>
      <c r="K7" s="14">
        <v>11945.8887</v>
      </c>
      <c r="L7" s="14">
        <v>11873.934999999999</v>
      </c>
      <c r="M7" s="14">
        <v>12196.732</v>
      </c>
      <c r="N7" s="14">
        <v>12699.883900000001</v>
      </c>
    </row>
    <row r="8" spans="1:19">
      <c r="B8" t="s">
        <v>242</v>
      </c>
      <c r="C8" s="14">
        <v>3136.4115999999999</v>
      </c>
      <c r="D8" s="14">
        <v>3147.8971999999999</v>
      </c>
      <c r="E8" s="14">
        <v>3185.2907</v>
      </c>
      <c r="F8" s="14">
        <v>3222.2033000000001</v>
      </c>
      <c r="G8" s="14">
        <v>3263.7251000000001</v>
      </c>
      <c r="H8" s="14">
        <v>3440.1810999999998</v>
      </c>
      <c r="I8" s="14">
        <v>3538.9371999999998</v>
      </c>
      <c r="J8" s="14">
        <v>3576.0337</v>
      </c>
      <c r="K8" s="14">
        <v>3598.3643999999999</v>
      </c>
      <c r="L8" s="14">
        <v>3591.6628000000001</v>
      </c>
      <c r="M8" s="14">
        <v>3604.1174000000001</v>
      </c>
      <c r="N8" s="14">
        <v>3680.7939999999999</v>
      </c>
    </row>
    <row r="9" spans="1:19">
      <c r="B9" t="s">
        <v>243</v>
      </c>
      <c r="C9" s="14">
        <v>1209.3661999999999</v>
      </c>
      <c r="D9" s="14">
        <v>1251.4004</v>
      </c>
      <c r="E9" s="14">
        <v>1290.6022</v>
      </c>
      <c r="F9" s="14">
        <v>1324.4760000000001</v>
      </c>
      <c r="G9" s="14">
        <v>1383.9586999999999</v>
      </c>
      <c r="H9" s="14">
        <v>1484.6955</v>
      </c>
      <c r="I9" s="14">
        <v>1526.1509000000001</v>
      </c>
      <c r="J9" s="14">
        <v>1612.0968</v>
      </c>
      <c r="K9" s="14">
        <v>1659.8833999999999</v>
      </c>
      <c r="L9" s="14">
        <v>1753.9184</v>
      </c>
      <c r="M9" s="14">
        <v>1847.4117000000001</v>
      </c>
      <c r="N9" s="14">
        <v>1936.9246000000001</v>
      </c>
    </row>
    <row r="10" spans="1:19">
      <c r="A10" t="s">
        <v>208</v>
      </c>
      <c r="B10" t="s">
        <v>208</v>
      </c>
      <c r="C10" s="14">
        <v>19728.8439</v>
      </c>
      <c r="D10" s="14">
        <v>19760.168799999999</v>
      </c>
      <c r="E10" s="14">
        <v>19843.151099999999</v>
      </c>
      <c r="F10" s="14">
        <v>19993.916700000002</v>
      </c>
      <c r="G10" s="14">
        <v>20145.129199999999</v>
      </c>
      <c r="H10" s="14">
        <v>20372.9506</v>
      </c>
      <c r="I10" s="14">
        <v>20602.769700000001</v>
      </c>
      <c r="J10" s="14">
        <v>20970.847699999998</v>
      </c>
      <c r="K10" s="14">
        <v>21185.822700000001</v>
      </c>
      <c r="L10" s="14">
        <v>21251.556799999998</v>
      </c>
      <c r="M10" s="14">
        <v>22151.135699999999</v>
      </c>
      <c r="N10" s="14">
        <v>22718.904699999999</v>
      </c>
    </row>
    <row r="11" spans="1:19">
      <c r="B11" t="s">
        <v>244</v>
      </c>
      <c r="C11" s="14">
        <v>2759.3939999999998</v>
      </c>
      <c r="D11" s="14">
        <v>2800.5920000000001</v>
      </c>
      <c r="E11" s="14">
        <v>2862.9430000000002</v>
      </c>
      <c r="F11" s="14">
        <v>3004.5884999999998</v>
      </c>
      <c r="G11" s="14">
        <v>3034.9268999999999</v>
      </c>
      <c r="H11" s="14">
        <v>3109.8620000000001</v>
      </c>
      <c r="I11" s="14">
        <v>3207.1197999999999</v>
      </c>
      <c r="J11" s="14">
        <v>3316.3852999999999</v>
      </c>
      <c r="K11" s="14">
        <v>3399.7307999999998</v>
      </c>
      <c r="L11" s="14">
        <v>3474.0668999999998</v>
      </c>
      <c r="M11" s="14">
        <v>3582.2040000000002</v>
      </c>
      <c r="N11" s="14">
        <v>3814.0502999999999</v>
      </c>
    </row>
    <row r="12" spans="1:19">
      <c r="B12" t="s">
        <v>245</v>
      </c>
      <c r="C12" s="14">
        <v>294.72809999999998</v>
      </c>
      <c r="D12" s="14">
        <v>289.36380000000003</v>
      </c>
      <c r="E12" s="14">
        <v>278.73649999999998</v>
      </c>
      <c r="F12" s="14">
        <v>285.77530000000002</v>
      </c>
      <c r="G12" s="14">
        <v>285.25920000000002</v>
      </c>
      <c r="H12" s="14">
        <v>290.09829999999999</v>
      </c>
      <c r="I12" s="14">
        <v>306.40210000000002</v>
      </c>
      <c r="J12" s="14">
        <v>330.84730000000002</v>
      </c>
      <c r="K12" s="14">
        <v>388.68740000000003</v>
      </c>
      <c r="L12" s="14">
        <v>418.67630000000003</v>
      </c>
      <c r="M12" s="14">
        <v>434.08969999999999</v>
      </c>
      <c r="N12" s="14">
        <v>474.15039999999999</v>
      </c>
    </row>
    <row r="13" spans="1:19">
      <c r="A13" t="s">
        <v>37</v>
      </c>
      <c r="B13" t="s">
        <v>240</v>
      </c>
      <c r="C13" s="14">
        <v>13525.7179</v>
      </c>
      <c r="D13" s="14">
        <v>13732.3629</v>
      </c>
      <c r="E13" s="14">
        <v>13862.277099999999</v>
      </c>
      <c r="F13" s="14">
        <v>14129.082399999999</v>
      </c>
      <c r="G13" s="14">
        <v>14291.9149</v>
      </c>
      <c r="H13" s="14">
        <v>14558.470600000001</v>
      </c>
      <c r="I13" s="14">
        <v>14611.2379</v>
      </c>
      <c r="J13" s="14">
        <v>14653.3105</v>
      </c>
      <c r="K13" s="14">
        <v>14560.570100000001</v>
      </c>
      <c r="L13" s="14">
        <v>14444.034600000001</v>
      </c>
      <c r="M13" s="14">
        <v>15040.802299999999</v>
      </c>
      <c r="N13" s="14">
        <v>15449.617</v>
      </c>
    </row>
    <row r="14" spans="1:19">
      <c r="B14" t="s">
        <v>241</v>
      </c>
      <c r="C14" s="14">
        <v>10789.6415</v>
      </c>
      <c r="D14" s="14">
        <v>10903.080099999999</v>
      </c>
      <c r="E14" s="14">
        <v>11076.6638</v>
      </c>
      <c r="F14" s="14">
        <v>11179.2724</v>
      </c>
      <c r="G14" s="14">
        <v>11206.617</v>
      </c>
      <c r="H14" s="14">
        <v>11360.9013</v>
      </c>
      <c r="I14" s="14">
        <v>11596.6132</v>
      </c>
      <c r="J14" s="14">
        <v>11794.332899999999</v>
      </c>
      <c r="K14" s="14">
        <v>11945.8887</v>
      </c>
      <c r="L14" s="14">
        <v>11873.934999999999</v>
      </c>
      <c r="M14" s="14">
        <v>12196.732</v>
      </c>
      <c r="N14" s="14">
        <v>12699.883900000001</v>
      </c>
    </row>
    <row r="15" spans="1:19">
      <c r="B15" t="s">
        <v>242</v>
      </c>
      <c r="C15" s="14">
        <v>3136.4115999999999</v>
      </c>
      <c r="D15" s="14">
        <v>3147.8971999999999</v>
      </c>
      <c r="E15" s="14">
        <v>3185.2907</v>
      </c>
      <c r="F15" s="14">
        <v>3222.2033000000001</v>
      </c>
      <c r="G15" s="14">
        <v>3263.7251000000001</v>
      </c>
      <c r="H15" s="14">
        <v>3440.1810999999998</v>
      </c>
      <c r="I15" s="14">
        <v>3538.9371999999998</v>
      </c>
      <c r="J15" s="14">
        <v>3576.0337</v>
      </c>
      <c r="K15" s="14">
        <v>3598.3643999999999</v>
      </c>
      <c r="L15" s="14">
        <v>3591.6628000000001</v>
      </c>
      <c r="M15" s="14">
        <v>3604.1174000000001</v>
      </c>
      <c r="N15" s="14">
        <v>3680.7939999999999</v>
      </c>
    </row>
    <row r="16" spans="1:19">
      <c r="B16" t="s">
        <v>208</v>
      </c>
      <c r="C16" s="14">
        <v>19728.8439</v>
      </c>
      <c r="D16" s="14">
        <v>19760.168799999999</v>
      </c>
      <c r="E16" s="14">
        <v>19843.151099999999</v>
      </c>
      <c r="F16" s="14">
        <v>19993.916700000002</v>
      </c>
      <c r="G16" s="14">
        <v>20145.129199999999</v>
      </c>
      <c r="H16" s="14">
        <v>20372.9506</v>
      </c>
      <c r="I16" s="14">
        <v>20602.769700000001</v>
      </c>
      <c r="J16" s="14">
        <v>20970.847699999998</v>
      </c>
      <c r="K16" s="14">
        <v>21185.822700000001</v>
      </c>
      <c r="L16" s="14">
        <v>21251.556799999998</v>
      </c>
      <c r="M16" s="14">
        <v>22151.135699999999</v>
      </c>
      <c r="N16" s="14">
        <v>22718.904699999999</v>
      </c>
    </row>
    <row r="17" spans="2:14">
      <c r="B17" t="s">
        <v>244</v>
      </c>
      <c r="C17" s="14">
        <v>2759.3939999999998</v>
      </c>
      <c r="D17" s="14">
        <v>2800.5920000000001</v>
      </c>
      <c r="E17" s="14">
        <v>2862.9430000000002</v>
      </c>
      <c r="F17" s="14">
        <v>3004.5884999999998</v>
      </c>
      <c r="G17" s="14">
        <v>3034.9268999999999</v>
      </c>
      <c r="H17" s="14">
        <v>3109.8620000000001</v>
      </c>
      <c r="I17" s="14">
        <v>3207.1197999999999</v>
      </c>
      <c r="J17" s="14">
        <v>3316.3852999999999</v>
      </c>
      <c r="K17" s="14">
        <v>3399.7307999999998</v>
      </c>
      <c r="L17" s="14">
        <v>3474.0668999999998</v>
      </c>
      <c r="M17" s="14">
        <v>3582.2040000000002</v>
      </c>
      <c r="N17" s="14">
        <v>3814.0502999999999</v>
      </c>
    </row>
    <row r="18" spans="2:14">
      <c r="B18" t="s">
        <v>245</v>
      </c>
      <c r="C18" s="14">
        <v>294.72809999999998</v>
      </c>
      <c r="D18" s="14">
        <v>289.36380000000003</v>
      </c>
      <c r="E18" s="14">
        <v>278.73649999999998</v>
      </c>
      <c r="F18" s="14">
        <v>285.77530000000002</v>
      </c>
      <c r="G18" s="14">
        <v>285.25920000000002</v>
      </c>
      <c r="H18" s="14">
        <v>290.09829999999999</v>
      </c>
      <c r="I18" s="14">
        <v>306.40210000000002</v>
      </c>
      <c r="J18" s="14">
        <v>330.84730000000002</v>
      </c>
      <c r="K18" s="14">
        <v>388.68740000000003</v>
      </c>
      <c r="L18" s="14">
        <v>418.67630000000003</v>
      </c>
      <c r="M18" s="14">
        <v>434.08969999999999</v>
      </c>
      <c r="N18" s="14">
        <v>474.15039999999999</v>
      </c>
    </row>
    <row r="19" spans="2:14">
      <c r="B19" t="s">
        <v>243</v>
      </c>
      <c r="C19" s="14">
        <v>1209.3661999999999</v>
      </c>
      <c r="D19" s="14">
        <v>1251.4004</v>
      </c>
      <c r="E19" s="14">
        <v>1290.6022</v>
      </c>
      <c r="F19" s="14">
        <v>1324.4760000000001</v>
      </c>
      <c r="G19" s="14">
        <v>1383.9586999999999</v>
      </c>
      <c r="H19" s="14">
        <v>1484.6955</v>
      </c>
      <c r="I19" s="14">
        <v>1526.1509000000001</v>
      </c>
      <c r="J19" s="14">
        <v>1612.0968</v>
      </c>
      <c r="K19" s="14">
        <v>1659.8833999999999</v>
      </c>
      <c r="L19" s="14">
        <v>1753.9184</v>
      </c>
      <c r="M19" s="14">
        <v>1847.4117000000001</v>
      </c>
      <c r="N19" s="14">
        <v>1936.9246000000001</v>
      </c>
    </row>
  </sheetData>
  <mergeCells count="1">
    <mergeCell ref="A1:R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EBFAC-9A9F-447D-A222-CBA6283C7080}">
  <dimension ref="A1:Z29"/>
  <sheetViews>
    <sheetView showGridLines="0" workbookViewId="0">
      <pane ySplit="5" topLeftCell="A6" activePane="bottomLeft" state="frozen"/>
      <selection activeCell="A2" sqref="A2"/>
      <selection pane="bottomLeft" sqref="A1:Z1"/>
    </sheetView>
  </sheetViews>
  <sheetFormatPr defaultRowHeight="14.5"/>
  <cols>
    <col min="1" max="1" width="12.453125" bestFit="1" customWidth="1"/>
    <col min="2" max="2" width="14.54296875" bestFit="1" customWidth="1"/>
    <col min="3" max="7" width="6.54296875" bestFit="1" customWidth="1"/>
    <col min="8" max="9" width="5.54296875" bestFit="1" customWidth="1"/>
    <col min="10" max="10" width="6.54296875" bestFit="1" customWidth="1"/>
    <col min="11" max="12" width="5.54296875" bestFit="1" customWidth="1"/>
    <col min="13" max="21" width="6.54296875" bestFit="1" customWidth="1"/>
  </cols>
  <sheetData>
    <row r="1" spans="1:26" ht="23.5">
      <c r="A1" s="100" t="s">
        <v>217</v>
      </c>
      <c r="B1" s="100"/>
      <c r="C1" s="100"/>
      <c r="D1" s="100"/>
      <c r="E1" s="100"/>
      <c r="F1" s="100"/>
      <c r="G1" s="100"/>
      <c r="H1" s="100"/>
      <c r="I1" s="100"/>
      <c r="J1" s="100"/>
      <c r="K1" s="100"/>
      <c r="L1" s="100"/>
      <c r="M1" s="100"/>
      <c r="N1" s="100"/>
      <c r="O1" s="100"/>
      <c r="P1" s="100"/>
      <c r="Q1" s="100"/>
      <c r="R1" s="100"/>
      <c r="S1" s="100"/>
      <c r="T1" s="100"/>
      <c r="U1" s="100"/>
      <c r="V1" s="100"/>
      <c r="W1" s="100"/>
      <c r="X1" s="100"/>
      <c r="Y1" s="100"/>
      <c r="Z1" s="100"/>
    </row>
    <row r="4" spans="1:26">
      <c r="A4" s="10" t="s">
        <v>232</v>
      </c>
    </row>
    <row r="5" spans="1:26">
      <c r="C5">
        <v>2014</v>
      </c>
      <c r="D5">
        <v>2015</v>
      </c>
      <c r="E5">
        <v>2016</v>
      </c>
      <c r="F5">
        <v>2017</v>
      </c>
      <c r="G5">
        <v>2018</v>
      </c>
      <c r="H5">
        <v>2019</v>
      </c>
      <c r="I5">
        <v>2020</v>
      </c>
      <c r="J5">
        <v>2021</v>
      </c>
      <c r="K5">
        <v>2022</v>
      </c>
      <c r="L5">
        <v>2023</v>
      </c>
      <c r="M5">
        <v>2024</v>
      </c>
      <c r="N5">
        <v>2025</v>
      </c>
    </row>
    <row r="6" spans="1:26">
      <c r="A6" t="s">
        <v>207</v>
      </c>
      <c r="B6" t="s">
        <v>195</v>
      </c>
      <c r="C6" s="14"/>
      <c r="D6" s="14"/>
      <c r="E6" s="14"/>
      <c r="F6" s="14"/>
      <c r="G6" s="14"/>
      <c r="H6" s="14">
        <v>7174.1459000000004</v>
      </c>
      <c r="I6" s="14">
        <v>7181.6331</v>
      </c>
      <c r="J6" s="14">
        <v>7225.7912999999999</v>
      </c>
      <c r="K6" s="14">
        <v>7184.7739000000001</v>
      </c>
      <c r="L6" s="14">
        <v>7078.8766999999998</v>
      </c>
      <c r="M6" s="14">
        <v>7343.8302999999996</v>
      </c>
      <c r="N6" s="14">
        <v>7440.5730999999996</v>
      </c>
    </row>
    <row r="7" spans="1:26">
      <c r="B7" t="s">
        <v>194</v>
      </c>
      <c r="C7" s="14"/>
      <c r="D7" s="14"/>
      <c r="E7" s="14"/>
      <c r="F7" s="14"/>
      <c r="G7" s="14"/>
      <c r="H7" s="14">
        <v>4696.2160000000003</v>
      </c>
      <c r="I7" s="14">
        <v>4775.8562000000002</v>
      </c>
      <c r="J7" s="14">
        <v>4840.5248000000001</v>
      </c>
      <c r="K7" s="14">
        <v>4938.82</v>
      </c>
      <c r="L7" s="14">
        <v>4937.3365999999996</v>
      </c>
      <c r="M7" s="14">
        <v>5216.1521000000002</v>
      </c>
      <c r="N7" s="14">
        <v>5434.1967999999997</v>
      </c>
    </row>
    <row r="8" spans="1:26">
      <c r="B8" t="s">
        <v>193</v>
      </c>
      <c r="C8" s="14"/>
      <c r="D8" s="14"/>
      <c r="E8" s="14"/>
      <c r="F8" s="14"/>
      <c r="G8" s="14"/>
      <c r="H8" s="14">
        <v>4106.5630000000001</v>
      </c>
      <c r="I8" s="14">
        <v>4216.4414999999999</v>
      </c>
      <c r="J8" s="14">
        <v>4286.3451999999997</v>
      </c>
      <c r="K8" s="14">
        <v>4320.1728000000003</v>
      </c>
      <c r="L8" s="14">
        <v>4319.1531000000004</v>
      </c>
      <c r="M8" s="14">
        <v>4195.5051000000003</v>
      </c>
      <c r="N8" s="14">
        <v>4505.1997000000001</v>
      </c>
    </row>
    <row r="9" spans="1:26">
      <c r="B9" t="s">
        <v>192</v>
      </c>
      <c r="C9" s="14"/>
      <c r="D9" s="14"/>
      <c r="E9" s="14"/>
      <c r="F9" s="14"/>
      <c r="G9" s="14"/>
      <c r="H9" s="14">
        <v>3740.7764999999999</v>
      </c>
      <c r="I9" s="14">
        <v>3782.0192999999999</v>
      </c>
      <c r="J9" s="14">
        <v>3869.3797</v>
      </c>
      <c r="K9" s="14">
        <v>3947.1224000000002</v>
      </c>
      <c r="L9" s="14">
        <v>3888.2802999999999</v>
      </c>
      <c r="M9" s="14">
        <v>4071.8020000000001</v>
      </c>
      <c r="N9" s="14">
        <v>4144.5461999999998</v>
      </c>
    </row>
    <row r="10" spans="1:26">
      <c r="B10" t="s">
        <v>191</v>
      </c>
      <c r="C10" s="14"/>
      <c r="D10" s="14"/>
      <c r="E10" s="14"/>
      <c r="F10" s="14"/>
      <c r="G10" s="14"/>
      <c r="H10" s="14">
        <v>3897.6938</v>
      </c>
      <c r="I10" s="14">
        <v>3997.9468999999999</v>
      </c>
      <c r="J10" s="14">
        <v>4006.3051999999998</v>
      </c>
      <c r="K10" s="14">
        <v>4017.7993999999999</v>
      </c>
      <c r="L10" s="14">
        <v>4020.6867000000002</v>
      </c>
      <c r="M10" s="14">
        <v>4408.5492000000004</v>
      </c>
      <c r="N10" s="14">
        <v>4656.6063000000004</v>
      </c>
    </row>
    <row r="11" spans="1:26">
      <c r="B11" t="s">
        <v>196</v>
      </c>
      <c r="C11" s="14"/>
      <c r="D11" s="14"/>
      <c r="E11" s="14"/>
      <c r="F11" s="14"/>
      <c r="G11" s="14"/>
      <c r="H11" s="14">
        <v>4060.4205000000002</v>
      </c>
      <c r="I11" s="14">
        <v>4128.2779</v>
      </c>
      <c r="J11" s="14">
        <v>4338.0643</v>
      </c>
      <c r="K11" s="14">
        <v>4322.9471999999996</v>
      </c>
      <c r="L11" s="14">
        <v>4362.9691999999995</v>
      </c>
      <c r="M11" s="14">
        <v>4295.2367999999997</v>
      </c>
      <c r="N11" s="14">
        <v>4335.8444</v>
      </c>
    </row>
    <row r="12" spans="1:26">
      <c r="B12" t="s">
        <v>197</v>
      </c>
      <c r="C12" s="14"/>
      <c r="D12" s="14"/>
      <c r="E12" s="14"/>
      <c r="F12" s="14"/>
      <c r="G12" s="14"/>
      <c r="H12" s="14">
        <v>2695.8652000000002</v>
      </c>
      <c r="I12" s="14">
        <v>2751.4946</v>
      </c>
      <c r="J12" s="14">
        <v>2778.7247000000002</v>
      </c>
      <c r="K12" s="14">
        <v>2726.9843000000001</v>
      </c>
      <c r="L12" s="14">
        <v>2756.3281999999999</v>
      </c>
      <c r="M12" s="14">
        <v>2825.9670000000001</v>
      </c>
      <c r="N12" s="14">
        <v>2895.3292999999999</v>
      </c>
    </row>
    <row r="13" spans="1:26">
      <c r="B13" t="s">
        <v>198</v>
      </c>
      <c r="C13" s="14">
        <v>28661.137200000001</v>
      </c>
      <c r="D13" s="14">
        <v>29034.740600000001</v>
      </c>
      <c r="E13" s="14">
        <v>29414.8338</v>
      </c>
      <c r="F13" s="14">
        <v>29855.034100000001</v>
      </c>
      <c r="G13" s="14">
        <v>30146.215700000001</v>
      </c>
      <c r="H13" s="14">
        <v>472.56760000000003</v>
      </c>
      <c r="I13" s="14">
        <v>439.2697</v>
      </c>
      <c r="J13" s="14">
        <v>290.63869999999997</v>
      </c>
      <c r="K13" s="14">
        <v>306.08659999999998</v>
      </c>
      <c r="L13" s="14">
        <v>299.92</v>
      </c>
      <c r="M13" s="14">
        <v>332.02089999999998</v>
      </c>
      <c r="N13" s="14">
        <v>354.9237</v>
      </c>
    </row>
    <row r="14" spans="1:26">
      <c r="A14" t="s">
        <v>208</v>
      </c>
      <c r="B14" t="s">
        <v>195</v>
      </c>
      <c r="C14" s="14"/>
      <c r="D14" s="14"/>
      <c r="E14" s="14"/>
      <c r="F14" s="14"/>
      <c r="G14" s="14"/>
      <c r="H14" s="14">
        <v>2798.0734000000002</v>
      </c>
      <c r="I14" s="14">
        <v>2803.3679999999999</v>
      </c>
      <c r="J14" s="14">
        <v>2791.2698</v>
      </c>
      <c r="K14" s="14">
        <v>2803.0985000000001</v>
      </c>
      <c r="L14" s="14">
        <v>2833.3353999999999</v>
      </c>
      <c r="M14" s="14">
        <v>3079.4007999999999</v>
      </c>
      <c r="N14" s="14">
        <v>3120.681</v>
      </c>
    </row>
    <row r="15" spans="1:26">
      <c r="B15" t="s">
        <v>194</v>
      </c>
      <c r="C15" s="14"/>
      <c r="D15" s="14"/>
      <c r="E15" s="14"/>
      <c r="F15" s="14"/>
      <c r="G15" s="14"/>
      <c r="H15" s="14">
        <v>3639.0589</v>
      </c>
      <c r="I15" s="14">
        <v>3692.4495000000002</v>
      </c>
      <c r="J15" s="14">
        <v>3731.6913</v>
      </c>
      <c r="K15" s="14">
        <v>3781.2156</v>
      </c>
      <c r="L15" s="14">
        <v>3782.5473000000002</v>
      </c>
      <c r="M15" s="14">
        <v>3957.5722000000001</v>
      </c>
      <c r="N15" s="14">
        <v>4166.2138000000004</v>
      </c>
    </row>
    <row r="16" spans="1:26">
      <c r="B16" t="s">
        <v>193</v>
      </c>
      <c r="C16" s="14"/>
      <c r="D16" s="14"/>
      <c r="E16" s="14"/>
      <c r="F16" s="14"/>
      <c r="G16" s="14"/>
      <c r="H16" s="14">
        <v>4580.1791999999996</v>
      </c>
      <c r="I16" s="14">
        <v>4633.3941999999997</v>
      </c>
      <c r="J16" s="14">
        <v>4700.7700000000004</v>
      </c>
      <c r="K16" s="14">
        <v>4741.3571000000002</v>
      </c>
      <c r="L16" s="14">
        <v>4767.5366000000004</v>
      </c>
      <c r="M16" s="14">
        <v>4347.7842000000001</v>
      </c>
      <c r="N16" s="14">
        <v>4468.7060000000001</v>
      </c>
    </row>
    <row r="17" spans="1:14">
      <c r="B17" t="s">
        <v>192</v>
      </c>
      <c r="C17" s="14"/>
      <c r="D17" s="14"/>
      <c r="E17" s="14"/>
      <c r="F17" s="14"/>
      <c r="G17" s="14"/>
      <c r="H17" s="14">
        <v>3833.6390999999999</v>
      </c>
      <c r="I17" s="14">
        <v>3904.9681999999998</v>
      </c>
      <c r="J17" s="14">
        <v>4012.9452999999999</v>
      </c>
      <c r="K17" s="14">
        <v>4073.6059</v>
      </c>
      <c r="L17" s="14">
        <v>4100.7300999999998</v>
      </c>
      <c r="M17" s="14">
        <v>4345.5920999999998</v>
      </c>
      <c r="N17" s="14">
        <v>4527.8144000000002</v>
      </c>
    </row>
    <row r="18" spans="1:14">
      <c r="B18" t="s">
        <v>191</v>
      </c>
      <c r="C18" s="14"/>
      <c r="D18" s="14"/>
      <c r="E18" s="14"/>
      <c r="F18" s="14"/>
      <c r="G18" s="14"/>
      <c r="H18" s="14">
        <v>3602.6957000000002</v>
      </c>
      <c r="I18" s="14">
        <v>3676.2276999999999</v>
      </c>
      <c r="J18" s="14">
        <v>3759.9234999999999</v>
      </c>
      <c r="K18" s="14">
        <v>3822.2725</v>
      </c>
      <c r="L18" s="14">
        <v>3810.4139</v>
      </c>
      <c r="M18" s="14">
        <v>4353.3846000000003</v>
      </c>
      <c r="N18" s="14">
        <v>4275.3198000000002</v>
      </c>
    </row>
    <row r="19" spans="1:14">
      <c r="B19" t="s">
        <v>196</v>
      </c>
      <c r="C19" s="14"/>
      <c r="D19" s="14"/>
      <c r="E19" s="14"/>
      <c r="F19" s="14"/>
      <c r="G19" s="14"/>
      <c r="H19" s="14">
        <v>2922.6774</v>
      </c>
      <c r="I19" s="14">
        <v>2950.7075</v>
      </c>
      <c r="J19" s="14">
        <v>3026.7352999999998</v>
      </c>
      <c r="K19" s="14">
        <v>3040.9733000000001</v>
      </c>
      <c r="L19" s="14">
        <v>3120.5286999999998</v>
      </c>
      <c r="M19" s="14">
        <v>3221.2579999999998</v>
      </c>
      <c r="N19" s="14">
        <v>3252.4888000000001</v>
      </c>
    </row>
    <row r="20" spans="1:14">
      <c r="B20" t="s">
        <v>197</v>
      </c>
      <c r="C20" s="14"/>
      <c r="D20" s="14"/>
      <c r="E20" s="14"/>
      <c r="F20" s="14"/>
      <c r="G20" s="14"/>
      <c r="H20" s="14">
        <v>2035.8159000000001</v>
      </c>
      <c r="I20" s="14">
        <v>2079.4526999999998</v>
      </c>
      <c r="J20" s="14">
        <v>2191.7952</v>
      </c>
      <c r="K20" s="14">
        <v>2252.5547999999999</v>
      </c>
      <c r="L20" s="14">
        <v>2267.5257000000001</v>
      </c>
      <c r="M20" s="14">
        <v>2424.9760999999999</v>
      </c>
      <c r="N20" s="14">
        <v>2721.7312000000002</v>
      </c>
    </row>
    <row r="21" spans="1:14">
      <c r="B21" t="s">
        <v>198</v>
      </c>
      <c r="C21" s="14">
        <v>22782.966</v>
      </c>
      <c r="D21" s="14">
        <v>22850.124599999999</v>
      </c>
      <c r="E21" s="14">
        <v>22984.830600000001</v>
      </c>
      <c r="F21" s="14">
        <v>23284.280500000001</v>
      </c>
      <c r="G21" s="14">
        <v>23465.315299999998</v>
      </c>
      <c r="H21" s="14">
        <v>360.7713</v>
      </c>
      <c r="I21" s="14">
        <v>375.72379999999998</v>
      </c>
      <c r="J21" s="14">
        <v>402.94990000000001</v>
      </c>
      <c r="K21" s="14">
        <v>459.16320000000002</v>
      </c>
      <c r="L21" s="14">
        <v>461.6823</v>
      </c>
      <c r="M21" s="14">
        <v>437.46140000000003</v>
      </c>
      <c r="N21" s="14">
        <v>474.15039999999999</v>
      </c>
    </row>
    <row r="22" spans="1:14">
      <c r="A22" t="s">
        <v>37</v>
      </c>
      <c r="B22" t="s">
        <v>195</v>
      </c>
      <c r="C22" s="14"/>
      <c r="D22" s="14"/>
      <c r="E22" s="14"/>
      <c r="F22" s="14"/>
      <c r="G22" s="14"/>
      <c r="H22" s="14">
        <v>9972.2193000000007</v>
      </c>
      <c r="I22" s="14">
        <v>9985.0010999999995</v>
      </c>
      <c r="J22" s="14">
        <v>10017.061100000001</v>
      </c>
      <c r="K22" s="14">
        <v>9987.8724000000002</v>
      </c>
      <c r="L22" s="14">
        <v>9912.2121000000006</v>
      </c>
      <c r="M22" s="14">
        <v>10423.231100000001</v>
      </c>
      <c r="N22" s="14">
        <v>10561.2541</v>
      </c>
    </row>
    <row r="23" spans="1:14">
      <c r="B23" t="s">
        <v>194</v>
      </c>
      <c r="C23" s="14"/>
      <c r="D23" s="14"/>
      <c r="E23" s="14"/>
      <c r="F23" s="14"/>
      <c r="G23" s="14"/>
      <c r="H23" s="14">
        <v>8335.2749000000003</v>
      </c>
      <c r="I23" s="14">
        <v>8468.3057000000008</v>
      </c>
      <c r="J23" s="14">
        <v>8572.2160999999996</v>
      </c>
      <c r="K23" s="14">
        <v>8720.0355999999992</v>
      </c>
      <c r="L23" s="14">
        <v>8719.8839000000007</v>
      </c>
      <c r="M23" s="14">
        <v>9173.7242999999999</v>
      </c>
      <c r="N23" s="14">
        <v>9600.4105999999992</v>
      </c>
    </row>
    <row r="24" spans="1:14">
      <c r="B24" t="s">
        <v>193</v>
      </c>
      <c r="C24" s="14"/>
      <c r="D24" s="14"/>
      <c r="E24" s="14"/>
      <c r="F24" s="14"/>
      <c r="G24" s="14"/>
      <c r="H24" s="14">
        <v>8686.7422000000006</v>
      </c>
      <c r="I24" s="14">
        <v>8849.8356999999996</v>
      </c>
      <c r="J24" s="14">
        <v>8987.1152000000002</v>
      </c>
      <c r="K24" s="14">
        <v>9061.5298999999995</v>
      </c>
      <c r="L24" s="14">
        <v>9086.6897000000008</v>
      </c>
      <c r="M24" s="14">
        <v>8543.2893000000004</v>
      </c>
      <c r="N24" s="14">
        <v>8973.9056999999993</v>
      </c>
    </row>
    <row r="25" spans="1:14">
      <c r="B25" t="s">
        <v>192</v>
      </c>
      <c r="C25" s="14"/>
      <c r="D25" s="14"/>
      <c r="E25" s="14"/>
      <c r="F25" s="14"/>
      <c r="G25" s="14"/>
      <c r="H25" s="14">
        <v>7574.4156000000003</v>
      </c>
      <c r="I25" s="14">
        <v>7686.9875000000002</v>
      </c>
      <c r="J25" s="14">
        <v>7882.3249999999998</v>
      </c>
      <c r="K25" s="14">
        <v>8020.7282999999998</v>
      </c>
      <c r="L25" s="14">
        <v>7989.0104000000001</v>
      </c>
      <c r="M25" s="14">
        <v>8417.3940999999995</v>
      </c>
      <c r="N25" s="14">
        <v>8672.3606</v>
      </c>
    </row>
    <row r="26" spans="1:14">
      <c r="B26" t="s">
        <v>191</v>
      </c>
      <c r="C26" s="14"/>
      <c r="D26" s="14"/>
      <c r="E26" s="14"/>
      <c r="F26" s="14"/>
      <c r="G26" s="14"/>
      <c r="H26" s="14">
        <v>7500.3895000000002</v>
      </c>
      <c r="I26" s="14">
        <v>7674.1746000000003</v>
      </c>
      <c r="J26" s="14">
        <v>7766.2286999999997</v>
      </c>
      <c r="K26" s="14">
        <v>7840.0718999999999</v>
      </c>
      <c r="L26" s="14">
        <v>7831.1005999999998</v>
      </c>
      <c r="M26" s="14">
        <v>8761.9338000000007</v>
      </c>
      <c r="N26" s="14">
        <v>8931.9261000000006</v>
      </c>
    </row>
    <row r="27" spans="1:14">
      <c r="B27" t="s">
        <v>196</v>
      </c>
      <c r="C27" s="14"/>
      <c r="D27" s="14"/>
      <c r="E27" s="14"/>
      <c r="F27" s="14"/>
      <c r="G27" s="14"/>
      <c r="H27" s="14">
        <v>6983.0978999999998</v>
      </c>
      <c r="I27" s="14">
        <v>7078.9853999999996</v>
      </c>
      <c r="J27" s="14">
        <v>7364.7996000000003</v>
      </c>
      <c r="K27" s="14">
        <v>7363.9205000000002</v>
      </c>
      <c r="L27" s="14">
        <v>7483.4979000000003</v>
      </c>
      <c r="M27" s="14">
        <v>7516.4948000000004</v>
      </c>
      <c r="N27" s="14">
        <v>7588.3332</v>
      </c>
    </row>
    <row r="28" spans="1:14">
      <c r="B28" t="s">
        <v>197</v>
      </c>
      <c r="C28" s="14"/>
      <c r="D28" s="14"/>
      <c r="E28" s="14"/>
      <c r="F28" s="14"/>
      <c r="G28" s="14"/>
      <c r="H28" s="14">
        <v>4731.6810999999998</v>
      </c>
      <c r="I28" s="14">
        <v>4830.9472999999998</v>
      </c>
      <c r="J28" s="14">
        <v>4970.5199000000002</v>
      </c>
      <c r="K28" s="14">
        <v>4979.5391</v>
      </c>
      <c r="L28" s="14">
        <v>5023.8539000000001</v>
      </c>
      <c r="M28" s="14">
        <v>5250.9431000000004</v>
      </c>
      <c r="N28" s="14">
        <v>5617.0604999999996</v>
      </c>
    </row>
    <row r="29" spans="1:14">
      <c r="B29" t="s">
        <v>198</v>
      </c>
      <c r="C29" s="14">
        <v>51444.103199999998</v>
      </c>
      <c r="D29" s="14">
        <v>51884.8652</v>
      </c>
      <c r="E29" s="14">
        <v>52399.664400000001</v>
      </c>
      <c r="F29" s="14">
        <v>53139.314599999998</v>
      </c>
      <c r="G29" s="14">
        <v>53611.531000000003</v>
      </c>
      <c r="H29" s="14">
        <v>833.33889999999997</v>
      </c>
      <c r="I29" s="14">
        <v>814.99350000000004</v>
      </c>
      <c r="J29" s="14">
        <v>693.58860000000004</v>
      </c>
      <c r="K29" s="14">
        <v>765.24980000000005</v>
      </c>
      <c r="L29" s="14">
        <v>761.60230000000001</v>
      </c>
      <c r="M29" s="14">
        <v>769.48230000000001</v>
      </c>
      <c r="N29" s="14">
        <v>829.07410000000004</v>
      </c>
    </row>
  </sheetData>
  <mergeCells count="1">
    <mergeCell ref="A1:Z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F443D-95AB-4F7C-90B3-E26A21CD0B82}">
  <dimension ref="A1:Z17"/>
  <sheetViews>
    <sheetView showGridLines="0" workbookViewId="0">
      <pane ySplit="5" topLeftCell="A6" activePane="bottomLeft" state="frozen"/>
      <selection activeCell="A2" sqref="A2"/>
      <selection pane="bottomLeft" sqref="A1:Z1"/>
    </sheetView>
  </sheetViews>
  <sheetFormatPr defaultRowHeight="14.5"/>
  <cols>
    <col min="1" max="1" width="12.453125" bestFit="1" customWidth="1"/>
    <col min="2" max="2" width="11.1796875" bestFit="1" customWidth="1"/>
    <col min="3" max="21" width="6.54296875" bestFit="1" customWidth="1"/>
  </cols>
  <sheetData>
    <row r="1" spans="1:26" ht="23.5">
      <c r="A1" s="100" t="s">
        <v>251</v>
      </c>
      <c r="B1" s="100"/>
      <c r="C1" s="100"/>
      <c r="D1" s="100"/>
      <c r="E1" s="100"/>
      <c r="F1" s="100"/>
      <c r="G1" s="100"/>
      <c r="H1" s="100"/>
      <c r="I1" s="100"/>
      <c r="J1" s="100"/>
      <c r="K1" s="100"/>
      <c r="L1" s="100"/>
      <c r="M1" s="100"/>
      <c r="N1" s="100"/>
      <c r="O1" s="100"/>
      <c r="P1" s="100"/>
      <c r="Q1" s="100"/>
      <c r="R1" s="100"/>
      <c r="S1" s="100"/>
      <c r="T1" s="100"/>
      <c r="U1" s="100"/>
      <c r="V1" s="100"/>
      <c r="W1" s="100"/>
      <c r="X1" s="100"/>
      <c r="Y1" s="100"/>
      <c r="Z1" s="100"/>
    </row>
    <row r="4" spans="1:26">
      <c r="A4" s="10" t="s">
        <v>232</v>
      </c>
    </row>
    <row r="5" spans="1:26">
      <c r="C5">
        <v>2014</v>
      </c>
      <c r="D5">
        <v>2015</v>
      </c>
      <c r="E5">
        <v>2016</v>
      </c>
      <c r="F5">
        <v>2017</v>
      </c>
      <c r="G5">
        <v>2018</v>
      </c>
      <c r="H5">
        <v>2019</v>
      </c>
      <c r="I5">
        <v>2020</v>
      </c>
      <c r="J5">
        <v>2021</v>
      </c>
      <c r="K5">
        <v>2022</v>
      </c>
      <c r="L5">
        <v>2023</v>
      </c>
      <c r="M5">
        <v>2024</v>
      </c>
      <c r="N5">
        <v>2025</v>
      </c>
    </row>
    <row r="6" spans="1:26">
      <c r="A6" t="s">
        <v>207</v>
      </c>
      <c r="B6" t="s">
        <v>247</v>
      </c>
      <c r="C6" s="14"/>
      <c r="D6" s="14"/>
      <c r="E6" s="14"/>
      <c r="F6" s="14"/>
      <c r="G6" s="14"/>
      <c r="H6" s="14">
        <v>11870.3619</v>
      </c>
      <c r="I6" s="14">
        <v>11957.489299999999</v>
      </c>
      <c r="J6" s="14">
        <v>12066.3161</v>
      </c>
      <c r="K6" s="14">
        <v>12123.5939</v>
      </c>
      <c r="L6" s="14">
        <v>12016.213299999999</v>
      </c>
      <c r="M6" s="14">
        <v>12559.982400000001</v>
      </c>
      <c r="N6" s="14">
        <v>12874.769899999999</v>
      </c>
    </row>
    <row r="7" spans="1:26">
      <c r="B7" t="s">
        <v>248</v>
      </c>
      <c r="C7" s="14"/>
      <c r="D7" s="14"/>
      <c r="E7" s="14"/>
      <c r="F7" s="14"/>
      <c r="G7" s="14"/>
      <c r="H7" s="14">
        <v>11745.033299999999</v>
      </c>
      <c r="I7" s="14">
        <v>11996.4077</v>
      </c>
      <c r="J7" s="14">
        <v>12162.0301</v>
      </c>
      <c r="K7" s="14">
        <v>12285.0946</v>
      </c>
      <c r="L7" s="14">
        <v>12228.1201</v>
      </c>
      <c r="M7" s="14">
        <v>12675.856299999999</v>
      </c>
      <c r="N7" s="14">
        <v>13306.352199999999</v>
      </c>
    </row>
    <row r="8" spans="1:26">
      <c r="B8" t="s">
        <v>249</v>
      </c>
      <c r="C8" s="14"/>
      <c r="D8" s="14"/>
      <c r="E8" s="14"/>
      <c r="F8" s="14"/>
      <c r="G8" s="14"/>
      <c r="H8" s="14">
        <v>6756.2857000000004</v>
      </c>
      <c r="I8" s="14">
        <v>6879.7725</v>
      </c>
      <c r="J8" s="14">
        <v>7116.7889999999998</v>
      </c>
      <c r="K8" s="14">
        <v>7049.9314999999997</v>
      </c>
      <c r="L8" s="14">
        <v>7119.2974000000004</v>
      </c>
      <c r="M8" s="14">
        <v>7121.2038000000002</v>
      </c>
      <c r="N8" s="14">
        <v>7231.1737000000003</v>
      </c>
    </row>
    <row r="9" spans="1:26">
      <c r="B9" t="s">
        <v>198</v>
      </c>
      <c r="C9" s="14">
        <v>28661.137200000001</v>
      </c>
      <c r="D9" s="14">
        <v>29034.740600000001</v>
      </c>
      <c r="E9" s="14">
        <v>29414.8338</v>
      </c>
      <c r="F9" s="14">
        <v>29855.034100000001</v>
      </c>
      <c r="G9" s="14">
        <v>30146.215700000001</v>
      </c>
      <c r="H9" s="14">
        <v>472.56760000000003</v>
      </c>
      <c r="I9" s="14">
        <v>439.2697</v>
      </c>
      <c r="J9" s="14">
        <v>290.63869999999997</v>
      </c>
      <c r="K9" s="14">
        <v>306.08659999999998</v>
      </c>
      <c r="L9" s="14">
        <v>299.92</v>
      </c>
      <c r="M9" s="14">
        <v>332.02089999999998</v>
      </c>
      <c r="N9" s="14">
        <v>354.9237</v>
      </c>
    </row>
    <row r="10" spans="1:26">
      <c r="A10" t="s">
        <v>208</v>
      </c>
      <c r="B10" t="s">
        <v>247</v>
      </c>
      <c r="C10" s="14"/>
      <c r="D10" s="14"/>
      <c r="E10" s="14"/>
      <c r="F10" s="14"/>
      <c r="G10" s="14"/>
      <c r="H10" s="14">
        <v>6437.1323000000002</v>
      </c>
      <c r="I10" s="14">
        <v>6495.8175000000001</v>
      </c>
      <c r="J10" s="14">
        <v>6522.9611000000004</v>
      </c>
      <c r="K10" s="14">
        <v>6584.3140999999996</v>
      </c>
      <c r="L10" s="14">
        <v>6615.8827000000001</v>
      </c>
      <c r="M10" s="14">
        <v>7036.973</v>
      </c>
      <c r="N10" s="14">
        <v>7286.8948</v>
      </c>
    </row>
    <row r="11" spans="1:26">
      <c r="B11" t="s">
        <v>248</v>
      </c>
      <c r="C11" s="14"/>
      <c r="D11" s="14"/>
      <c r="E11" s="14"/>
      <c r="F11" s="14"/>
      <c r="G11" s="14"/>
      <c r="H11" s="14">
        <v>12016.513999999999</v>
      </c>
      <c r="I11" s="14">
        <v>12214.590099999999</v>
      </c>
      <c r="J11" s="14">
        <v>12473.638800000001</v>
      </c>
      <c r="K11" s="14">
        <v>12637.235500000001</v>
      </c>
      <c r="L11" s="14">
        <v>12678.6806</v>
      </c>
      <c r="M11" s="14">
        <v>13046.760899999999</v>
      </c>
      <c r="N11" s="14">
        <v>13271.840200000001</v>
      </c>
    </row>
    <row r="12" spans="1:26">
      <c r="B12" t="s">
        <v>249</v>
      </c>
      <c r="C12" s="14"/>
      <c r="D12" s="14"/>
      <c r="E12" s="14"/>
      <c r="F12" s="14"/>
      <c r="G12" s="14"/>
      <c r="H12" s="14">
        <v>4958.4933000000001</v>
      </c>
      <c r="I12" s="14">
        <v>5030.1602000000003</v>
      </c>
      <c r="J12" s="14">
        <v>5218.5304999999998</v>
      </c>
      <c r="K12" s="14">
        <v>5293.5281000000004</v>
      </c>
      <c r="L12" s="14">
        <v>5388.0544</v>
      </c>
      <c r="M12" s="14">
        <v>5646.2340999999997</v>
      </c>
      <c r="N12" s="14">
        <v>5974.22</v>
      </c>
    </row>
    <row r="13" spans="1:26">
      <c r="B13" t="s">
        <v>198</v>
      </c>
      <c r="C13" s="14">
        <v>22782.966</v>
      </c>
      <c r="D13" s="14">
        <v>22850.124599999999</v>
      </c>
      <c r="E13" s="14">
        <v>22984.830600000001</v>
      </c>
      <c r="F13" s="14">
        <v>23284.280500000001</v>
      </c>
      <c r="G13" s="14">
        <v>23465.315299999998</v>
      </c>
      <c r="H13" s="14">
        <v>360.7713</v>
      </c>
      <c r="I13" s="14">
        <v>375.72379999999998</v>
      </c>
      <c r="J13" s="14">
        <v>402.94990000000001</v>
      </c>
      <c r="K13" s="14">
        <v>459.16320000000002</v>
      </c>
      <c r="L13" s="14">
        <v>461.6823</v>
      </c>
      <c r="M13" s="14">
        <v>437.46140000000003</v>
      </c>
      <c r="N13" s="14">
        <v>474.15039999999999</v>
      </c>
    </row>
    <row r="14" spans="1:26">
      <c r="A14" t="s">
        <v>37</v>
      </c>
      <c r="B14" t="s">
        <v>247</v>
      </c>
      <c r="C14" s="14"/>
      <c r="D14" s="14"/>
      <c r="E14" s="14"/>
      <c r="F14" s="14"/>
      <c r="G14" s="14"/>
      <c r="H14" s="14">
        <v>18307.494200000001</v>
      </c>
      <c r="I14" s="14">
        <v>18453.306799999998</v>
      </c>
      <c r="J14" s="14">
        <v>18589.2772</v>
      </c>
      <c r="K14" s="14">
        <v>18707.907999999999</v>
      </c>
      <c r="L14" s="14">
        <v>18632.096000000001</v>
      </c>
      <c r="M14" s="14">
        <v>19596.955399999999</v>
      </c>
      <c r="N14" s="14">
        <v>20161.664700000001</v>
      </c>
    </row>
    <row r="15" spans="1:26">
      <c r="B15" t="s">
        <v>248</v>
      </c>
      <c r="C15" s="14"/>
      <c r="D15" s="14"/>
      <c r="E15" s="14"/>
      <c r="F15" s="14"/>
      <c r="G15" s="14"/>
      <c r="H15" s="14">
        <v>23761.547299999998</v>
      </c>
      <c r="I15" s="14">
        <v>24210.997800000001</v>
      </c>
      <c r="J15" s="14">
        <v>24635.668900000001</v>
      </c>
      <c r="K15" s="14">
        <v>24922.330099999999</v>
      </c>
      <c r="L15" s="14">
        <v>24906.8007</v>
      </c>
      <c r="M15" s="14">
        <v>25722.617200000001</v>
      </c>
      <c r="N15" s="14">
        <v>26578.1924</v>
      </c>
    </row>
    <row r="16" spans="1:26">
      <c r="B16" t="s">
        <v>249</v>
      </c>
      <c r="C16" s="14"/>
      <c r="D16" s="14"/>
      <c r="E16" s="14"/>
      <c r="F16" s="14"/>
      <c r="G16" s="14"/>
      <c r="H16" s="14">
        <v>11714.779</v>
      </c>
      <c r="I16" s="14">
        <v>11909.932699999999</v>
      </c>
      <c r="J16" s="14">
        <v>12335.3195</v>
      </c>
      <c r="K16" s="14">
        <v>12343.4596</v>
      </c>
      <c r="L16" s="14">
        <v>12507.3518</v>
      </c>
      <c r="M16" s="14">
        <v>12767.437900000001</v>
      </c>
      <c r="N16" s="14">
        <v>13205.393700000001</v>
      </c>
    </row>
    <row r="17" spans="2:14">
      <c r="B17" t="s">
        <v>198</v>
      </c>
      <c r="C17" s="14">
        <v>51444.103199999998</v>
      </c>
      <c r="D17" s="14">
        <v>51884.8652</v>
      </c>
      <c r="E17" s="14">
        <v>52399.664400000001</v>
      </c>
      <c r="F17" s="14">
        <v>53139.314599999998</v>
      </c>
      <c r="G17" s="14">
        <v>53611.531000000003</v>
      </c>
      <c r="H17" s="14">
        <v>833.33889999999997</v>
      </c>
      <c r="I17" s="14">
        <v>814.99350000000004</v>
      </c>
      <c r="J17" s="14">
        <v>693.58860000000004</v>
      </c>
      <c r="K17" s="14">
        <v>765.24980000000005</v>
      </c>
      <c r="L17" s="14">
        <v>761.60230000000001</v>
      </c>
      <c r="M17" s="14">
        <v>769.48230000000001</v>
      </c>
      <c r="N17" s="14">
        <v>829.07410000000004</v>
      </c>
    </row>
  </sheetData>
  <mergeCells count="1">
    <mergeCell ref="A1:Z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6F402-A1B6-49A8-AD1E-F774139A9E54}">
  <dimension ref="A1:S38"/>
  <sheetViews>
    <sheetView showGridLines="0" workbookViewId="0">
      <pane ySplit="5" topLeftCell="A6" activePane="bottomLeft" state="frozen"/>
      <selection pane="bottomLeft" sqref="A1:Q1"/>
    </sheetView>
  </sheetViews>
  <sheetFormatPr defaultRowHeight="14.5"/>
  <cols>
    <col min="1" max="1" width="12.453125" bestFit="1" customWidth="1"/>
    <col min="2" max="2" width="23.81640625" bestFit="1" customWidth="1"/>
    <col min="3" max="11" width="5.54296875" bestFit="1" customWidth="1"/>
    <col min="12" max="21" width="6.54296875" bestFit="1" customWidth="1"/>
  </cols>
  <sheetData>
    <row r="1" spans="1:19" ht="23.5">
      <c r="A1" s="100" t="s">
        <v>215</v>
      </c>
      <c r="B1" s="100"/>
      <c r="C1" s="100"/>
      <c r="D1" s="100"/>
      <c r="E1" s="100"/>
      <c r="F1" s="100"/>
      <c r="G1" s="100"/>
      <c r="H1" s="100"/>
      <c r="I1" s="100"/>
      <c r="J1" s="100"/>
      <c r="K1" s="100"/>
      <c r="L1" s="100"/>
      <c r="M1" s="100"/>
      <c r="N1" s="100"/>
      <c r="O1" s="100"/>
      <c r="P1" s="100"/>
      <c r="Q1" s="100"/>
      <c r="R1" s="17"/>
      <c r="S1" s="17"/>
    </row>
    <row r="4" spans="1:19">
      <c r="A4" s="10" t="s">
        <v>232</v>
      </c>
    </row>
    <row r="5" spans="1:19">
      <c r="C5">
        <v>2014</v>
      </c>
      <c r="D5">
        <v>2015</v>
      </c>
      <c r="E5">
        <v>2016</v>
      </c>
      <c r="F5">
        <v>2017</v>
      </c>
      <c r="G5">
        <v>2018</v>
      </c>
      <c r="H5">
        <v>2019</v>
      </c>
      <c r="I5">
        <v>2020</v>
      </c>
      <c r="J5">
        <v>2021</v>
      </c>
      <c r="K5">
        <v>2022</v>
      </c>
      <c r="L5">
        <v>2023</v>
      </c>
      <c r="M5">
        <v>2024</v>
      </c>
      <c r="N5">
        <v>2025</v>
      </c>
    </row>
    <row r="6" spans="1:19">
      <c r="A6" t="s">
        <v>207</v>
      </c>
      <c r="B6" t="s">
        <v>44</v>
      </c>
      <c r="C6" s="14">
        <v>2624.6939000000002</v>
      </c>
      <c r="D6" s="14">
        <v>2923.3155000000002</v>
      </c>
      <c r="E6" s="14">
        <v>2930.2482</v>
      </c>
      <c r="F6" s="14">
        <v>2899.5047</v>
      </c>
      <c r="G6" s="14">
        <v>2972.8310000000001</v>
      </c>
      <c r="H6" s="14">
        <v>3073.8362000000002</v>
      </c>
      <c r="I6" s="14">
        <v>3096.9059000000002</v>
      </c>
      <c r="J6" s="14">
        <v>3162.2127999999998</v>
      </c>
      <c r="K6" s="14">
        <v>3174.6289999999999</v>
      </c>
      <c r="L6" s="14"/>
      <c r="M6" s="14"/>
      <c r="N6" s="14"/>
    </row>
    <row r="7" spans="1:19">
      <c r="B7" t="s">
        <v>45</v>
      </c>
      <c r="C7" s="14">
        <v>2773.8699000000001</v>
      </c>
      <c r="D7" s="14">
        <v>2779.3537000000001</v>
      </c>
      <c r="E7" s="14">
        <v>2796.0122000000001</v>
      </c>
      <c r="F7" s="14">
        <v>2804.6644999999999</v>
      </c>
      <c r="G7" s="14">
        <v>2810.5884000000001</v>
      </c>
      <c r="H7" s="14">
        <v>2862.0713000000001</v>
      </c>
      <c r="I7" s="14">
        <v>2879.569</v>
      </c>
      <c r="J7" s="14">
        <v>2813.8011999999999</v>
      </c>
      <c r="K7" s="14">
        <v>2830.6976</v>
      </c>
      <c r="L7" s="14"/>
      <c r="M7" s="14"/>
      <c r="N7" s="14"/>
    </row>
    <row r="8" spans="1:19">
      <c r="B8" t="s">
        <v>46</v>
      </c>
      <c r="C8" s="14">
        <v>2745.0734000000002</v>
      </c>
      <c r="D8" s="14">
        <v>2690.4286999999999</v>
      </c>
      <c r="E8" s="14">
        <v>2707.5598</v>
      </c>
      <c r="F8" s="14">
        <v>2770.8991999999998</v>
      </c>
      <c r="G8" s="14">
        <v>2794.4922000000001</v>
      </c>
      <c r="H8" s="14">
        <v>2913.6662000000001</v>
      </c>
      <c r="I8" s="14">
        <v>2981.0237999999999</v>
      </c>
      <c r="J8" s="14">
        <v>3221.9180000000001</v>
      </c>
      <c r="K8" s="14">
        <v>3193.0702999999999</v>
      </c>
      <c r="L8" s="14"/>
      <c r="M8" s="14"/>
      <c r="N8" s="14"/>
    </row>
    <row r="9" spans="1:19">
      <c r="B9" t="s">
        <v>47</v>
      </c>
      <c r="C9" s="14">
        <v>2715.2692000000002</v>
      </c>
      <c r="D9" s="14">
        <v>2773.1487999999999</v>
      </c>
      <c r="E9" s="14">
        <v>2802.6612</v>
      </c>
      <c r="F9" s="14">
        <v>2809.1062000000002</v>
      </c>
      <c r="G9" s="14">
        <v>2811.2824000000001</v>
      </c>
      <c r="H9" s="14">
        <v>2855.8775000000001</v>
      </c>
      <c r="I9" s="14">
        <v>2970.4283999999998</v>
      </c>
      <c r="J9" s="14">
        <v>2913.6327999999999</v>
      </c>
      <c r="K9" s="14">
        <v>2929.0488999999998</v>
      </c>
      <c r="L9" s="14"/>
      <c r="M9" s="14"/>
      <c r="N9" s="14"/>
    </row>
    <row r="10" spans="1:19">
      <c r="B10" t="s">
        <v>48</v>
      </c>
      <c r="C10" s="14">
        <v>2806.8368</v>
      </c>
      <c r="D10" s="14">
        <v>2941.2208999999998</v>
      </c>
      <c r="E10" s="14">
        <v>2976.3332</v>
      </c>
      <c r="F10" s="14">
        <v>3068.8793999999998</v>
      </c>
      <c r="G10" s="14">
        <v>3090.7012</v>
      </c>
      <c r="H10" s="14">
        <v>3166.7246</v>
      </c>
      <c r="I10" s="14">
        <v>3229.3560000000002</v>
      </c>
      <c r="J10" s="14">
        <v>3288.2109</v>
      </c>
      <c r="K10" s="14">
        <v>3273.2327</v>
      </c>
      <c r="L10" s="14"/>
      <c r="M10" s="14"/>
      <c r="N10" s="14"/>
    </row>
    <row r="11" spans="1:19">
      <c r="B11" t="s">
        <v>49</v>
      </c>
      <c r="C11" s="14">
        <v>2566.1279</v>
      </c>
      <c r="D11" s="14">
        <v>2174.4511000000002</v>
      </c>
      <c r="E11" s="14">
        <v>2203.5581999999999</v>
      </c>
      <c r="F11" s="14">
        <v>2251.8281999999999</v>
      </c>
      <c r="G11" s="14">
        <v>2292.6401999999998</v>
      </c>
      <c r="H11" s="14">
        <v>2306.2809999999999</v>
      </c>
      <c r="I11" s="14">
        <v>2321.8258000000001</v>
      </c>
      <c r="J11" s="14">
        <v>2384.6419000000001</v>
      </c>
      <c r="K11" s="14">
        <v>2434.4499000000001</v>
      </c>
      <c r="L11" s="14"/>
      <c r="M11" s="14"/>
      <c r="N11" s="14"/>
    </row>
    <row r="12" spans="1:19">
      <c r="B12" t="s">
        <v>50</v>
      </c>
      <c r="C12" s="14">
        <v>2348.3117000000002</v>
      </c>
      <c r="D12" s="14">
        <v>2728.5590000000002</v>
      </c>
      <c r="E12" s="14">
        <v>2795.1469999999999</v>
      </c>
      <c r="F12" s="14">
        <v>2822.9086000000002</v>
      </c>
      <c r="G12" s="14">
        <v>2872.2766000000001</v>
      </c>
      <c r="H12" s="14">
        <v>2919.6905999999999</v>
      </c>
      <c r="I12" s="14">
        <v>3038.4391000000001</v>
      </c>
      <c r="J12" s="14">
        <v>3077.1669999999999</v>
      </c>
      <c r="K12" s="14">
        <v>3118.8822</v>
      </c>
      <c r="L12" s="14"/>
      <c r="M12" s="14"/>
      <c r="N12" s="14"/>
    </row>
    <row r="13" spans="1:19">
      <c r="B13" t="s">
        <v>51</v>
      </c>
      <c r="C13" s="14">
        <v>2881.3198000000002</v>
      </c>
      <c r="D13" s="14">
        <v>3051.1577000000002</v>
      </c>
      <c r="E13" s="14">
        <v>3070.0729999999999</v>
      </c>
      <c r="F13" s="14">
        <v>3122.3013999999998</v>
      </c>
      <c r="G13" s="14">
        <v>3114.8357000000001</v>
      </c>
      <c r="H13" s="14">
        <v>3229.8444</v>
      </c>
      <c r="I13" s="14">
        <v>3225.9122000000002</v>
      </c>
      <c r="J13" s="14">
        <v>3221.3161</v>
      </c>
      <c r="K13" s="14">
        <v>3198.9919</v>
      </c>
      <c r="L13" s="14"/>
      <c r="M13" s="14"/>
      <c r="N13" s="14"/>
    </row>
    <row r="14" spans="1:19">
      <c r="B14" t="s">
        <v>52</v>
      </c>
      <c r="C14" s="14">
        <v>3242.4695999999999</v>
      </c>
      <c r="D14" s="14">
        <v>3091.0499</v>
      </c>
      <c r="E14" s="14">
        <v>3133.8667999999998</v>
      </c>
      <c r="F14" s="14">
        <v>3209.1860000000001</v>
      </c>
      <c r="G14" s="14">
        <v>3227.7231000000002</v>
      </c>
      <c r="H14" s="14">
        <v>3274.6534000000001</v>
      </c>
      <c r="I14" s="14">
        <v>3259.8910000000001</v>
      </c>
      <c r="J14" s="14">
        <v>3254.4508000000001</v>
      </c>
      <c r="K14" s="14">
        <v>3304.1053000000002</v>
      </c>
      <c r="L14" s="14"/>
      <c r="M14" s="14"/>
      <c r="N14" s="14"/>
    </row>
    <row r="15" spans="1:19">
      <c r="B15" t="s">
        <v>53</v>
      </c>
      <c r="C15" s="14">
        <v>3939.2844</v>
      </c>
      <c r="D15" s="14">
        <v>3882.0553</v>
      </c>
      <c r="E15" s="14">
        <v>3999.3742000000002</v>
      </c>
      <c r="F15" s="14">
        <v>4095.7559000000001</v>
      </c>
      <c r="G15" s="14">
        <v>4158.8449000000001</v>
      </c>
      <c r="H15" s="14">
        <v>4241.6032999999998</v>
      </c>
      <c r="I15" s="14">
        <v>4234.4399999999996</v>
      </c>
      <c r="J15" s="14">
        <v>4283.2088000000003</v>
      </c>
      <c r="K15" s="14">
        <v>4301.2361000000001</v>
      </c>
      <c r="L15" s="14"/>
      <c r="M15" s="14"/>
      <c r="N15" s="14"/>
    </row>
    <row r="16" spans="1:19">
      <c r="B16" t="s">
        <v>42</v>
      </c>
      <c r="C16" s="14">
        <v>17.880600000000001</v>
      </c>
      <c r="D16" s="14"/>
      <c r="E16" s="14"/>
      <c r="F16" s="14"/>
      <c r="G16" s="14"/>
      <c r="H16" s="14"/>
      <c r="I16" s="14">
        <v>35.148000000000003</v>
      </c>
      <c r="J16" s="14">
        <v>15.2136</v>
      </c>
      <c r="K16" s="14">
        <v>6.3627000000000002</v>
      </c>
      <c r="L16" s="14">
        <v>31663.550800000001</v>
      </c>
      <c r="M16" s="14">
        <v>32689.063399999999</v>
      </c>
      <c r="N16" s="14">
        <v>33767.219499999999</v>
      </c>
    </row>
    <row r="17" spans="1:14">
      <c r="A17" t="s">
        <v>208</v>
      </c>
      <c r="B17" t="s">
        <v>44</v>
      </c>
      <c r="C17" s="14">
        <v>1446.5685000000001</v>
      </c>
      <c r="D17" s="14">
        <v>1679.9075</v>
      </c>
      <c r="E17" s="14">
        <v>1716.1279999999999</v>
      </c>
      <c r="F17" s="14">
        <v>1779.8857</v>
      </c>
      <c r="G17" s="14">
        <v>1783.9734000000001</v>
      </c>
      <c r="H17" s="14">
        <v>1759.7225000000001</v>
      </c>
      <c r="I17" s="14">
        <v>1784.1885</v>
      </c>
      <c r="J17" s="14">
        <v>1853.7240999999999</v>
      </c>
      <c r="K17" s="14">
        <v>1891.8226999999999</v>
      </c>
      <c r="L17" s="14"/>
      <c r="M17" s="14"/>
      <c r="N17" s="14"/>
    </row>
    <row r="18" spans="1:14">
      <c r="B18" t="s">
        <v>45</v>
      </c>
      <c r="C18" s="14">
        <v>1830.0842</v>
      </c>
      <c r="D18" s="14">
        <v>1601.4527</v>
      </c>
      <c r="E18" s="14">
        <v>1568.3594000000001</v>
      </c>
      <c r="F18" s="14">
        <v>1545.8049000000001</v>
      </c>
      <c r="G18" s="14">
        <v>1521.5268000000001</v>
      </c>
      <c r="H18" s="14">
        <v>1537.4803999999999</v>
      </c>
      <c r="I18" s="14">
        <v>1587.9493</v>
      </c>
      <c r="J18" s="14">
        <v>1652.6556</v>
      </c>
      <c r="K18" s="14">
        <v>1675.701</v>
      </c>
      <c r="L18" s="14"/>
      <c r="M18" s="14"/>
      <c r="N18" s="14"/>
    </row>
    <row r="19" spans="1:14">
      <c r="B19" t="s">
        <v>46</v>
      </c>
      <c r="C19" s="14">
        <v>1676.0761</v>
      </c>
      <c r="D19" s="14">
        <v>2010.3712</v>
      </c>
      <c r="E19" s="14">
        <v>1981.8282999999999</v>
      </c>
      <c r="F19" s="14">
        <v>1946.9857</v>
      </c>
      <c r="G19" s="14">
        <v>1980.2492999999999</v>
      </c>
      <c r="H19" s="14">
        <v>2043.1482000000001</v>
      </c>
      <c r="I19" s="14">
        <v>2072.9110000000001</v>
      </c>
      <c r="J19" s="14">
        <v>2142.0536999999999</v>
      </c>
      <c r="K19" s="14">
        <v>2188.8263999999999</v>
      </c>
      <c r="L19" s="14"/>
      <c r="M19" s="14"/>
      <c r="N19" s="14"/>
    </row>
    <row r="20" spans="1:14">
      <c r="B20" t="s">
        <v>47</v>
      </c>
      <c r="C20" s="14">
        <v>2023.6098999999999</v>
      </c>
      <c r="D20" s="14">
        <v>2230.1424000000002</v>
      </c>
      <c r="E20" s="14">
        <v>2211.9639000000002</v>
      </c>
      <c r="F20" s="14">
        <v>2244.9544000000001</v>
      </c>
      <c r="G20" s="14">
        <v>2239.5936999999999</v>
      </c>
      <c r="H20" s="14">
        <v>2276.2523999999999</v>
      </c>
      <c r="I20" s="14">
        <v>2317.4728</v>
      </c>
      <c r="J20" s="14">
        <v>2360.8824</v>
      </c>
      <c r="K20" s="14">
        <v>2359.5021000000002</v>
      </c>
      <c r="L20" s="14"/>
      <c r="M20" s="14"/>
      <c r="N20" s="14"/>
    </row>
    <row r="21" spans="1:14">
      <c r="B21" t="s">
        <v>48</v>
      </c>
      <c r="C21" s="14">
        <v>2405.5929000000001</v>
      </c>
      <c r="D21" s="14">
        <v>1939.6080999999999</v>
      </c>
      <c r="E21" s="14">
        <v>1955.0083</v>
      </c>
      <c r="F21" s="14">
        <v>1950.9051999999999</v>
      </c>
      <c r="G21" s="14">
        <v>1954.6760999999999</v>
      </c>
      <c r="H21" s="14">
        <v>2027.2861</v>
      </c>
      <c r="I21" s="14">
        <v>2033.0808</v>
      </c>
      <c r="J21" s="14">
        <v>2083.9965000000002</v>
      </c>
      <c r="K21" s="14">
        <v>2111.3089</v>
      </c>
      <c r="L21" s="14"/>
      <c r="M21" s="14"/>
      <c r="N21" s="14"/>
    </row>
    <row r="22" spans="1:14">
      <c r="B22" t="s">
        <v>49</v>
      </c>
      <c r="C22" s="14">
        <v>2863.3681999999999</v>
      </c>
      <c r="D22" s="14">
        <v>3058.3753999999999</v>
      </c>
      <c r="E22" s="14">
        <v>3052.4892</v>
      </c>
      <c r="F22" s="14">
        <v>3069.1518000000001</v>
      </c>
      <c r="G22" s="14">
        <v>3076.2375000000002</v>
      </c>
      <c r="H22" s="14">
        <v>3038.0729000000001</v>
      </c>
      <c r="I22" s="14">
        <v>3112.4386</v>
      </c>
      <c r="J22" s="14">
        <v>3183.8123000000001</v>
      </c>
      <c r="K22" s="14">
        <v>3223.0909000000001</v>
      </c>
      <c r="L22" s="14"/>
      <c r="M22" s="14"/>
      <c r="N22" s="14"/>
    </row>
    <row r="23" spans="1:14">
      <c r="B23" t="s">
        <v>50</v>
      </c>
      <c r="C23" s="14">
        <v>2341.0990999999999</v>
      </c>
      <c r="D23" s="14">
        <v>2808.6752000000001</v>
      </c>
      <c r="E23" s="14">
        <v>2817.7222999999999</v>
      </c>
      <c r="F23" s="14">
        <v>2855.7222999999999</v>
      </c>
      <c r="G23" s="14">
        <v>2908.0138000000002</v>
      </c>
      <c r="H23" s="14">
        <v>3040.9407999999999</v>
      </c>
      <c r="I23" s="14">
        <v>3060.8213000000001</v>
      </c>
      <c r="J23" s="14">
        <v>3114.4135000000001</v>
      </c>
      <c r="K23" s="14">
        <v>3163.0315999999998</v>
      </c>
      <c r="L23" s="14"/>
      <c r="M23" s="14"/>
      <c r="N23" s="14"/>
    </row>
    <row r="24" spans="1:14">
      <c r="B24" t="s">
        <v>51</v>
      </c>
      <c r="C24" s="14">
        <v>3080.3746000000001</v>
      </c>
      <c r="D24" s="14">
        <v>2802.3924000000002</v>
      </c>
      <c r="E24" s="14">
        <v>2832.3402000000001</v>
      </c>
      <c r="F24" s="14">
        <v>2874.4798999999998</v>
      </c>
      <c r="G24" s="14">
        <v>2900.1311999999998</v>
      </c>
      <c r="H24" s="14">
        <v>2851.2773000000002</v>
      </c>
      <c r="I24" s="14">
        <v>2846.0987</v>
      </c>
      <c r="J24" s="14">
        <v>2877.3362000000002</v>
      </c>
      <c r="K24" s="14">
        <v>2869.5441999999998</v>
      </c>
      <c r="L24" s="14"/>
      <c r="M24" s="14"/>
      <c r="N24" s="14"/>
    </row>
    <row r="25" spans="1:14">
      <c r="B25" t="s">
        <v>52</v>
      </c>
      <c r="C25" s="14">
        <v>2572.4992000000002</v>
      </c>
      <c r="D25" s="14">
        <v>2826.4382999999998</v>
      </c>
      <c r="E25" s="14">
        <v>2860.4791</v>
      </c>
      <c r="F25" s="14">
        <v>2918.3705</v>
      </c>
      <c r="G25" s="14">
        <v>2960.0493999999999</v>
      </c>
      <c r="H25" s="14">
        <v>2985.5868999999998</v>
      </c>
      <c r="I25" s="14">
        <v>3038.1939000000002</v>
      </c>
      <c r="J25" s="14">
        <v>3034.4796999999999</v>
      </c>
      <c r="K25" s="14">
        <v>3091.6970000000001</v>
      </c>
      <c r="L25" s="14"/>
      <c r="M25" s="14"/>
      <c r="N25" s="14"/>
    </row>
    <row r="26" spans="1:14">
      <c r="B26" t="s">
        <v>53</v>
      </c>
      <c r="C26" s="14">
        <v>2248.9652000000001</v>
      </c>
      <c r="D26" s="14">
        <v>1603.3563999999999</v>
      </c>
      <c r="E26" s="14">
        <v>1709.7754</v>
      </c>
      <c r="F26" s="14">
        <v>1812.2447999999999</v>
      </c>
      <c r="G26" s="14">
        <v>1855.6049</v>
      </c>
      <c r="H26" s="14">
        <v>1923.0451</v>
      </c>
      <c r="I26" s="14">
        <v>1951.5642</v>
      </c>
      <c r="J26" s="14">
        <v>1983.8789999999999</v>
      </c>
      <c r="K26" s="14">
        <v>2004.8476000000001</v>
      </c>
      <c r="L26" s="14"/>
      <c r="M26" s="14"/>
      <c r="N26" s="14"/>
    </row>
    <row r="27" spans="1:14">
      <c r="B27" t="s">
        <v>42</v>
      </c>
      <c r="C27" s="14">
        <v>294.72809999999998</v>
      </c>
      <c r="D27" s="14">
        <v>289.40499999999997</v>
      </c>
      <c r="E27" s="14">
        <v>278.73649999999998</v>
      </c>
      <c r="F27" s="14">
        <v>285.77530000000002</v>
      </c>
      <c r="G27" s="14">
        <v>285.25920000000002</v>
      </c>
      <c r="H27" s="14">
        <v>290.09829999999999</v>
      </c>
      <c r="I27" s="14">
        <v>311.57249999999999</v>
      </c>
      <c r="J27" s="14">
        <v>330.84730000000002</v>
      </c>
      <c r="K27" s="14">
        <v>394.86849999999998</v>
      </c>
      <c r="L27" s="14">
        <v>25144.3</v>
      </c>
      <c r="M27" s="14">
        <v>26167.429400000001</v>
      </c>
      <c r="N27" s="14">
        <v>27007.1054</v>
      </c>
    </row>
    <row r="28" spans="1:14">
      <c r="A28" t="s">
        <v>37</v>
      </c>
      <c r="B28" t="s">
        <v>44</v>
      </c>
      <c r="C28" s="14">
        <v>4071.2624000000001</v>
      </c>
      <c r="D28" s="14">
        <v>4603.223</v>
      </c>
      <c r="E28" s="14">
        <v>4646.3761999999997</v>
      </c>
      <c r="F28" s="14">
        <v>4679.3904000000002</v>
      </c>
      <c r="G28" s="14">
        <v>4756.8044</v>
      </c>
      <c r="H28" s="14">
        <v>4833.5586999999996</v>
      </c>
      <c r="I28" s="14">
        <v>4881.0944</v>
      </c>
      <c r="J28" s="14">
        <v>5015.9368999999997</v>
      </c>
      <c r="K28" s="14">
        <v>5066.4516999999996</v>
      </c>
      <c r="L28" s="14"/>
      <c r="M28" s="14"/>
      <c r="N28" s="14"/>
    </row>
    <row r="29" spans="1:14">
      <c r="B29" t="s">
        <v>45</v>
      </c>
      <c r="C29" s="14">
        <v>4603.9540999999999</v>
      </c>
      <c r="D29" s="14">
        <v>4380.8064000000004</v>
      </c>
      <c r="E29" s="14">
        <v>4364.3716000000004</v>
      </c>
      <c r="F29" s="14">
        <v>4350.4694</v>
      </c>
      <c r="G29" s="14">
        <v>4332.1152000000002</v>
      </c>
      <c r="H29" s="14">
        <v>4399.5517</v>
      </c>
      <c r="I29" s="14">
        <v>4467.5182999999997</v>
      </c>
      <c r="J29" s="14">
        <v>4466.4567999999999</v>
      </c>
      <c r="K29" s="14">
        <v>4506.3986000000004</v>
      </c>
      <c r="L29" s="14"/>
      <c r="M29" s="14"/>
      <c r="N29" s="14"/>
    </row>
    <row r="30" spans="1:14">
      <c r="B30" t="s">
        <v>46</v>
      </c>
      <c r="C30" s="14">
        <v>4421.1495000000004</v>
      </c>
      <c r="D30" s="14">
        <v>4700.7999</v>
      </c>
      <c r="E30" s="14">
        <v>4689.3881000000001</v>
      </c>
      <c r="F30" s="14">
        <v>4717.8849</v>
      </c>
      <c r="G30" s="14">
        <v>4774.7415000000001</v>
      </c>
      <c r="H30" s="14">
        <v>4956.8144000000002</v>
      </c>
      <c r="I30" s="14">
        <v>5053.9348</v>
      </c>
      <c r="J30" s="14">
        <v>5363.9717000000001</v>
      </c>
      <c r="K30" s="14">
        <v>5381.8967000000002</v>
      </c>
      <c r="L30" s="14"/>
      <c r="M30" s="14"/>
      <c r="N30" s="14"/>
    </row>
    <row r="31" spans="1:14">
      <c r="B31" t="s">
        <v>47</v>
      </c>
      <c r="C31" s="14">
        <v>4738.8791000000001</v>
      </c>
      <c r="D31" s="14">
        <v>5003.2911999999997</v>
      </c>
      <c r="E31" s="14">
        <v>5014.6251000000002</v>
      </c>
      <c r="F31" s="14">
        <v>5054.0605999999998</v>
      </c>
      <c r="G31" s="14">
        <v>5050.8761000000004</v>
      </c>
      <c r="H31" s="14">
        <v>5132.1298999999999</v>
      </c>
      <c r="I31" s="14">
        <v>5287.9012000000002</v>
      </c>
      <c r="J31" s="14">
        <v>5274.5151999999998</v>
      </c>
      <c r="K31" s="14">
        <v>5288.5510000000004</v>
      </c>
      <c r="L31" s="14"/>
      <c r="M31" s="14"/>
      <c r="N31" s="14"/>
    </row>
    <row r="32" spans="1:14">
      <c r="B32" t="s">
        <v>48</v>
      </c>
      <c r="C32" s="14">
        <v>5212.4296999999997</v>
      </c>
      <c r="D32" s="14">
        <v>4880.8289999999997</v>
      </c>
      <c r="E32" s="14">
        <v>4931.3415000000005</v>
      </c>
      <c r="F32" s="14">
        <v>5019.7846</v>
      </c>
      <c r="G32" s="14">
        <v>5045.3773000000001</v>
      </c>
      <c r="H32" s="14">
        <v>5194.0106999999998</v>
      </c>
      <c r="I32" s="14">
        <v>5262.4368000000004</v>
      </c>
      <c r="J32" s="14">
        <v>5372.2074000000002</v>
      </c>
      <c r="K32" s="14">
        <v>5384.5415999999996</v>
      </c>
      <c r="L32" s="14"/>
      <c r="M32" s="14"/>
      <c r="N32" s="14"/>
    </row>
    <row r="33" spans="2:14">
      <c r="B33" t="s">
        <v>49</v>
      </c>
      <c r="C33" s="14">
        <v>5429.4961000000003</v>
      </c>
      <c r="D33" s="14">
        <v>5232.8265000000001</v>
      </c>
      <c r="E33" s="14">
        <v>5256.0474000000004</v>
      </c>
      <c r="F33" s="14">
        <v>5320.98</v>
      </c>
      <c r="G33" s="14">
        <v>5368.8777</v>
      </c>
      <c r="H33" s="14">
        <v>5344.3539000000001</v>
      </c>
      <c r="I33" s="14">
        <v>5434.2644</v>
      </c>
      <c r="J33" s="14">
        <v>5568.4542000000001</v>
      </c>
      <c r="K33" s="14">
        <v>5657.5407999999998</v>
      </c>
      <c r="L33" s="14"/>
      <c r="M33" s="14"/>
      <c r="N33" s="14"/>
    </row>
    <row r="34" spans="2:14">
      <c r="B34" t="s">
        <v>50</v>
      </c>
      <c r="C34" s="14">
        <v>4689.4107999999997</v>
      </c>
      <c r="D34" s="14">
        <v>5537.2341999999999</v>
      </c>
      <c r="E34" s="14">
        <v>5612.8693000000003</v>
      </c>
      <c r="F34" s="14">
        <v>5678.6309000000001</v>
      </c>
      <c r="G34" s="14">
        <v>5780.2903999999999</v>
      </c>
      <c r="H34" s="14">
        <v>5960.6314000000002</v>
      </c>
      <c r="I34" s="14">
        <v>6099.2604000000001</v>
      </c>
      <c r="J34" s="14">
        <v>6191.5805</v>
      </c>
      <c r="K34" s="14">
        <v>6281.9138000000003</v>
      </c>
      <c r="L34" s="14"/>
      <c r="M34" s="14"/>
      <c r="N34" s="14"/>
    </row>
    <row r="35" spans="2:14">
      <c r="B35" t="s">
        <v>51</v>
      </c>
      <c r="C35" s="14">
        <v>5961.6944000000003</v>
      </c>
      <c r="D35" s="14">
        <v>5853.5501000000004</v>
      </c>
      <c r="E35" s="14">
        <v>5902.4132</v>
      </c>
      <c r="F35" s="14">
        <v>5996.7812999999996</v>
      </c>
      <c r="G35" s="14">
        <v>6014.9669000000004</v>
      </c>
      <c r="H35" s="14">
        <v>6081.1216999999997</v>
      </c>
      <c r="I35" s="14">
        <v>6072.0109000000002</v>
      </c>
      <c r="J35" s="14">
        <v>6098.6522999999997</v>
      </c>
      <c r="K35" s="14">
        <v>6068.5361000000003</v>
      </c>
      <c r="L35" s="14"/>
      <c r="M35" s="14"/>
      <c r="N35" s="14"/>
    </row>
    <row r="36" spans="2:14">
      <c r="B36" t="s">
        <v>52</v>
      </c>
      <c r="C36" s="14">
        <v>5814.9687999999996</v>
      </c>
      <c r="D36" s="14">
        <v>5917.4881999999998</v>
      </c>
      <c r="E36" s="14">
        <v>5994.3459000000003</v>
      </c>
      <c r="F36" s="14">
        <v>6127.5564999999997</v>
      </c>
      <c r="G36" s="14">
        <v>6187.7725</v>
      </c>
      <c r="H36" s="14">
        <v>6260.2403000000004</v>
      </c>
      <c r="I36" s="14">
        <v>6298.0848999999998</v>
      </c>
      <c r="J36" s="14">
        <v>6288.9305000000004</v>
      </c>
      <c r="K36" s="14">
        <v>6395.8023000000003</v>
      </c>
      <c r="L36" s="14"/>
      <c r="M36" s="14"/>
      <c r="N36" s="14"/>
    </row>
    <row r="37" spans="2:14">
      <c r="B37" t="s">
        <v>53</v>
      </c>
      <c r="C37" s="14">
        <v>6188.2496000000001</v>
      </c>
      <c r="D37" s="14">
        <v>5485.4116999999997</v>
      </c>
      <c r="E37" s="14">
        <v>5709.1495999999997</v>
      </c>
      <c r="F37" s="14">
        <v>5908.0006999999996</v>
      </c>
      <c r="G37" s="14">
        <v>6014.4498000000003</v>
      </c>
      <c r="H37" s="14">
        <v>6164.6484</v>
      </c>
      <c r="I37" s="14">
        <v>6186.0042000000003</v>
      </c>
      <c r="J37" s="14">
        <v>6267.0878000000002</v>
      </c>
      <c r="K37" s="14">
        <v>6306.0837000000001</v>
      </c>
      <c r="L37" s="14"/>
      <c r="M37" s="14"/>
      <c r="N37" s="14"/>
    </row>
    <row r="38" spans="2:14">
      <c r="B38" t="s">
        <v>42</v>
      </c>
      <c r="C38" s="14">
        <v>312.6087</v>
      </c>
      <c r="D38" s="14">
        <v>289.40499999999997</v>
      </c>
      <c r="E38" s="14">
        <v>278.73649999999998</v>
      </c>
      <c r="F38" s="14">
        <v>285.77530000000002</v>
      </c>
      <c r="G38" s="14">
        <v>285.25920000000002</v>
      </c>
      <c r="H38" s="14">
        <v>290.09829999999999</v>
      </c>
      <c r="I38" s="14">
        <v>346.72050000000002</v>
      </c>
      <c r="J38" s="14">
        <v>346.0609</v>
      </c>
      <c r="K38" s="14">
        <v>401.2312</v>
      </c>
      <c r="L38" s="14">
        <v>56807.8508</v>
      </c>
      <c r="M38" s="14">
        <v>58856.4928</v>
      </c>
      <c r="N38" s="14">
        <v>60774.3249</v>
      </c>
    </row>
  </sheetData>
  <mergeCells count="1">
    <mergeCell ref="A1:Q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1FA4-AA9B-45BC-AABC-DE8CEFB85544}">
  <dimension ref="A1:S17"/>
  <sheetViews>
    <sheetView showGridLines="0" workbookViewId="0">
      <pane ySplit="5" topLeftCell="A6" activePane="bottomLeft" state="frozen"/>
      <selection pane="bottomLeft" sqref="A1:R1"/>
    </sheetView>
  </sheetViews>
  <sheetFormatPr defaultRowHeight="14.5"/>
  <cols>
    <col min="1" max="1" width="12.453125" bestFit="1" customWidth="1"/>
    <col min="2" max="2" width="23.81640625" bestFit="1" customWidth="1"/>
    <col min="3" max="21" width="6.54296875" bestFit="1" customWidth="1"/>
  </cols>
  <sheetData>
    <row r="1" spans="1:19" ht="23.5">
      <c r="A1" s="100" t="s">
        <v>216</v>
      </c>
      <c r="B1" s="100"/>
      <c r="C1" s="100"/>
      <c r="D1" s="100"/>
      <c r="E1" s="100"/>
      <c r="F1" s="100"/>
      <c r="G1" s="100"/>
      <c r="H1" s="100"/>
      <c r="I1" s="100"/>
      <c r="J1" s="100"/>
      <c r="K1" s="100"/>
      <c r="L1" s="100"/>
      <c r="M1" s="100"/>
      <c r="N1" s="100"/>
      <c r="O1" s="100"/>
      <c r="P1" s="100"/>
      <c r="Q1" s="100"/>
      <c r="R1" s="100"/>
      <c r="S1" s="17"/>
    </row>
    <row r="4" spans="1:19">
      <c r="A4" s="10" t="s">
        <v>232</v>
      </c>
    </row>
    <row r="5" spans="1:19">
      <c r="C5">
        <v>2014</v>
      </c>
      <c r="D5">
        <v>2015</v>
      </c>
      <c r="E5">
        <v>2016</v>
      </c>
      <c r="F5">
        <v>2017</v>
      </c>
      <c r="G5">
        <v>2018</v>
      </c>
      <c r="H5">
        <v>2019</v>
      </c>
      <c r="I5">
        <v>2020</v>
      </c>
      <c r="J5">
        <v>2021</v>
      </c>
      <c r="K5">
        <v>2022</v>
      </c>
      <c r="L5">
        <v>2023</v>
      </c>
      <c r="M5">
        <v>2024</v>
      </c>
      <c r="N5">
        <v>2025</v>
      </c>
    </row>
    <row r="6" spans="1:19">
      <c r="A6" t="s">
        <v>207</v>
      </c>
      <c r="B6" t="s">
        <v>54</v>
      </c>
      <c r="C6" s="14">
        <v>8143.6372000000001</v>
      </c>
      <c r="D6" s="14">
        <v>8393.0979000000007</v>
      </c>
      <c r="E6" s="14">
        <v>8433.8202000000001</v>
      </c>
      <c r="F6" s="14">
        <v>8475.0684000000001</v>
      </c>
      <c r="G6" s="14">
        <v>8577.9115999999995</v>
      </c>
      <c r="H6" s="14">
        <v>8849.5737000000008</v>
      </c>
      <c r="I6" s="14">
        <v>8957.4987000000001</v>
      </c>
      <c r="J6" s="14">
        <v>9197.9320000000007</v>
      </c>
      <c r="K6" s="14">
        <v>9198.3968999999997</v>
      </c>
      <c r="L6" s="14"/>
      <c r="M6" s="14"/>
      <c r="N6" s="14"/>
    </row>
    <row r="7" spans="1:19">
      <c r="B7" t="s">
        <v>55</v>
      </c>
      <c r="C7" s="14">
        <v>10436.545599999999</v>
      </c>
      <c r="D7" s="14">
        <v>10617.379800000001</v>
      </c>
      <c r="E7" s="14">
        <v>10777.6996</v>
      </c>
      <c r="F7" s="14">
        <v>10952.722400000001</v>
      </c>
      <c r="G7" s="14">
        <v>11066.9004</v>
      </c>
      <c r="H7" s="14">
        <v>11248.573700000001</v>
      </c>
      <c r="I7" s="14">
        <v>11560.049300000001</v>
      </c>
      <c r="J7" s="14">
        <v>11663.652599999999</v>
      </c>
      <c r="K7" s="14">
        <v>11755.6137</v>
      </c>
      <c r="L7" s="14"/>
      <c r="M7" s="14"/>
      <c r="N7" s="14"/>
    </row>
    <row r="8" spans="1:19">
      <c r="B8" t="s">
        <v>56</v>
      </c>
      <c r="C8" s="14">
        <v>10063.0738</v>
      </c>
      <c r="D8" s="14">
        <v>10024.2629</v>
      </c>
      <c r="E8" s="14">
        <v>10203.314</v>
      </c>
      <c r="F8" s="14">
        <v>10427.2433</v>
      </c>
      <c r="G8" s="14">
        <v>10501.403700000001</v>
      </c>
      <c r="H8" s="14">
        <v>10746.1011</v>
      </c>
      <c r="I8" s="14">
        <v>10720.243200000001</v>
      </c>
      <c r="J8" s="14">
        <v>10758.975700000001</v>
      </c>
      <c r="K8" s="14">
        <v>10804.3333</v>
      </c>
      <c r="L8" s="14"/>
      <c r="M8" s="14"/>
      <c r="N8" s="14"/>
    </row>
    <row r="9" spans="1:19">
      <c r="B9" t="s">
        <v>42</v>
      </c>
      <c r="C9" s="14">
        <v>17.880600000000001</v>
      </c>
      <c r="D9" s="14"/>
      <c r="E9" s="14"/>
      <c r="F9" s="14"/>
      <c r="G9" s="14"/>
      <c r="H9" s="14"/>
      <c r="I9" s="14">
        <v>35.148000000000003</v>
      </c>
      <c r="J9" s="14">
        <v>15.2136</v>
      </c>
      <c r="K9" s="14">
        <v>6.3627000000000002</v>
      </c>
      <c r="L9" s="14">
        <v>31663.550800000001</v>
      </c>
      <c r="M9" s="14">
        <v>32689.063399999999</v>
      </c>
      <c r="N9" s="14">
        <v>33767.219499999999</v>
      </c>
    </row>
    <row r="10" spans="1:19">
      <c r="A10" t="s">
        <v>208</v>
      </c>
      <c r="B10" t="s">
        <v>54</v>
      </c>
      <c r="C10" s="14">
        <v>4952.7287999999999</v>
      </c>
      <c r="D10" s="14">
        <v>5291.7313999999997</v>
      </c>
      <c r="E10" s="14">
        <v>5266.3157000000001</v>
      </c>
      <c r="F10" s="14">
        <v>5272.6763000000001</v>
      </c>
      <c r="G10" s="14">
        <v>5285.7494999999999</v>
      </c>
      <c r="H10" s="14">
        <v>5340.3510999999999</v>
      </c>
      <c r="I10" s="14">
        <v>5445.0487999999996</v>
      </c>
      <c r="J10" s="14">
        <v>5648.4333999999999</v>
      </c>
      <c r="K10" s="14">
        <v>5756.3500999999997</v>
      </c>
      <c r="L10" s="14"/>
      <c r="M10" s="14"/>
      <c r="N10" s="14"/>
    </row>
    <row r="11" spans="1:19">
      <c r="B11" t="s">
        <v>55</v>
      </c>
      <c r="C11" s="14">
        <v>9633.6700999999994</v>
      </c>
      <c r="D11" s="14">
        <v>10036.801100000001</v>
      </c>
      <c r="E11" s="14">
        <v>10037.1837</v>
      </c>
      <c r="F11" s="14">
        <v>10120.733700000001</v>
      </c>
      <c r="G11" s="14">
        <v>10178.5211</v>
      </c>
      <c r="H11" s="14">
        <v>10382.5522</v>
      </c>
      <c r="I11" s="14">
        <v>10523.8135</v>
      </c>
      <c r="J11" s="14">
        <v>10743.1047</v>
      </c>
      <c r="K11" s="14">
        <v>10856.933499999999</v>
      </c>
      <c r="L11" s="14"/>
      <c r="M11" s="14"/>
      <c r="N11" s="14"/>
    </row>
    <row r="12" spans="1:19">
      <c r="B12" t="s">
        <v>56</v>
      </c>
      <c r="C12" s="14">
        <v>7901.8389999999999</v>
      </c>
      <c r="D12" s="14">
        <v>7232.1871000000001</v>
      </c>
      <c r="E12" s="14">
        <v>7402.5946999999996</v>
      </c>
      <c r="F12" s="14">
        <v>7605.0951999999997</v>
      </c>
      <c r="G12" s="14">
        <v>7715.7855</v>
      </c>
      <c r="H12" s="14">
        <v>7759.9093000000003</v>
      </c>
      <c r="I12" s="14">
        <v>7835.8567999999996</v>
      </c>
      <c r="J12" s="14">
        <v>7895.6949000000004</v>
      </c>
      <c r="K12" s="14">
        <v>7966.0888000000004</v>
      </c>
      <c r="L12" s="14"/>
      <c r="M12" s="14"/>
      <c r="N12" s="14"/>
    </row>
    <row r="13" spans="1:19">
      <c r="B13" t="s">
        <v>42</v>
      </c>
      <c r="C13" s="14">
        <v>294.72809999999998</v>
      </c>
      <c r="D13" s="14">
        <v>289.40499999999997</v>
      </c>
      <c r="E13" s="14">
        <v>278.73649999999998</v>
      </c>
      <c r="F13" s="14">
        <v>285.77530000000002</v>
      </c>
      <c r="G13" s="14">
        <v>285.25920000000002</v>
      </c>
      <c r="H13" s="14">
        <v>290.09829999999999</v>
      </c>
      <c r="I13" s="14">
        <v>311.57249999999999</v>
      </c>
      <c r="J13" s="14">
        <v>330.84730000000002</v>
      </c>
      <c r="K13" s="14">
        <v>394.86849999999998</v>
      </c>
      <c r="L13" s="14">
        <v>25144.3</v>
      </c>
      <c r="M13" s="14">
        <v>26167.429400000001</v>
      </c>
      <c r="N13" s="14">
        <v>27007.1054</v>
      </c>
    </row>
    <row r="14" spans="1:19">
      <c r="A14" t="s">
        <v>37</v>
      </c>
      <c r="B14" t="s">
        <v>54</v>
      </c>
      <c r="C14" s="14">
        <v>13096.366</v>
      </c>
      <c r="D14" s="14">
        <v>13684.829299999999</v>
      </c>
      <c r="E14" s="14">
        <v>13700.135899999999</v>
      </c>
      <c r="F14" s="14">
        <v>13747.744699999999</v>
      </c>
      <c r="G14" s="14">
        <v>13863.661099999999</v>
      </c>
      <c r="H14" s="14">
        <v>14189.924800000001</v>
      </c>
      <c r="I14" s="14">
        <v>14402.547500000001</v>
      </c>
      <c r="J14" s="14">
        <v>14846.365400000001</v>
      </c>
      <c r="K14" s="14">
        <v>14954.746999999999</v>
      </c>
      <c r="L14" s="14"/>
      <c r="M14" s="14"/>
      <c r="N14" s="14"/>
    </row>
    <row r="15" spans="1:19">
      <c r="B15" t="s">
        <v>55</v>
      </c>
      <c r="C15" s="14">
        <v>20070.215700000001</v>
      </c>
      <c r="D15" s="14">
        <v>20654.180899999999</v>
      </c>
      <c r="E15" s="14">
        <v>20814.883300000001</v>
      </c>
      <c r="F15" s="14">
        <v>21073.456099999999</v>
      </c>
      <c r="G15" s="14">
        <v>21245.4215</v>
      </c>
      <c r="H15" s="14">
        <v>21631.125899999999</v>
      </c>
      <c r="I15" s="14">
        <v>22083.862799999999</v>
      </c>
      <c r="J15" s="14">
        <v>22406.757300000001</v>
      </c>
      <c r="K15" s="14">
        <v>22612.547200000001</v>
      </c>
      <c r="L15" s="14"/>
      <c r="M15" s="14"/>
      <c r="N15" s="14"/>
    </row>
    <row r="16" spans="1:19">
      <c r="B16" t="s">
        <v>56</v>
      </c>
      <c r="C16" s="14">
        <v>17964.912799999998</v>
      </c>
      <c r="D16" s="14">
        <v>17256.45</v>
      </c>
      <c r="E16" s="14">
        <v>17605.9087</v>
      </c>
      <c r="F16" s="14">
        <v>18032.338500000002</v>
      </c>
      <c r="G16" s="14">
        <v>18217.189200000001</v>
      </c>
      <c r="H16" s="14">
        <v>18506.010399999999</v>
      </c>
      <c r="I16" s="14">
        <v>18556.099999999999</v>
      </c>
      <c r="J16" s="14">
        <v>18654.670600000001</v>
      </c>
      <c r="K16" s="14">
        <v>18770.4221</v>
      </c>
      <c r="L16" s="14"/>
      <c r="M16" s="14"/>
      <c r="N16" s="14"/>
    </row>
    <row r="17" spans="2:14">
      <c r="B17" t="s">
        <v>42</v>
      </c>
      <c r="C17" s="14">
        <v>312.6087</v>
      </c>
      <c r="D17" s="14">
        <v>289.40499999999997</v>
      </c>
      <c r="E17" s="14">
        <v>278.73649999999998</v>
      </c>
      <c r="F17" s="14">
        <v>285.77530000000002</v>
      </c>
      <c r="G17" s="14">
        <v>285.25920000000002</v>
      </c>
      <c r="H17" s="14">
        <v>290.09829999999999</v>
      </c>
      <c r="I17" s="14">
        <v>346.72050000000002</v>
      </c>
      <c r="J17" s="14">
        <v>346.0609</v>
      </c>
      <c r="K17" s="14">
        <v>401.2312</v>
      </c>
      <c r="L17" s="14">
        <v>56807.8508</v>
      </c>
      <c r="M17" s="14">
        <v>58856.4928</v>
      </c>
      <c r="N17" s="14">
        <v>60774.3249</v>
      </c>
    </row>
  </sheetData>
  <mergeCells count="1">
    <mergeCell ref="A1:R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7EBD-DEC9-49AE-802A-C83C05918144}">
  <dimension ref="A1:S25"/>
  <sheetViews>
    <sheetView showGridLines="0" workbookViewId="0">
      <pane ySplit="5" topLeftCell="A6" activePane="bottomLeft" state="frozen"/>
      <selection pane="bottomLeft" sqref="A1:R1"/>
    </sheetView>
  </sheetViews>
  <sheetFormatPr defaultRowHeight="14.5"/>
  <cols>
    <col min="1" max="1" width="12.453125" bestFit="1" customWidth="1"/>
    <col min="2" max="2" width="18.54296875" bestFit="1" customWidth="1"/>
    <col min="3" max="21" width="6.54296875" bestFit="1" customWidth="1"/>
  </cols>
  <sheetData>
    <row r="1" spans="1:19" ht="23.5">
      <c r="A1" s="100" t="s">
        <v>214</v>
      </c>
      <c r="B1" s="100"/>
      <c r="C1" s="100"/>
      <c r="D1" s="100"/>
      <c r="E1" s="100"/>
      <c r="F1" s="100"/>
      <c r="G1" s="100"/>
      <c r="H1" s="100"/>
      <c r="I1" s="100"/>
      <c r="J1" s="100"/>
      <c r="K1" s="100"/>
      <c r="L1" s="100"/>
      <c r="M1" s="100"/>
      <c r="N1" s="100"/>
      <c r="O1" s="100"/>
      <c r="P1" s="100"/>
      <c r="Q1" s="100"/>
      <c r="R1" s="100"/>
      <c r="S1" s="17"/>
    </row>
    <row r="4" spans="1:19">
      <c r="A4" s="10" t="s">
        <v>232</v>
      </c>
    </row>
    <row r="5" spans="1:19">
      <c r="C5">
        <v>2014</v>
      </c>
      <c r="D5">
        <v>2015</v>
      </c>
      <c r="E5">
        <v>2016</v>
      </c>
      <c r="F5">
        <v>2017</v>
      </c>
      <c r="G5">
        <v>2018</v>
      </c>
      <c r="H5">
        <v>2019</v>
      </c>
      <c r="I5">
        <v>2020</v>
      </c>
      <c r="J5">
        <v>2021</v>
      </c>
      <c r="K5">
        <v>2022</v>
      </c>
      <c r="L5">
        <v>2023</v>
      </c>
      <c r="M5">
        <v>2024</v>
      </c>
      <c r="N5">
        <v>2025</v>
      </c>
    </row>
    <row r="6" spans="1:19">
      <c r="A6" t="s">
        <v>207</v>
      </c>
      <c r="B6" t="s">
        <v>280</v>
      </c>
      <c r="C6" s="14">
        <v>14758.5537</v>
      </c>
      <c r="D6" s="14">
        <v>14964.648300000001</v>
      </c>
      <c r="E6" s="14">
        <v>15167.183800000001</v>
      </c>
      <c r="F6" s="14">
        <v>15348.860199999999</v>
      </c>
      <c r="G6" s="14">
        <v>15488.996999999999</v>
      </c>
      <c r="H6" s="14">
        <v>15924.037</v>
      </c>
      <c r="I6" s="14">
        <v>16048.0139</v>
      </c>
      <c r="J6" s="14">
        <v>16205.0018</v>
      </c>
      <c r="K6" s="14">
        <v>16185.062099999999</v>
      </c>
      <c r="L6" s="14">
        <v>16116.395699999999</v>
      </c>
      <c r="M6" s="14">
        <v>16666.6567</v>
      </c>
      <c r="N6" s="14">
        <v>17214.378199999999</v>
      </c>
    </row>
    <row r="7" spans="1:19">
      <c r="B7" t="s">
        <v>279</v>
      </c>
      <c r="C7" s="14">
        <v>4290.6845000000003</v>
      </c>
      <c r="D7" s="14">
        <v>4331.8783000000003</v>
      </c>
      <c r="E7" s="14">
        <v>4401.9227000000001</v>
      </c>
      <c r="F7" s="14">
        <v>4490.2115000000003</v>
      </c>
      <c r="G7" s="14">
        <v>4511.0492000000004</v>
      </c>
      <c r="H7" s="14">
        <v>4610.8779000000004</v>
      </c>
      <c r="I7" s="14">
        <v>4663.7902000000004</v>
      </c>
      <c r="J7" s="14">
        <v>4738.0856999999996</v>
      </c>
      <c r="K7" s="14">
        <v>4736.1291000000001</v>
      </c>
      <c r="L7" s="14">
        <v>4767.4942000000001</v>
      </c>
      <c r="M7" s="14">
        <v>4920.8293000000003</v>
      </c>
      <c r="N7" s="14">
        <v>5046.1378000000004</v>
      </c>
    </row>
    <row r="8" spans="1:19">
      <c r="B8" t="s">
        <v>281</v>
      </c>
      <c r="C8" s="14">
        <v>2551.4893999999999</v>
      </c>
      <c r="D8" s="14">
        <v>2612.9176000000002</v>
      </c>
      <c r="E8" s="14">
        <v>2644.067</v>
      </c>
      <c r="F8" s="14">
        <v>2694.8953000000001</v>
      </c>
      <c r="G8" s="14">
        <v>2717.3011999999999</v>
      </c>
      <c r="H8" s="14">
        <v>2760.875</v>
      </c>
      <c r="I8" s="14">
        <v>2858.8330999999998</v>
      </c>
      <c r="J8" s="14">
        <v>2914.1680000000001</v>
      </c>
      <c r="K8" s="14">
        <v>2979.9513999999999</v>
      </c>
      <c r="L8" s="14">
        <v>2992.0327000000002</v>
      </c>
      <c r="M8" s="14">
        <v>3105.1361000000002</v>
      </c>
      <c r="N8" s="14">
        <v>3221.7916</v>
      </c>
    </row>
    <row r="9" spans="1:19">
      <c r="B9" t="s">
        <v>284</v>
      </c>
      <c r="C9" s="14">
        <v>3198.5765000000001</v>
      </c>
      <c r="D9" s="14">
        <v>3244.4539</v>
      </c>
      <c r="E9" s="14">
        <v>3256.0790000000002</v>
      </c>
      <c r="F9" s="14">
        <v>3324.8761</v>
      </c>
      <c r="G9" s="14">
        <v>3373.9623999999999</v>
      </c>
      <c r="H9" s="14">
        <v>3430.1408000000001</v>
      </c>
      <c r="I9" s="14">
        <v>3488.2011000000002</v>
      </c>
      <c r="J9" s="14">
        <v>3519.1885000000002</v>
      </c>
      <c r="K9" s="14">
        <v>3542.1788999999999</v>
      </c>
      <c r="L9" s="14">
        <v>3488.0978</v>
      </c>
      <c r="M9" s="14">
        <v>3612.8847999999998</v>
      </c>
      <c r="N9" s="14">
        <v>3765.4276</v>
      </c>
    </row>
    <row r="10" spans="1:19">
      <c r="B10" t="s">
        <v>283</v>
      </c>
      <c r="C10" s="14">
        <v>1186.6658</v>
      </c>
      <c r="D10" s="14">
        <v>1202.2518</v>
      </c>
      <c r="E10" s="14">
        <v>1212.0182</v>
      </c>
      <c r="F10" s="14">
        <v>1232.1603</v>
      </c>
      <c r="G10" s="14">
        <v>1235.0071</v>
      </c>
      <c r="H10" s="14">
        <v>1262.4989</v>
      </c>
      <c r="I10" s="14">
        <v>1277.0771999999999</v>
      </c>
      <c r="J10" s="14">
        <v>1289.6321</v>
      </c>
      <c r="K10" s="14">
        <v>1285.2012</v>
      </c>
      <c r="L10" s="14">
        <v>1283.5077000000001</v>
      </c>
      <c r="M10" s="14">
        <v>1325.5672</v>
      </c>
      <c r="N10" s="14">
        <v>1375.6485</v>
      </c>
    </row>
    <row r="11" spans="1:19">
      <c r="B11" t="s">
        <v>282</v>
      </c>
      <c r="C11" s="14">
        <v>2675.1673000000001</v>
      </c>
      <c r="D11" s="14">
        <v>2678.5907000000002</v>
      </c>
      <c r="E11" s="14">
        <v>2733.5630999999998</v>
      </c>
      <c r="F11" s="14">
        <v>2764.0306999999998</v>
      </c>
      <c r="G11" s="14">
        <v>2819.8987999999999</v>
      </c>
      <c r="H11" s="14">
        <v>2855.8189000000002</v>
      </c>
      <c r="I11" s="14">
        <v>2937.0237000000002</v>
      </c>
      <c r="J11" s="14">
        <v>2969.6977999999999</v>
      </c>
      <c r="K11" s="14">
        <v>3036.1839</v>
      </c>
      <c r="L11" s="14">
        <v>3016.0227</v>
      </c>
      <c r="M11" s="14">
        <v>3057.9893000000002</v>
      </c>
      <c r="N11" s="14">
        <v>3143.8357999999998</v>
      </c>
    </row>
    <row r="12" spans="1:19">
      <c r="A12" t="s">
        <v>208</v>
      </c>
      <c r="B12" t="s">
        <v>280</v>
      </c>
      <c r="C12" s="14">
        <v>11113.4895</v>
      </c>
      <c r="D12" s="14">
        <v>11209.827600000001</v>
      </c>
      <c r="E12" s="14">
        <v>11328.456099999999</v>
      </c>
      <c r="F12" s="14">
        <v>11511.714400000001</v>
      </c>
      <c r="G12" s="14">
        <v>11625.4211</v>
      </c>
      <c r="H12" s="14">
        <v>11778.6487</v>
      </c>
      <c r="I12" s="14">
        <v>11905.471</v>
      </c>
      <c r="J12" s="14">
        <v>12050.625400000001</v>
      </c>
      <c r="K12" s="14">
        <v>12194.1582</v>
      </c>
      <c r="L12" s="14">
        <v>12308.0067</v>
      </c>
      <c r="M12" s="14">
        <v>12866.182199999999</v>
      </c>
      <c r="N12" s="14">
        <v>13308.8287</v>
      </c>
    </row>
    <row r="13" spans="1:19">
      <c r="B13" t="s">
        <v>279</v>
      </c>
      <c r="C13" s="14">
        <v>4251.5829999999996</v>
      </c>
      <c r="D13" s="14">
        <v>4228.0299000000005</v>
      </c>
      <c r="E13" s="14">
        <v>4286.2484999999997</v>
      </c>
      <c r="F13" s="14">
        <v>4304.3752999999997</v>
      </c>
      <c r="G13" s="14">
        <v>4332.4557999999997</v>
      </c>
      <c r="H13" s="14">
        <v>4394.5540000000001</v>
      </c>
      <c r="I13" s="14">
        <v>4487.0086000000001</v>
      </c>
      <c r="J13" s="14">
        <v>4579.7487000000001</v>
      </c>
      <c r="K13" s="14">
        <v>4630.6846999999998</v>
      </c>
      <c r="L13" s="14">
        <v>4650.1565000000001</v>
      </c>
      <c r="M13" s="14">
        <v>4778.2888000000003</v>
      </c>
      <c r="N13" s="14">
        <v>4901.5300999999999</v>
      </c>
    </row>
    <row r="14" spans="1:19">
      <c r="B14" t="s">
        <v>281</v>
      </c>
      <c r="C14" s="14">
        <v>2471.1785</v>
      </c>
      <c r="D14" s="14">
        <v>2454.1073999999999</v>
      </c>
      <c r="E14" s="14">
        <v>2462.4182999999998</v>
      </c>
      <c r="F14" s="14">
        <v>2540.1844999999998</v>
      </c>
      <c r="G14" s="14">
        <v>2590.7761999999998</v>
      </c>
      <c r="H14" s="14">
        <v>2644.6851000000001</v>
      </c>
      <c r="I14" s="14">
        <v>2705.6212</v>
      </c>
      <c r="J14" s="14">
        <v>2801.9681999999998</v>
      </c>
      <c r="K14" s="14">
        <v>2848.7734999999998</v>
      </c>
      <c r="L14" s="14">
        <v>2875.6426999999999</v>
      </c>
      <c r="M14" s="14">
        <v>3009.7534000000001</v>
      </c>
      <c r="N14" s="14">
        <v>3086.7102</v>
      </c>
    </row>
    <row r="15" spans="1:19">
      <c r="B15" t="s">
        <v>284</v>
      </c>
      <c r="C15" s="14">
        <v>3515.8933999999999</v>
      </c>
      <c r="D15" s="14">
        <v>3528.2593999999999</v>
      </c>
      <c r="E15" s="14">
        <v>3505.4830000000002</v>
      </c>
      <c r="F15" s="14">
        <v>3522.9162000000001</v>
      </c>
      <c r="G15" s="14">
        <v>3540.9249</v>
      </c>
      <c r="H15" s="14">
        <v>3565.6143000000002</v>
      </c>
      <c r="I15" s="14">
        <v>3600.3321000000001</v>
      </c>
      <c r="J15" s="14">
        <v>3689.1116000000002</v>
      </c>
      <c r="K15" s="14">
        <v>3700.7943</v>
      </c>
      <c r="L15" s="14">
        <v>3653.6952999999999</v>
      </c>
      <c r="M15" s="14">
        <v>3780.68</v>
      </c>
      <c r="N15" s="14">
        <v>3859.1513</v>
      </c>
    </row>
    <row r="16" spans="1:19">
      <c r="B16" t="s">
        <v>283</v>
      </c>
      <c r="C16" s="14">
        <v>689.44129999999996</v>
      </c>
      <c r="D16" s="14">
        <v>692.66340000000002</v>
      </c>
      <c r="E16" s="14">
        <v>665.27319999999997</v>
      </c>
      <c r="F16" s="14">
        <v>656.86620000000005</v>
      </c>
      <c r="G16" s="14">
        <v>626.81740000000002</v>
      </c>
      <c r="H16" s="14">
        <v>623.84670000000006</v>
      </c>
      <c r="I16" s="14">
        <v>627.55039999999997</v>
      </c>
      <c r="J16" s="14">
        <v>645.85789999999997</v>
      </c>
      <c r="K16" s="14">
        <v>668.18020000000001</v>
      </c>
      <c r="L16" s="14">
        <v>669.42470000000003</v>
      </c>
      <c r="M16" s="14">
        <v>687.90920000000006</v>
      </c>
      <c r="N16" s="14">
        <v>724.96749999999997</v>
      </c>
    </row>
    <row r="17" spans="1:14">
      <c r="B17" t="s">
        <v>282</v>
      </c>
      <c r="C17" s="14">
        <v>446.65219999999999</v>
      </c>
      <c r="D17" s="14">
        <v>447.87310000000002</v>
      </c>
      <c r="E17" s="14">
        <v>458.21499999999997</v>
      </c>
      <c r="F17" s="14">
        <v>462.4486</v>
      </c>
      <c r="G17" s="14">
        <v>463.66070000000002</v>
      </c>
      <c r="H17" s="14">
        <v>475.46379999999999</v>
      </c>
      <c r="I17" s="14">
        <v>483.90620000000001</v>
      </c>
      <c r="J17" s="14">
        <v>519.9212</v>
      </c>
      <c r="K17" s="14">
        <v>542.96259999999995</v>
      </c>
      <c r="L17" s="14">
        <v>568.69780000000003</v>
      </c>
      <c r="M17" s="14">
        <v>610.52610000000004</v>
      </c>
      <c r="N17" s="14">
        <v>651.7672</v>
      </c>
    </row>
    <row r="18" spans="1:14">
      <c r="B18" t="s">
        <v>43</v>
      </c>
      <c r="C18" s="14">
        <v>294.72809999999998</v>
      </c>
      <c r="D18" s="14">
        <v>289.36380000000003</v>
      </c>
      <c r="E18" s="14">
        <v>278.73649999999998</v>
      </c>
      <c r="F18" s="14">
        <v>285.77530000000002</v>
      </c>
      <c r="G18" s="14">
        <v>285.25920000000002</v>
      </c>
      <c r="H18" s="14">
        <v>290.09829999999999</v>
      </c>
      <c r="I18" s="14">
        <v>306.40210000000002</v>
      </c>
      <c r="J18" s="14">
        <v>330.84730000000002</v>
      </c>
      <c r="K18" s="14">
        <v>388.68740000000003</v>
      </c>
      <c r="L18" s="14">
        <v>418.67630000000003</v>
      </c>
      <c r="M18" s="14">
        <v>434.08969999999999</v>
      </c>
      <c r="N18" s="14">
        <v>474.15039999999999</v>
      </c>
    </row>
    <row r="19" spans="1:14">
      <c r="A19" t="s">
        <v>37</v>
      </c>
      <c r="B19" t="s">
        <v>280</v>
      </c>
      <c r="C19" s="14">
        <v>25872.0432</v>
      </c>
      <c r="D19" s="14">
        <v>26174.475900000001</v>
      </c>
      <c r="E19" s="14">
        <v>26495.639899999998</v>
      </c>
      <c r="F19" s="14">
        <v>26860.5746</v>
      </c>
      <c r="G19" s="14">
        <v>27114.418099999999</v>
      </c>
      <c r="H19" s="14">
        <v>27702.685700000002</v>
      </c>
      <c r="I19" s="14">
        <v>27953.484899999999</v>
      </c>
      <c r="J19" s="14">
        <v>28255.627199999999</v>
      </c>
      <c r="K19" s="14">
        <v>28379.220300000001</v>
      </c>
      <c r="L19" s="14">
        <v>28424.402399999999</v>
      </c>
      <c r="M19" s="14">
        <v>29532.838899999999</v>
      </c>
      <c r="N19" s="14">
        <v>30523.206900000001</v>
      </c>
    </row>
    <row r="20" spans="1:14">
      <c r="B20" t="s">
        <v>279</v>
      </c>
      <c r="C20" s="14">
        <v>8542.2674999999999</v>
      </c>
      <c r="D20" s="14">
        <v>8559.9081999999999</v>
      </c>
      <c r="E20" s="14">
        <v>8688.1712000000007</v>
      </c>
      <c r="F20" s="14">
        <v>8794.5867999999991</v>
      </c>
      <c r="G20" s="14">
        <v>8843.5049999999992</v>
      </c>
      <c r="H20" s="14">
        <v>9005.4318999999996</v>
      </c>
      <c r="I20" s="14">
        <v>9150.7988000000005</v>
      </c>
      <c r="J20" s="14">
        <v>9317.8343999999997</v>
      </c>
      <c r="K20" s="14">
        <v>9366.8137999999999</v>
      </c>
      <c r="L20" s="14">
        <v>9417.6507000000001</v>
      </c>
      <c r="M20" s="14">
        <v>9699.1180999999997</v>
      </c>
      <c r="N20" s="14">
        <v>9947.6679000000004</v>
      </c>
    </row>
    <row r="21" spans="1:14">
      <c r="B21" t="s">
        <v>281</v>
      </c>
      <c r="C21" s="14">
        <v>5022.6679000000004</v>
      </c>
      <c r="D21" s="14">
        <v>5067.0249999999996</v>
      </c>
      <c r="E21" s="14">
        <v>5106.4853000000003</v>
      </c>
      <c r="F21" s="14">
        <v>5235.0798000000004</v>
      </c>
      <c r="G21" s="14">
        <v>5308.0774000000001</v>
      </c>
      <c r="H21" s="14">
        <v>5405.5600999999997</v>
      </c>
      <c r="I21" s="14">
        <v>5564.4543000000003</v>
      </c>
      <c r="J21" s="14">
        <v>5716.1361999999999</v>
      </c>
      <c r="K21" s="14">
        <v>5828.7249000000002</v>
      </c>
      <c r="L21" s="14">
        <v>5867.6754000000001</v>
      </c>
      <c r="M21" s="14">
        <v>6114.8895000000002</v>
      </c>
      <c r="N21" s="14">
        <v>6308.5018</v>
      </c>
    </row>
    <row r="22" spans="1:14">
      <c r="B22" t="s">
        <v>284</v>
      </c>
      <c r="C22" s="14">
        <v>6714.4699000000001</v>
      </c>
      <c r="D22" s="14">
        <v>6772.7133000000003</v>
      </c>
      <c r="E22" s="14">
        <v>6761.5619999999999</v>
      </c>
      <c r="F22" s="14">
        <v>6847.7923000000001</v>
      </c>
      <c r="G22" s="14">
        <v>6914.8873000000003</v>
      </c>
      <c r="H22" s="14">
        <v>6995.7551000000003</v>
      </c>
      <c r="I22" s="14">
        <v>7088.5331999999999</v>
      </c>
      <c r="J22" s="14">
        <v>7208.3001000000004</v>
      </c>
      <c r="K22" s="14">
        <v>7242.9732000000004</v>
      </c>
      <c r="L22" s="14">
        <v>7141.7930999999999</v>
      </c>
      <c r="M22" s="14">
        <v>7393.5648000000001</v>
      </c>
      <c r="N22" s="14">
        <v>7624.5789000000004</v>
      </c>
    </row>
    <row r="23" spans="1:14">
      <c r="B23" t="s">
        <v>283</v>
      </c>
      <c r="C23" s="14">
        <v>1876.1070999999999</v>
      </c>
      <c r="D23" s="14">
        <v>1894.9151999999999</v>
      </c>
      <c r="E23" s="14">
        <v>1877.2914000000001</v>
      </c>
      <c r="F23" s="14">
        <v>1889.0264999999999</v>
      </c>
      <c r="G23" s="14">
        <v>1861.8244999999999</v>
      </c>
      <c r="H23" s="14">
        <v>1886.3456000000001</v>
      </c>
      <c r="I23" s="14">
        <v>1904.6276</v>
      </c>
      <c r="J23" s="14">
        <v>1935.49</v>
      </c>
      <c r="K23" s="14">
        <v>1953.3814</v>
      </c>
      <c r="L23" s="14">
        <v>1952.9323999999999</v>
      </c>
      <c r="M23" s="14">
        <v>2013.4764</v>
      </c>
      <c r="N23" s="14">
        <v>2100.616</v>
      </c>
    </row>
    <row r="24" spans="1:14">
      <c r="B24" t="s">
        <v>282</v>
      </c>
      <c r="C24" s="14">
        <v>3121.8195000000001</v>
      </c>
      <c r="D24" s="14">
        <v>3126.4638</v>
      </c>
      <c r="E24" s="14">
        <v>3191.7781</v>
      </c>
      <c r="F24" s="14">
        <v>3226.4793</v>
      </c>
      <c r="G24" s="14">
        <v>3283.5594999999998</v>
      </c>
      <c r="H24" s="14">
        <v>3331.2827000000002</v>
      </c>
      <c r="I24" s="14">
        <v>3420.9299000000001</v>
      </c>
      <c r="J24" s="14">
        <v>3489.6190000000001</v>
      </c>
      <c r="K24" s="14">
        <v>3579.1464999999998</v>
      </c>
      <c r="L24" s="14">
        <v>3584.7204999999999</v>
      </c>
      <c r="M24" s="14">
        <v>3668.5154000000002</v>
      </c>
      <c r="N24" s="14">
        <v>3795.6030000000001</v>
      </c>
    </row>
    <row r="25" spans="1:14">
      <c r="B25" t="s">
        <v>43</v>
      </c>
      <c r="C25" s="14">
        <v>294.72809999999998</v>
      </c>
      <c r="D25" s="14">
        <v>289.36380000000003</v>
      </c>
      <c r="E25" s="14">
        <v>278.73649999999998</v>
      </c>
      <c r="F25" s="14">
        <v>285.77530000000002</v>
      </c>
      <c r="G25" s="14">
        <v>285.25920000000002</v>
      </c>
      <c r="H25" s="14">
        <v>290.09829999999999</v>
      </c>
      <c r="I25" s="14">
        <v>306.40210000000002</v>
      </c>
      <c r="J25" s="14">
        <v>330.84730000000002</v>
      </c>
      <c r="K25" s="14">
        <v>388.68740000000003</v>
      </c>
      <c r="L25" s="14">
        <v>418.67630000000003</v>
      </c>
      <c r="M25" s="14">
        <v>434.08969999999999</v>
      </c>
      <c r="N25" s="14">
        <v>474.15039999999999</v>
      </c>
    </row>
  </sheetData>
  <mergeCells count="1">
    <mergeCell ref="A1:R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D0CCE-6125-4BDE-95CB-DBBB6FC5D2B8}">
  <dimension ref="A1:T41"/>
  <sheetViews>
    <sheetView showGridLines="0" workbookViewId="0">
      <pane ySplit="5" topLeftCell="A6" activePane="bottomLeft" state="frozen"/>
      <selection pane="bottomLeft" sqref="A1:S1"/>
    </sheetView>
  </sheetViews>
  <sheetFormatPr defaultRowHeight="14.5"/>
  <cols>
    <col min="1" max="1" width="12.453125" bestFit="1" customWidth="1"/>
    <col min="2" max="2" width="31" bestFit="1" customWidth="1"/>
    <col min="3" max="14" width="5.54296875" bestFit="1" customWidth="1"/>
    <col min="15" max="21" width="6.54296875" bestFit="1" customWidth="1"/>
  </cols>
  <sheetData>
    <row r="1" spans="1:20" ht="23.5">
      <c r="A1" s="100" t="s">
        <v>238</v>
      </c>
      <c r="B1" s="100"/>
      <c r="C1" s="100"/>
      <c r="D1" s="100"/>
      <c r="E1" s="100"/>
      <c r="F1" s="100"/>
      <c r="G1" s="100"/>
      <c r="H1" s="100"/>
      <c r="I1" s="100"/>
      <c r="J1" s="100"/>
      <c r="K1" s="100"/>
      <c r="L1" s="100"/>
      <c r="M1" s="100"/>
      <c r="N1" s="100"/>
      <c r="O1" s="100"/>
      <c r="P1" s="100"/>
      <c r="Q1" s="100"/>
      <c r="R1" s="100"/>
      <c r="S1" s="100"/>
      <c r="T1" s="17"/>
    </row>
    <row r="4" spans="1:20">
      <c r="A4" s="10" t="s">
        <v>232</v>
      </c>
    </row>
    <row r="5" spans="1:20">
      <c r="C5">
        <v>2014</v>
      </c>
      <c r="D5">
        <v>2015</v>
      </c>
      <c r="E5">
        <v>2016</v>
      </c>
      <c r="F5">
        <v>2017</v>
      </c>
      <c r="G5">
        <v>2018</v>
      </c>
      <c r="H5">
        <v>2019</v>
      </c>
      <c r="I5">
        <v>2020</v>
      </c>
      <c r="J5">
        <v>2021</v>
      </c>
      <c r="K5">
        <v>2022</v>
      </c>
      <c r="L5">
        <v>2023</v>
      </c>
      <c r="M5">
        <v>2024</v>
      </c>
      <c r="N5">
        <v>2025</v>
      </c>
    </row>
    <row r="6" spans="1:20">
      <c r="A6" t="s">
        <v>207</v>
      </c>
      <c r="B6" t="s">
        <v>184</v>
      </c>
      <c r="C6" s="14">
        <v>1067.5784000000001</v>
      </c>
      <c r="D6" s="14">
        <v>1068.2108000000001</v>
      </c>
      <c r="E6" s="14">
        <v>1095.5859</v>
      </c>
      <c r="F6" s="14">
        <v>1124.123</v>
      </c>
      <c r="G6" s="14">
        <v>1158.0977</v>
      </c>
      <c r="H6" s="14">
        <v>1186.3295000000001</v>
      </c>
      <c r="I6" s="14">
        <v>1221.9521</v>
      </c>
      <c r="J6" s="14">
        <v>1230.1881000000001</v>
      </c>
      <c r="K6" s="14">
        <v>1228.9683</v>
      </c>
      <c r="L6" s="14">
        <v>1219.4084</v>
      </c>
      <c r="M6" s="14">
        <v>1282.9718</v>
      </c>
      <c r="N6" s="14">
        <v>1332.7132999999999</v>
      </c>
    </row>
    <row r="7" spans="1:20">
      <c r="B7" t="s">
        <v>235</v>
      </c>
      <c r="C7" s="14">
        <v>3447.5668999999998</v>
      </c>
      <c r="D7" s="14">
        <v>3495.4092000000001</v>
      </c>
      <c r="E7" s="14">
        <v>3553.8332999999998</v>
      </c>
      <c r="F7" s="14">
        <v>3619.7955000000002</v>
      </c>
      <c r="G7" s="14">
        <v>3718.5373</v>
      </c>
      <c r="H7" s="14">
        <v>3798.5470999999998</v>
      </c>
      <c r="I7" s="14">
        <v>3897.0473000000002</v>
      </c>
      <c r="J7" s="14">
        <v>4035.7669000000001</v>
      </c>
      <c r="K7" s="14">
        <v>4078.6985</v>
      </c>
      <c r="L7" s="14">
        <v>4050.2534000000001</v>
      </c>
      <c r="M7" s="14">
        <v>4223.1061</v>
      </c>
      <c r="N7" s="14">
        <v>4363.8002999999999</v>
      </c>
    </row>
    <row r="8" spans="1:20">
      <c r="B8" t="s">
        <v>234</v>
      </c>
      <c r="C8" s="14">
        <v>3446.9690000000001</v>
      </c>
      <c r="D8" s="14">
        <v>3482.8013999999998</v>
      </c>
      <c r="E8" s="14">
        <v>3533.0021999999999</v>
      </c>
      <c r="F8" s="14">
        <v>3582.6975000000002</v>
      </c>
      <c r="G8" s="14">
        <v>3580.02</v>
      </c>
      <c r="H8" s="14">
        <v>3651.0482000000002</v>
      </c>
      <c r="I8" s="14">
        <v>3681.7671</v>
      </c>
      <c r="J8" s="14">
        <v>3699.1927000000001</v>
      </c>
      <c r="K8" s="14">
        <v>3700.6514999999999</v>
      </c>
      <c r="L8" s="14">
        <v>3717.5571</v>
      </c>
      <c r="M8" s="14">
        <v>3782.8883999999998</v>
      </c>
      <c r="N8" s="14">
        <v>3847.2908000000002</v>
      </c>
    </row>
    <row r="9" spans="1:20">
      <c r="B9" t="s">
        <v>236</v>
      </c>
      <c r="C9" s="14">
        <v>3045.1271000000002</v>
      </c>
      <c r="D9" s="14">
        <v>3097.7134999999998</v>
      </c>
      <c r="E9" s="14">
        <v>3096.9542000000001</v>
      </c>
      <c r="F9" s="14">
        <v>3127.4947999999999</v>
      </c>
      <c r="G9" s="14">
        <v>3152.5954999999999</v>
      </c>
      <c r="H9" s="14">
        <v>3282.0227</v>
      </c>
      <c r="I9" s="14">
        <v>3310.2177999999999</v>
      </c>
      <c r="J9" s="14">
        <v>3378.7460000000001</v>
      </c>
      <c r="K9" s="14">
        <v>3409.8343</v>
      </c>
      <c r="L9" s="14">
        <v>3401.2849000000001</v>
      </c>
      <c r="M9" s="14">
        <v>3543.2694999999999</v>
      </c>
      <c r="N9" s="14">
        <v>3753.9699000000001</v>
      </c>
    </row>
    <row r="10" spans="1:20">
      <c r="B10" t="s">
        <v>186</v>
      </c>
      <c r="C10" s="14">
        <v>2564.25</v>
      </c>
      <c r="D10" s="14">
        <v>2626.1273000000001</v>
      </c>
      <c r="E10" s="14">
        <v>2664.4065999999998</v>
      </c>
      <c r="F10" s="14">
        <v>2715.7588999999998</v>
      </c>
      <c r="G10" s="14">
        <v>2746.4531999999999</v>
      </c>
      <c r="H10" s="14">
        <v>2808.3238000000001</v>
      </c>
      <c r="I10" s="14">
        <v>2870.9807000000001</v>
      </c>
      <c r="J10" s="14">
        <v>2880.1199000000001</v>
      </c>
      <c r="K10" s="14">
        <v>2883.393</v>
      </c>
      <c r="L10" s="14">
        <v>2900.2667999999999</v>
      </c>
      <c r="M10" s="14">
        <v>3023.4404</v>
      </c>
      <c r="N10" s="14">
        <v>3120.6006000000002</v>
      </c>
    </row>
    <row r="11" spans="1:20">
      <c r="B11" t="s">
        <v>179</v>
      </c>
      <c r="C11" s="14">
        <v>2148.6565999999998</v>
      </c>
      <c r="D11" s="14">
        <v>2187.1507999999999</v>
      </c>
      <c r="E11" s="14">
        <v>2219.6785</v>
      </c>
      <c r="F11" s="14">
        <v>2275.4452000000001</v>
      </c>
      <c r="G11" s="14">
        <v>2274.6558</v>
      </c>
      <c r="H11" s="14">
        <v>2325.0230999999999</v>
      </c>
      <c r="I11" s="14">
        <v>2361.4488999999999</v>
      </c>
      <c r="J11" s="14">
        <v>2428.5875999999998</v>
      </c>
      <c r="K11" s="14">
        <v>2437.4393</v>
      </c>
      <c r="L11" s="14">
        <v>2445.3011999999999</v>
      </c>
      <c r="M11" s="14">
        <v>2520.6185999999998</v>
      </c>
      <c r="N11" s="14">
        <v>2612.2936</v>
      </c>
    </row>
    <row r="12" spans="1:20">
      <c r="B12" t="s">
        <v>185</v>
      </c>
      <c r="C12" s="14">
        <v>1931.1285</v>
      </c>
      <c r="D12" s="14">
        <v>1941.8798999999999</v>
      </c>
      <c r="E12" s="14">
        <v>1987.4818</v>
      </c>
      <c r="F12" s="14">
        <v>2001.2859000000001</v>
      </c>
      <c r="G12" s="14">
        <v>2033.3915999999999</v>
      </c>
      <c r="H12" s="14">
        <v>2088.1302000000001</v>
      </c>
      <c r="I12" s="14">
        <v>2130.1653999999999</v>
      </c>
      <c r="J12" s="14">
        <v>2160.6893</v>
      </c>
      <c r="K12" s="14">
        <v>2168.5911000000001</v>
      </c>
      <c r="L12" s="14">
        <v>2153.2507999999998</v>
      </c>
      <c r="M12" s="14">
        <v>2200.1500999999998</v>
      </c>
      <c r="N12" s="14">
        <v>2233.6183999999998</v>
      </c>
    </row>
    <row r="13" spans="1:20">
      <c r="B13" t="s">
        <v>181</v>
      </c>
      <c r="C13" s="14">
        <v>1497.3400999999999</v>
      </c>
      <c r="D13" s="14">
        <v>1494.6197</v>
      </c>
      <c r="E13" s="14">
        <v>1504.5075999999999</v>
      </c>
      <c r="F13" s="14">
        <v>1539.79</v>
      </c>
      <c r="G13" s="14">
        <v>1547.1436000000001</v>
      </c>
      <c r="H13" s="14">
        <v>1573.8848</v>
      </c>
      <c r="I13" s="14">
        <v>1589.0780999999999</v>
      </c>
      <c r="J13" s="14">
        <v>1614.4945</v>
      </c>
      <c r="K13" s="14">
        <v>1613.3931</v>
      </c>
      <c r="L13" s="14">
        <v>1615.4908</v>
      </c>
      <c r="M13" s="14">
        <v>1628.6295</v>
      </c>
      <c r="N13" s="14">
        <v>1661.8988999999999</v>
      </c>
    </row>
    <row r="14" spans="1:20">
      <c r="B14" t="s">
        <v>187</v>
      </c>
      <c r="C14" s="14">
        <v>3319.3647000000001</v>
      </c>
      <c r="D14" s="14">
        <v>3339.4216000000001</v>
      </c>
      <c r="E14" s="14">
        <v>3388.2741000000001</v>
      </c>
      <c r="F14" s="14">
        <v>3406.1421</v>
      </c>
      <c r="G14" s="14">
        <v>3448.4274999999998</v>
      </c>
      <c r="H14" s="14">
        <v>3484.2388999999998</v>
      </c>
      <c r="I14" s="14">
        <v>3508.5835000000002</v>
      </c>
      <c r="J14" s="14">
        <v>3537.6459</v>
      </c>
      <c r="K14" s="14">
        <v>3468.4391000000001</v>
      </c>
      <c r="L14" s="14">
        <v>3457.1749</v>
      </c>
      <c r="M14" s="14">
        <v>3540.1010999999999</v>
      </c>
      <c r="N14" s="14">
        <v>3636.0902000000001</v>
      </c>
    </row>
    <row r="15" spans="1:20">
      <c r="B15" t="s">
        <v>182</v>
      </c>
      <c r="C15" s="14">
        <v>1107.3891000000001</v>
      </c>
      <c r="D15" s="14">
        <v>1105.461</v>
      </c>
      <c r="E15" s="14">
        <v>1099.5559000000001</v>
      </c>
      <c r="F15" s="14">
        <v>1135.0228999999999</v>
      </c>
      <c r="G15" s="14">
        <v>1132.9117000000001</v>
      </c>
      <c r="H15" s="14">
        <v>1142.4737</v>
      </c>
      <c r="I15" s="14">
        <v>1161.92</v>
      </c>
      <c r="J15" s="14">
        <v>1163.8154</v>
      </c>
      <c r="K15" s="14">
        <v>1165.8222000000001</v>
      </c>
      <c r="L15" s="14">
        <v>1152.6612</v>
      </c>
      <c r="M15" s="14">
        <v>1184.9983</v>
      </c>
      <c r="N15" s="14">
        <v>1213.3064999999999</v>
      </c>
    </row>
    <row r="16" spans="1:20">
      <c r="B16" t="s">
        <v>180</v>
      </c>
      <c r="C16" s="14">
        <v>3358.7193000000002</v>
      </c>
      <c r="D16" s="14">
        <v>3416.8301000000001</v>
      </c>
      <c r="E16" s="14">
        <v>3467.5173</v>
      </c>
      <c r="F16" s="14">
        <v>3492.0315000000001</v>
      </c>
      <c r="G16" s="14">
        <v>3509.8375000000001</v>
      </c>
      <c r="H16" s="14">
        <v>3618.8964000000001</v>
      </c>
      <c r="I16" s="14">
        <v>3636.6673999999998</v>
      </c>
      <c r="J16" s="14">
        <v>3603.0010000000002</v>
      </c>
      <c r="K16" s="14">
        <v>3698.6194999999998</v>
      </c>
      <c r="L16" s="14">
        <v>3658.4524000000001</v>
      </c>
      <c r="M16" s="14">
        <v>3818.2082</v>
      </c>
      <c r="N16" s="14">
        <v>3993.4609</v>
      </c>
    </row>
    <row r="17" spans="1:14">
      <c r="B17" t="s">
        <v>183</v>
      </c>
      <c r="C17" s="14">
        <v>1727.0474999999999</v>
      </c>
      <c r="D17" s="14">
        <v>1779.1152999999999</v>
      </c>
      <c r="E17" s="14">
        <v>1804.0364</v>
      </c>
      <c r="F17" s="14">
        <v>1835.4467999999999</v>
      </c>
      <c r="G17" s="14">
        <v>1844.1442999999999</v>
      </c>
      <c r="H17" s="14">
        <v>1885.3300999999999</v>
      </c>
      <c r="I17" s="14">
        <v>1903.1108999999999</v>
      </c>
      <c r="J17" s="14">
        <v>1903.5265999999999</v>
      </c>
      <c r="K17" s="14">
        <v>1910.8567</v>
      </c>
      <c r="L17" s="14">
        <v>1892.4489000000001</v>
      </c>
      <c r="M17" s="14">
        <v>1940.6813999999999</v>
      </c>
      <c r="N17" s="14">
        <v>1998.1760999999999</v>
      </c>
    </row>
    <row r="18" spans="1:14">
      <c r="A18" t="s">
        <v>208</v>
      </c>
      <c r="B18" t="s">
        <v>184</v>
      </c>
      <c r="C18" s="14">
        <v>1101.3289</v>
      </c>
      <c r="D18" s="14">
        <v>1109.4949999999999</v>
      </c>
      <c r="E18" s="14">
        <v>1100.69</v>
      </c>
      <c r="F18" s="14">
        <v>1107.5799</v>
      </c>
      <c r="G18" s="14">
        <v>1075.721</v>
      </c>
      <c r="H18" s="14">
        <v>1083.23</v>
      </c>
      <c r="I18" s="14">
        <v>1106.576</v>
      </c>
      <c r="J18" s="14">
        <v>1145.5069000000001</v>
      </c>
      <c r="K18" s="14">
        <v>1157.8175000000001</v>
      </c>
      <c r="L18" s="14">
        <v>1170.0029</v>
      </c>
      <c r="M18" s="14">
        <v>1197.3149000000001</v>
      </c>
      <c r="N18" s="14">
        <v>1217.1832999999999</v>
      </c>
    </row>
    <row r="19" spans="1:14">
      <c r="B19" t="s">
        <v>235</v>
      </c>
      <c r="C19" s="14">
        <v>2434.5823999999998</v>
      </c>
      <c r="D19" s="14">
        <v>2427.7370000000001</v>
      </c>
      <c r="E19" s="14">
        <v>2434.4447</v>
      </c>
      <c r="F19" s="14">
        <v>2466.1167</v>
      </c>
      <c r="G19" s="14">
        <v>2471.9888000000001</v>
      </c>
      <c r="H19" s="14">
        <v>2547.7856999999999</v>
      </c>
      <c r="I19" s="14">
        <v>2576.9641000000001</v>
      </c>
      <c r="J19" s="14">
        <v>2607.6783999999998</v>
      </c>
      <c r="K19" s="14">
        <v>2629.8629000000001</v>
      </c>
      <c r="L19" s="14">
        <v>2676.0891000000001</v>
      </c>
      <c r="M19" s="14">
        <v>2818.9537</v>
      </c>
      <c r="N19" s="14">
        <v>2947.0911999999998</v>
      </c>
    </row>
    <row r="20" spans="1:14">
      <c r="B20" t="s">
        <v>234</v>
      </c>
      <c r="C20" s="14">
        <v>2756.2950999999998</v>
      </c>
      <c r="D20" s="14">
        <v>2787.3836000000001</v>
      </c>
      <c r="E20" s="14">
        <v>2813.4848999999999</v>
      </c>
      <c r="F20" s="14">
        <v>2845.5011</v>
      </c>
      <c r="G20" s="14">
        <v>2857.6210999999998</v>
      </c>
      <c r="H20" s="14">
        <v>2873.6694000000002</v>
      </c>
      <c r="I20" s="14">
        <v>2881.8398999999999</v>
      </c>
      <c r="J20" s="14">
        <v>2875.1837</v>
      </c>
      <c r="K20" s="14">
        <v>2889.0048000000002</v>
      </c>
      <c r="L20" s="14">
        <v>2898.5796999999998</v>
      </c>
      <c r="M20" s="14">
        <v>3006.1133</v>
      </c>
      <c r="N20" s="14">
        <v>3077.1001000000001</v>
      </c>
    </row>
    <row r="21" spans="1:14">
      <c r="B21" t="s">
        <v>236</v>
      </c>
      <c r="C21" s="14">
        <v>1729.4231</v>
      </c>
      <c r="D21" s="14">
        <v>1735.335</v>
      </c>
      <c r="E21" s="14">
        <v>1739.6052</v>
      </c>
      <c r="F21" s="14">
        <v>1742.4816000000001</v>
      </c>
      <c r="G21" s="14">
        <v>1750.278</v>
      </c>
      <c r="H21" s="14">
        <v>1760.2511</v>
      </c>
      <c r="I21" s="14">
        <v>1791.8246999999999</v>
      </c>
      <c r="J21" s="14">
        <v>1855.9865</v>
      </c>
      <c r="K21" s="14">
        <v>1902.94</v>
      </c>
      <c r="L21" s="14">
        <v>1919.6584</v>
      </c>
      <c r="M21" s="14">
        <v>2036.0369000000001</v>
      </c>
      <c r="N21" s="14">
        <v>2180.2449000000001</v>
      </c>
    </row>
    <row r="22" spans="1:14">
      <c r="B22" t="s">
        <v>186</v>
      </c>
      <c r="C22" s="14">
        <v>2011.9837</v>
      </c>
      <c r="D22" s="14">
        <v>1997.9096999999999</v>
      </c>
      <c r="E22" s="14">
        <v>2046.9239</v>
      </c>
      <c r="F22" s="14">
        <v>2084.4834000000001</v>
      </c>
      <c r="G22" s="14">
        <v>2115.6623</v>
      </c>
      <c r="H22" s="14">
        <v>2171.0234999999998</v>
      </c>
      <c r="I22" s="14">
        <v>2234.4079000000002</v>
      </c>
      <c r="J22" s="14">
        <v>2317.9212000000002</v>
      </c>
      <c r="K22" s="14">
        <v>2359.5281</v>
      </c>
      <c r="L22" s="14">
        <v>2376.7386000000001</v>
      </c>
      <c r="M22" s="14">
        <v>2514.8145</v>
      </c>
      <c r="N22" s="14">
        <v>2561.4340999999999</v>
      </c>
    </row>
    <row r="23" spans="1:14">
      <c r="B23" t="s">
        <v>179</v>
      </c>
      <c r="C23" s="14">
        <v>1809.7127</v>
      </c>
      <c r="D23" s="14">
        <v>1812.4604999999999</v>
      </c>
      <c r="E23" s="14">
        <v>1848.3312000000001</v>
      </c>
      <c r="F23" s="14">
        <v>1867.5445</v>
      </c>
      <c r="G23" s="14">
        <v>1910.8368</v>
      </c>
      <c r="H23" s="14">
        <v>1914.915</v>
      </c>
      <c r="I23" s="14">
        <v>1961.7829999999999</v>
      </c>
      <c r="J23" s="14">
        <v>2004.4082000000001</v>
      </c>
      <c r="K23" s="14">
        <v>2036.6774</v>
      </c>
      <c r="L23" s="14">
        <v>2042.056</v>
      </c>
      <c r="M23" s="14">
        <v>2129.3006</v>
      </c>
      <c r="N23" s="14">
        <v>2185.5037000000002</v>
      </c>
    </row>
    <row r="24" spans="1:14">
      <c r="B24" t="s">
        <v>185</v>
      </c>
      <c r="C24" s="14">
        <v>1630.6396</v>
      </c>
      <c r="D24" s="14">
        <v>1640.08</v>
      </c>
      <c r="E24" s="14">
        <v>1650.8939</v>
      </c>
      <c r="F24" s="14">
        <v>1663.6723999999999</v>
      </c>
      <c r="G24" s="14">
        <v>1670.2412999999999</v>
      </c>
      <c r="H24" s="14">
        <v>1685.74</v>
      </c>
      <c r="I24" s="14">
        <v>1709.2158999999999</v>
      </c>
      <c r="J24" s="14">
        <v>1743.884</v>
      </c>
      <c r="K24" s="14">
        <v>1765.6729</v>
      </c>
      <c r="L24" s="14">
        <v>1793.2598</v>
      </c>
      <c r="M24" s="14">
        <v>1848.8920000000001</v>
      </c>
      <c r="N24" s="14">
        <v>1894.0087000000001</v>
      </c>
    </row>
    <row r="25" spans="1:14">
      <c r="B25" t="s">
        <v>181</v>
      </c>
      <c r="C25" s="14">
        <v>1305.5343</v>
      </c>
      <c r="D25" s="14">
        <v>1308.9820999999999</v>
      </c>
      <c r="E25" s="14">
        <v>1323.5473</v>
      </c>
      <c r="F25" s="14">
        <v>1333.6132</v>
      </c>
      <c r="G25" s="14">
        <v>1342.086</v>
      </c>
      <c r="H25" s="14">
        <v>1355.3151</v>
      </c>
      <c r="I25" s="14">
        <v>1361.6746000000001</v>
      </c>
      <c r="J25" s="14">
        <v>1385.9937</v>
      </c>
      <c r="K25" s="14">
        <v>1431.6795</v>
      </c>
      <c r="L25" s="14">
        <v>1420.1622</v>
      </c>
      <c r="M25" s="14">
        <v>1473.3896999999999</v>
      </c>
      <c r="N25" s="14">
        <v>1503.1328000000001</v>
      </c>
    </row>
    <row r="26" spans="1:14">
      <c r="B26" t="s">
        <v>187</v>
      </c>
      <c r="C26" s="14">
        <v>2771.7446</v>
      </c>
      <c r="D26" s="14">
        <v>2786.6208999999999</v>
      </c>
      <c r="E26" s="14">
        <v>2768.0612000000001</v>
      </c>
      <c r="F26" s="14">
        <v>2812.5081</v>
      </c>
      <c r="G26" s="14">
        <v>2815.7395000000001</v>
      </c>
      <c r="H26" s="14">
        <v>2836.6828999999998</v>
      </c>
      <c r="I26" s="14">
        <v>2879.2404999999999</v>
      </c>
      <c r="J26" s="14">
        <v>2970.1293999999998</v>
      </c>
      <c r="K26" s="14">
        <v>3018.6089000000002</v>
      </c>
      <c r="L26" s="14">
        <v>3039.3494999999998</v>
      </c>
      <c r="M26" s="14">
        <v>3136.2152000000001</v>
      </c>
      <c r="N26" s="14">
        <v>3235.3856999999998</v>
      </c>
    </row>
    <row r="27" spans="1:14">
      <c r="B27" t="s">
        <v>182</v>
      </c>
      <c r="C27" s="14">
        <v>896.59119999999996</v>
      </c>
      <c r="D27" s="14">
        <v>890.97349999999994</v>
      </c>
      <c r="E27" s="14">
        <v>882.53</v>
      </c>
      <c r="F27" s="14">
        <v>885.71460000000002</v>
      </c>
      <c r="G27" s="14">
        <v>897.39940000000001</v>
      </c>
      <c r="H27" s="14">
        <v>898.57539999999995</v>
      </c>
      <c r="I27" s="14">
        <v>925.85509999999999</v>
      </c>
      <c r="J27" s="14">
        <v>944.68709999999999</v>
      </c>
      <c r="K27" s="14">
        <v>937.55700000000002</v>
      </c>
      <c r="L27" s="14">
        <v>936.98659999999995</v>
      </c>
      <c r="M27" s="14">
        <v>950.20550000000003</v>
      </c>
      <c r="N27" s="14">
        <v>969.31029999999998</v>
      </c>
    </row>
    <row r="28" spans="1:14">
      <c r="B28" t="s">
        <v>180</v>
      </c>
      <c r="C28" s="14">
        <v>2633.5374999999999</v>
      </c>
      <c r="D28" s="14">
        <v>2650.0996</v>
      </c>
      <c r="E28" s="14">
        <v>2675.4643000000001</v>
      </c>
      <c r="F28" s="14">
        <v>2764.3238000000001</v>
      </c>
      <c r="G28" s="14">
        <v>2826.4776999999999</v>
      </c>
      <c r="H28" s="14">
        <v>2881.7188999999998</v>
      </c>
      <c r="I28" s="14">
        <v>2898.6970999999999</v>
      </c>
      <c r="J28" s="14">
        <v>2949.1127000000001</v>
      </c>
      <c r="K28" s="14">
        <v>2995.1952000000001</v>
      </c>
      <c r="L28" s="14">
        <v>3033.2341999999999</v>
      </c>
      <c r="M28" s="14">
        <v>3141.1895</v>
      </c>
      <c r="N28" s="14">
        <v>3254.8827000000001</v>
      </c>
    </row>
    <row r="29" spans="1:14">
      <c r="B29" t="s">
        <v>183</v>
      </c>
      <c r="C29" s="14">
        <v>1701.5929000000001</v>
      </c>
      <c r="D29" s="14">
        <v>1703.0477000000001</v>
      </c>
      <c r="E29" s="14">
        <v>1700.854</v>
      </c>
      <c r="F29" s="14">
        <v>1710.7411999999999</v>
      </c>
      <c r="G29" s="14">
        <v>1731.2634</v>
      </c>
      <c r="H29" s="14">
        <v>1764.0038999999999</v>
      </c>
      <c r="I29" s="14">
        <v>1788.2128</v>
      </c>
      <c r="J29" s="14">
        <v>1817.5885000000001</v>
      </c>
      <c r="K29" s="14">
        <v>1849.6967</v>
      </c>
      <c r="L29" s="14">
        <v>1838.183</v>
      </c>
      <c r="M29" s="14">
        <v>1915.0036</v>
      </c>
      <c r="N29" s="14">
        <v>1981.8279</v>
      </c>
    </row>
    <row r="30" spans="1:14">
      <c r="A30" t="s">
        <v>37</v>
      </c>
      <c r="B30" t="s">
        <v>184</v>
      </c>
      <c r="C30" s="14">
        <v>2168.9072999999999</v>
      </c>
      <c r="D30" s="14">
        <v>2177.7058000000002</v>
      </c>
      <c r="E30" s="14">
        <v>2196.2759000000001</v>
      </c>
      <c r="F30" s="14">
        <v>2231.7029000000002</v>
      </c>
      <c r="G30" s="14">
        <v>2233.8186999999998</v>
      </c>
      <c r="H30" s="14">
        <v>2269.5594999999998</v>
      </c>
      <c r="I30" s="14">
        <v>2328.5281</v>
      </c>
      <c r="J30" s="14">
        <v>2375.6950000000002</v>
      </c>
      <c r="K30" s="14">
        <v>2386.7858000000001</v>
      </c>
      <c r="L30" s="14">
        <v>2389.4113000000002</v>
      </c>
      <c r="M30" s="14">
        <v>2480.2867000000001</v>
      </c>
      <c r="N30" s="14">
        <v>2549.8966</v>
      </c>
    </row>
    <row r="31" spans="1:14">
      <c r="B31" t="s">
        <v>235</v>
      </c>
      <c r="C31" s="14">
        <v>5882.1493</v>
      </c>
      <c r="D31" s="14">
        <v>5923.1462000000001</v>
      </c>
      <c r="E31" s="14">
        <v>5988.2780000000002</v>
      </c>
      <c r="F31" s="14">
        <v>6085.9121999999998</v>
      </c>
      <c r="G31" s="14">
        <v>6190.5261</v>
      </c>
      <c r="H31" s="14">
        <v>6346.3328000000001</v>
      </c>
      <c r="I31" s="14">
        <v>6474.0114000000003</v>
      </c>
      <c r="J31" s="14">
        <v>6643.4453000000003</v>
      </c>
      <c r="K31" s="14">
        <v>6708.5613999999996</v>
      </c>
      <c r="L31" s="14">
        <v>6726.3424999999997</v>
      </c>
      <c r="M31" s="14">
        <v>7042.0598</v>
      </c>
      <c r="N31" s="14">
        <v>7310.8914999999997</v>
      </c>
    </row>
    <row r="32" spans="1:14">
      <c r="B32" t="s">
        <v>234</v>
      </c>
      <c r="C32" s="14">
        <v>6203.2641000000003</v>
      </c>
      <c r="D32" s="14">
        <v>6270.1850000000004</v>
      </c>
      <c r="E32" s="14">
        <v>6346.4871000000003</v>
      </c>
      <c r="F32" s="14">
        <v>6428.1985999999997</v>
      </c>
      <c r="G32" s="14">
        <v>6437.6410999999998</v>
      </c>
      <c r="H32" s="14">
        <v>6524.7175999999999</v>
      </c>
      <c r="I32" s="14">
        <v>6563.607</v>
      </c>
      <c r="J32" s="14">
        <v>6574.3764000000001</v>
      </c>
      <c r="K32" s="14">
        <v>6589.6562999999996</v>
      </c>
      <c r="L32" s="14">
        <v>6616.1368000000002</v>
      </c>
      <c r="M32" s="14">
        <v>6789.0016999999998</v>
      </c>
      <c r="N32" s="14">
        <v>6924.3909000000003</v>
      </c>
    </row>
    <row r="33" spans="2:14">
      <c r="B33" t="s">
        <v>236</v>
      </c>
      <c r="C33" s="14">
        <v>4774.5501999999997</v>
      </c>
      <c r="D33" s="14">
        <v>4833.0484999999999</v>
      </c>
      <c r="E33" s="14">
        <v>4836.5594000000001</v>
      </c>
      <c r="F33" s="14">
        <v>4869.9763999999996</v>
      </c>
      <c r="G33" s="14">
        <v>4902.8734999999997</v>
      </c>
      <c r="H33" s="14">
        <v>5042.2737999999999</v>
      </c>
      <c r="I33" s="14">
        <v>5102.0424999999996</v>
      </c>
      <c r="J33" s="14">
        <v>5234.7325000000001</v>
      </c>
      <c r="K33" s="14">
        <v>5312.7743</v>
      </c>
      <c r="L33" s="14">
        <v>5320.9432999999999</v>
      </c>
      <c r="M33" s="14">
        <v>5579.3064000000004</v>
      </c>
      <c r="N33" s="14">
        <v>5934.2147999999997</v>
      </c>
    </row>
    <row r="34" spans="2:14">
      <c r="B34" t="s">
        <v>186</v>
      </c>
      <c r="C34" s="14">
        <v>4576.2336999999998</v>
      </c>
      <c r="D34" s="14">
        <v>4624.0370000000003</v>
      </c>
      <c r="E34" s="14">
        <v>4711.3305</v>
      </c>
      <c r="F34" s="14">
        <v>4800.2422999999999</v>
      </c>
      <c r="G34" s="14">
        <v>4862.1154999999999</v>
      </c>
      <c r="H34" s="14">
        <v>4979.3473000000004</v>
      </c>
      <c r="I34" s="14">
        <v>5105.3886000000002</v>
      </c>
      <c r="J34" s="14">
        <v>5198.0411000000004</v>
      </c>
      <c r="K34" s="14">
        <v>5242.9210999999996</v>
      </c>
      <c r="L34" s="14">
        <v>5277.0054</v>
      </c>
      <c r="M34" s="14">
        <v>5538.2548999999999</v>
      </c>
      <c r="N34" s="14">
        <v>5682.0347000000002</v>
      </c>
    </row>
    <row r="35" spans="2:14">
      <c r="B35" t="s">
        <v>179</v>
      </c>
      <c r="C35" s="14">
        <v>3958.3692999999998</v>
      </c>
      <c r="D35" s="14">
        <v>3999.6113</v>
      </c>
      <c r="E35" s="14">
        <v>4068.0097000000001</v>
      </c>
      <c r="F35" s="14">
        <v>4142.9897000000001</v>
      </c>
      <c r="G35" s="14">
        <v>4185.4925999999996</v>
      </c>
      <c r="H35" s="14">
        <v>4239.9381000000003</v>
      </c>
      <c r="I35" s="14">
        <v>4323.2318999999998</v>
      </c>
      <c r="J35" s="14">
        <v>4432.9957999999997</v>
      </c>
      <c r="K35" s="14">
        <v>4474.1166999999996</v>
      </c>
      <c r="L35" s="14">
        <v>4487.3572000000004</v>
      </c>
      <c r="M35" s="14">
        <v>4649.9192000000003</v>
      </c>
      <c r="N35" s="14">
        <v>4797.7973000000002</v>
      </c>
    </row>
    <row r="36" spans="2:14">
      <c r="B36" t="s">
        <v>185</v>
      </c>
      <c r="C36" s="14">
        <v>3561.7680999999998</v>
      </c>
      <c r="D36" s="14">
        <v>3581.9598999999998</v>
      </c>
      <c r="E36" s="14">
        <v>3638.3757000000001</v>
      </c>
      <c r="F36" s="14">
        <v>3664.9582999999998</v>
      </c>
      <c r="G36" s="14">
        <v>3703.6329000000001</v>
      </c>
      <c r="H36" s="14">
        <v>3773.8701999999998</v>
      </c>
      <c r="I36" s="14">
        <v>3839.3813</v>
      </c>
      <c r="J36" s="14">
        <v>3904.5733</v>
      </c>
      <c r="K36" s="14">
        <v>3934.2640000000001</v>
      </c>
      <c r="L36" s="14">
        <v>3946.5106000000001</v>
      </c>
      <c r="M36" s="14">
        <v>4049.0421000000001</v>
      </c>
      <c r="N36" s="14">
        <v>4127.6270999999997</v>
      </c>
    </row>
    <row r="37" spans="2:14">
      <c r="B37" t="s">
        <v>181</v>
      </c>
      <c r="C37" s="14">
        <v>2802.8744000000002</v>
      </c>
      <c r="D37" s="14">
        <v>2803.6017999999999</v>
      </c>
      <c r="E37" s="14">
        <v>2828.0549000000001</v>
      </c>
      <c r="F37" s="14">
        <v>2873.4032000000002</v>
      </c>
      <c r="G37" s="14">
        <v>2889.2296000000001</v>
      </c>
      <c r="H37" s="14">
        <v>2929.1999000000001</v>
      </c>
      <c r="I37" s="14">
        <v>2950.7527</v>
      </c>
      <c r="J37" s="14">
        <v>3000.4881999999998</v>
      </c>
      <c r="K37" s="14">
        <v>3045.0726</v>
      </c>
      <c r="L37" s="14">
        <v>3035.6529999999998</v>
      </c>
      <c r="M37" s="14">
        <v>3102.0192000000002</v>
      </c>
      <c r="N37" s="14">
        <v>3165.0317</v>
      </c>
    </row>
    <row r="38" spans="2:14">
      <c r="B38" t="s">
        <v>187</v>
      </c>
      <c r="C38" s="14">
        <v>6091.1093000000001</v>
      </c>
      <c r="D38" s="14">
        <v>6126.0424999999996</v>
      </c>
      <c r="E38" s="14">
        <v>6156.3352999999997</v>
      </c>
      <c r="F38" s="14">
        <v>6218.6502</v>
      </c>
      <c r="G38" s="14">
        <v>6264.1670000000004</v>
      </c>
      <c r="H38" s="14">
        <v>6320.9218000000001</v>
      </c>
      <c r="I38" s="14">
        <v>6387.8239999999996</v>
      </c>
      <c r="J38" s="14">
        <v>6507.7753000000002</v>
      </c>
      <c r="K38" s="14">
        <v>6487.0479999999998</v>
      </c>
      <c r="L38" s="14">
        <v>6496.5244000000002</v>
      </c>
      <c r="M38" s="14">
        <v>6676.3163000000004</v>
      </c>
      <c r="N38" s="14">
        <v>6871.4759000000004</v>
      </c>
    </row>
    <row r="39" spans="2:14">
      <c r="B39" t="s">
        <v>182</v>
      </c>
      <c r="C39" s="14">
        <v>2003.9802999999999</v>
      </c>
      <c r="D39" s="14">
        <v>1996.4345000000001</v>
      </c>
      <c r="E39" s="14">
        <v>1982.0859</v>
      </c>
      <c r="F39" s="14">
        <v>2020.7375</v>
      </c>
      <c r="G39" s="14">
        <v>2030.3110999999999</v>
      </c>
      <c r="H39" s="14">
        <v>2041.0491</v>
      </c>
      <c r="I39" s="14">
        <v>2087.7750999999998</v>
      </c>
      <c r="J39" s="14">
        <v>2108.5025000000001</v>
      </c>
      <c r="K39" s="14">
        <v>2103.3791999999999</v>
      </c>
      <c r="L39" s="14">
        <v>2089.6478000000002</v>
      </c>
      <c r="M39" s="14">
        <v>2135.2037999999998</v>
      </c>
      <c r="N39" s="14">
        <v>2182.6167999999998</v>
      </c>
    </row>
    <row r="40" spans="2:14">
      <c r="B40" t="s">
        <v>180</v>
      </c>
      <c r="C40" s="14">
        <v>5992.2568000000001</v>
      </c>
      <c r="D40" s="14">
        <v>6066.9296999999997</v>
      </c>
      <c r="E40" s="14">
        <v>6142.9816000000001</v>
      </c>
      <c r="F40" s="14">
        <v>6256.3553000000002</v>
      </c>
      <c r="G40" s="14">
        <v>6336.3152</v>
      </c>
      <c r="H40" s="14">
        <v>6500.6153000000004</v>
      </c>
      <c r="I40" s="14">
        <v>6535.3644999999997</v>
      </c>
      <c r="J40" s="14">
        <v>6552.1136999999999</v>
      </c>
      <c r="K40" s="14">
        <v>6693.8146999999999</v>
      </c>
      <c r="L40" s="14">
        <v>6691.6866</v>
      </c>
      <c r="M40" s="14">
        <v>6959.3977000000004</v>
      </c>
      <c r="N40" s="14">
        <v>7248.3436000000002</v>
      </c>
    </row>
    <row r="41" spans="2:14">
      <c r="B41" t="s">
        <v>183</v>
      </c>
      <c r="C41" s="14">
        <v>3428.6404000000002</v>
      </c>
      <c r="D41" s="14">
        <v>3482.163</v>
      </c>
      <c r="E41" s="14">
        <v>3504.8904000000002</v>
      </c>
      <c r="F41" s="14">
        <v>3546.1880000000001</v>
      </c>
      <c r="G41" s="14">
        <v>3575.4077000000002</v>
      </c>
      <c r="H41" s="14">
        <v>3649.3339999999998</v>
      </c>
      <c r="I41" s="14">
        <v>3691.3236999999999</v>
      </c>
      <c r="J41" s="14">
        <v>3721.1151</v>
      </c>
      <c r="K41" s="14">
        <v>3760.5533999999998</v>
      </c>
      <c r="L41" s="14">
        <v>3730.6318999999999</v>
      </c>
      <c r="M41" s="14">
        <v>3855.6849999999999</v>
      </c>
      <c r="N41" s="14">
        <v>3980.0039999999999</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58F9-4715-4EA2-BA8D-BDEB6D5170B0}">
  <dimension ref="A1:T57"/>
  <sheetViews>
    <sheetView showGridLines="0" workbookViewId="0">
      <pane ySplit="5" topLeftCell="A6" activePane="bottomLeft" state="frozen"/>
      <selection pane="bottomLeft" sqref="A1:R1"/>
    </sheetView>
  </sheetViews>
  <sheetFormatPr defaultRowHeight="14.5"/>
  <cols>
    <col min="1" max="1" width="12.453125" bestFit="1" customWidth="1"/>
    <col min="2" max="2" width="28.1796875" bestFit="1" customWidth="1"/>
    <col min="3" max="21" width="6.54296875" bestFit="1" customWidth="1"/>
  </cols>
  <sheetData>
    <row r="1" spans="1:20" ht="23.5">
      <c r="A1" s="100" t="s">
        <v>219</v>
      </c>
      <c r="B1" s="100"/>
      <c r="C1" s="100"/>
      <c r="D1" s="100"/>
      <c r="E1" s="100"/>
      <c r="F1" s="100"/>
      <c r="G1" s="100"/>
      <c r="H1" s="100"/>
      <c r="I1" s="100"/>
      <c r="J1" s="100"/>
      <c r="K1" s="100"/>
      <c r="L1" s="100"/>
      <c r="M1" s="100"/>
      <c r="N1" s="100"/>
      <c r="O1" s="100"/>
      <c r="P1" s="100"/>
      <c r="Q1" s="100"/>
      <c r="R1" s="100"/>
      <c r="S1" s="17"/>
      <c r="T1" s="17"/>
    </row>
    <row r="4" spans="1:20">
      <c r="A4" s="10" t="s">
        <v>232</v>
      </c>
    </row>
    <row r="5" spans="1:20">
      <c r="C5">
        <v>2014</v>
      </c>
      <c r="D5">
        <v>2015</v>
      </c>
      <c r="E5">
        <v>2016</v>
      </c>
      <c r="F5">
        <v>2017</v>
      </c>
      <c r="G5">
        <v>2018</v>
      </c>
      <c r="H5">
        <v>2019</v>
      </c>
      <c r="I5">
        <v>2020</v>
      </c>
      <c r="J5">
        <v>2021</v>
      </c>
      <c r="K5">
        <v>2022</v>
      </c>
      <c r="L5">
        <v>2023</v>
      </c>
      <c r="M5">
        <v>2024</v>
      </c>
      <c r="N5">
        <v>2025</v>
      </c>
    </row>
    <row r="6" spans="1:20">
      <c r="A6" t="s">
        <v>207</v>
      </c>
      <c r="B6" t="s">
        <v>171</v>
      </c>
      <c r="C6" s="14">
        <v>1067.5784000000001</v>
      </c>
      <c r="D6" s="14">
        <v>1068.2108000000001</v>
      </c>
      <c r="E6" s="14">
        <v>1095.5859</v>
      </c>
      <c r="F6" s="14">
        <v>1124.123</v>
      </c>
      <c r="G6" s="14">
        <v>1158.0977</v>
      </c>
      <c r="H6" s="14">
        <v>1186.3295000000001</v>
      </c>
      <c r="I6" s="14">
        <v>1221.9521</v>
      </c>
      <c r="J6" s="14">
        <v>1230.1881000000001</v>
      </c>
      <c r="K6" s="14">
        <v>1228.9683</v>
      </c>
      <c r="L6" s="14">
        <v>1219.4084</v>
      </c>
      <c r="M6" s="14">
        <v>1282.9718</v>
      </c>
      <c r="N6" s="14">
        <v>1332.7132999999999</v>
      </c>
    </row>
    <row r="7" spans="1:20">
      <c r="B7" t="s">
        <v>163</v>
      </c>
      <c r="C7" s="14">
        <v>9860.4892999999993</v>
      </c>
      <c r="D7" s="14">
        <v>9996.7397000000001</v>
      </c>
      <c r="E7" s="14">
        <v>10102.4676</v>
      </c>
      <c r="F7" s="14">
        <v>10244.1818</v>
      </c>
      <c r="G7" s="14">
        <v>10358.872300000001</v>
      </c>
      <c r="H7" s="14">
        <v>10639.629499999999</v>
      </c>
      <c r="I7" s="14">
        <v>10767.8727</v>
      </c>
      <c r="J7" s="14">
        <v>10808.7942</v>
      </c>
      <c r="K7" s="14">
        <v>10889.8914</v>
      </c>
      <c r="L7" s="14">
        <v>10857.8969</v>
      </c>
      <c r="M7" s="14">
        <v>11225.4447</v>
      </c>
      <c r="N7" s="14">
        <v>11638.1605</v>
      </c>
    </row>
    <row r="8" spans="1:20">
      <c r="B8" t="s">
        <v>176</v>
      </c>
      <c r="C8" s="14">
        <v>2796.2910999999999</v>
      </c>
      <c r="D8" s="14">
        <v>2864.4288999999999</v>
      </c>
      <c r="E8" s="14">
        <v>2903.9533000000001</v>
      </c>
      <c r="F8" s="14">
        <v>2963.8357000000001</v>
      </c>
      <c r="G8" s="14">
        <v>2995.6577000000002</v>
      </c>
      <c r="H8" s="14">
        <v>3061.4103</v>
      </c>
      <c r="I8" s="14">
        <v>3136.0540000000001</v>
      </c>
      <c r="J8" s="14">
        <v>3158.3775999999998</v>
      </c>
      <c r="K8" s="14">
        <v>3159.0432000000001</v>
      </c>
      <c r="L8" s="14">
        <v>3185.7172</v>
      </c>
      <c r="M8" s="14">
        <v>3321.2262999999998</v>
      </c>
      <c r="N8" s="14">
        <v>3434.933</v>
      </c>
    </row>
    <row r="9" spans="1:20">
      <c r="B9" t="s">
        <v>164</v>
      </c>
      <c r="C9" s="14">
        <v>1927.7192</v>
      </c>
      <c r="D9" s="14">
        <v>1965.3107</v>
      </c>
      <c r="E9" s="14">
        <v>1997.1581000000001</v>
      </c>
      <c r="F9" s="14">
        <v>2044.6431</v>
      </c>
      <c r="G9" s="14">
        <v>2053.1669000000002</v>
      </c>
      <c r="H9" s="14">
        <v>2096.9014000000002</v>
      </c>
      <c r="I9" s="14">
        <v>2123.1756</v>
      </c>
      <c r="J9" s="14">
        <v>2187.0418</v>
      </c>
      <c r="K9" s="14">
        <v>2200.3755000000001</v>
      </c>
      <c r="L9" s="14">
        <v>2206.9056999999998</v>
      </c>
      <c r="M9" s="14">
        <v>2274.5875999999998</v>
      </c>
      <c r="N9" s="14">
        <v>2356.8247000000001</v>
      </c>
    </row>
    <row r="10" spans="1:20">
      <c r="B10" t="s">
        <v>167</v>
      </c>
      <c r="C10" s="14">
        <v>357.75580000000002</v>
      </c>
      <c r="D10" s="14">
        <v>361.84789999999998</v>
      </c>
      <c r="E10" s="14">
        <v>354.94459999999998</v>
      </c>
      <c r="F10" s="14">
        <v>357.94970000000001</v>
      </c>
      <c r="G10" s="14">
        <v>360.07119999999998</v>
      </c>
      <c r="H10" s="14">
        <v>363.471</v>
      </c>
      <c r="I10" s="14">
        <v>368.3186</v>
      </c>
      <c r="J10" s="14">
        <v>377.35289999999998</v>
      </c>
      <c r="K10" s="14">
        <v>356.73230000000001</v>
      </c>
      <c r="L10" s="14">
        <v>366.67</v>
      </c>
      <c r="M10" s="14">
        <v>367.17910000000001</v>
      </c>
      <c r="N10" s="14">
        <v>373.18389999999999</v>
      </c>
    </row>
    <row r="11" spans="1:20">
      <c r="B11" t="s">
        <v>168</v>
      </c>
      <c r="C11" s="14">
        <v>1139.5843</v>
      </c>
      <c r="D11" s="14">
        <v>1132.7718</v>
      </c>
      <c r="E11" s="14">
        <v>1149.5630000000001</v>
      </c>
      <c r="F11" s="14">
        <v>1181.8403000000001</v>
      </c>
      <c r="G11" s="14">
        <v>1187.0724</v>
      </c>
      <c r="H11" s="14">
        <v>1210.4138</v>
      </c>
      <c r="I11" s="14">
        <v>1220.7594999999999</v>
      </c>
      <c r="J11" s="14">
        <v>1237.1415999999999</v>
      </c>
      <c r="K11" s="14">
        <v>1256.6608000000001</v>
      </c>
      <c r="L11" s="14">
        <v>1248.8208</v>
      </c>
      <c r="M11" s="14">
        <v>1261.4503999999999</v>
      </c>
      <c r="N11" s="14">
        <v>1288.7149999999999</v>
      </c>
    </row>
    <row r="12" spans="1:20">
      <c r="B12" t="s">
        <v>174</v>
      </c>
      <c r="C12" s="14">
        <v>758.33019999999999</v>
      </c>
      <c r="D12" s="14">
        <v>766.11670000000004</v>
      </c>
      <c r="E12" s="14">
        <v>787.86559999999997</v>
      </c>
      <c r="F12" s="14">
        <v>786.74480000000005</v>
      </c>
      <c r="G12" s="14">
        <v>797.89530000000002</v>
      </c>
      <c r="H12" s="14">
        <v>823.04600000000005</v>
      </c>
      <c r="I12" s="14">
        <v>836.31460000000004</v>
      </c>
      <c r="J12" s="14">
        <v>856.75109999999995</v>
      </c>
      <c r="K12" s="14">
        <v>851.46349999999995</v>
      </c>
      <c r="L12" s="14">
        <v>832.83969999999999</v>
      </c>
      <c r="M12" s="14">
        <v>838.26430000000005</v>
      </c>
      <c r="N12" s="14">
        <v>853.66819999999996</v>
      </c>
    </row>
    <row r="13" spans="1:20">
      <c r="B13" t="s">
        <v>263</v>
      </c>
      <c r="C13" s="14">
        <v>1548.9196999999999</v>
      </c>
      <c r="D13" s="14">
        <v>1545.1396</v>
      </c>
      <c r="E13" s="14">
        <v>1574.8003000000001</v>
      </c>
      <c r="F13" s="14">
        <v>1595.9412</v>
      </c>
      <c r="G13" s="14">
        <v>1613.6552999999999</v>
      </c>
      <c r="H13" s="14">
        <v>1650.4239</v>
      </c>
      <c r="I13" s="14">
        <v>1684.5608</v>
      </c>
      <c r="J13" s="14">
        <v>1697.9903999999999</v>
      </c>
      <c r="K13" s="14">
        <v>1711.5459000000001</v>
      </c>
      <c r="L13" s="14">
        <v>1714.1579999999999</v>
      </c>
      <c r="M13" s="14">
        <v>1766.3373999999999</v>
      </c>
      <c r="N13" s="14">
        <v>1797.9088999999999</v>
      </c>
    </row>
    <row r="14" spans="1:20">
      <c r="B14" t="s">
        <v>177</v>
      </c>
      <c r="C14" s="14">
        <v>3011.3132999999998</v>
      </c>
      <c r="D14" s="14">
        <v>3032.7680999999998</v>
      </c>
      <c r="E14" s="14">
        <v>3077.3858</v>
      </c>
      <c r="F14" s="14">
        <v>3093.2732999999998</v>
      </c>
      <c r="G14" s="14">
        <v>3134.8334</v>
      </c>
      <c r="H14" s="14">
        <v>3165.9229</v>
      </c>
      <c r="I14" s="14">
        <v>3184.5646000000002</v>
      </c>
      <c r="J14" s="14">
        <v>3210.3348999999998</v>
      </c>
      <c r="K14" s="14">
        <v>3140.924</v>
      </c>
      <c r="L14" s="14">
        <v>3128.1783999999998</v>
      </c>
      <c r="M14" s="14">
        <v>3204.8928000000001</v>
      </c>
      <c r="N14" s="14">
        <v>3287.5210999999999</v>
      </c>
    </row>
    <row r="15" spans="1:20">
      <c r="B15" t="s">
        <v>175</v>
      </c>
      <c r="C15" s="14">
        <v>322.44</v>
      </c>
      <c r="D15" s="14">
        <v>325.74020000000002</v>
      </c>
      <c r="E15" s="14">
        <v>312.32510000000002</v>
      </c>
      <c r="F15" s="14">
        <v>324.31450000000001</v>
      </c>
      <c r="G15" s="14">
        <v>325.74590000000001</v>
      </c>
      <c r="H15" s="14">
        <v>327.8057</v>
      </c>
      <c r="I15" s="14">
        <v>339.8895</v>
      </c>
      <c r="J15" s="14">
        <v>345.52699999999999</v>
      </c>
      <c r="K15" s="14">
        <v>353.07100000000003</v>
      </c>
      <c r="L15" s="14">
        <v>344.13510000000002</v>
      </c>
      <c r="M15" s="14">
        <v>328.70030000000003</v>
      </c>
      <c r="N15" s="14">
        <v>332.84910000000002</v>
      </c>
    </row>
    <row r="16" spans="1:20">
      <c r="B16" t="s">
        <v>170</v>
      </c>
      <c r="C16" s="14">
        <v>289.68939999999998</v>
      </c>
      <c r="D16" s="14">
        <v>288.30790000000002</v>
      </c>
      <c r="E16" s="14">
        <v>296.4631</v>
      </c>
      <c r="F16" s="14">
        <v>305.37610000000001</v>
      </c>
      <c r="G16" s="14">
        <v>307.75619999999998</v>
      </c>
      <c r="H16" s="14">
        <v>314.48450000000003</v>
      </c>
      <c r="I16" s="14">
        <v>317.25069999999999</v>
      </c>
      <c r="J16" s="14">
        <v>315.90859999999998</v>
      </c>
      <c r="K16" s="14">
        <v>306.6345</v>
      </c>
      <c r="L16" s="14">
        <v>309.08819999999997</v>
      </c>
      <c r="M16" s="14">
        <v>343.07679999999999</v>
      </c>
      <c r="N16" s="14">
        <v>356.38940000000002</v>
      </c>
    </row>
    <row r="17" spans="1:14">
      <c r="B17" t="s">
        <v>169</v>
      </c>
      <c r="C17" s="14">
        <v>270.5643</v>
      </c>
      <c r="D17" s="14">
        <v>272.1037</v>
      </c>
      <c r="E17" s="14">
        <v>278.90899999999999</v>
      </c>
      <c r="F17" s="14">
        <v>290.5575</v>
      </c>
      <c r="G17" s="14">
        <v>283.07580000000002</v>
      </c>
      <c r="H17" s="14">
        <v>284.95949999999999</v>
      </c>
      <c r="I17" s="14">
        <v>285.98309999999998</v>
      </c>
      <c r="J17" s="14">
        <v>284.23500000000001</v>
      </c>
      <c r="K17" s="14">
        <v>289.351</v>
      </c>
      <c r="L17" s="14">
        <v>281.73050000000001</v>
      </c>
      <c r="M17" s="14">
        <v>288.63159999999999</v>
      </c>
      <c r="N17" s="14">
        <v>299.077</v>
      </c>
    </row>
    <row r="18" spans="1:14">
      <c r="B18" t="s">
        <v>178</v>
      </c>
      <c r="C18" s="14">
        <v>202.15629999999999</v>
      </c>
      <c r="D18" s="14">
        <v>197.83600000000001</v>
      </c>
      <c r="E18" s="14">
        <v>190.32159999999999</v>
      </c>
      <c r="F18" s="14">
        <v>191.3741</v>
      </c>
      <c r="G18" s="14">
        <v>192.3416</v>
      </c>
      <c r="H18" s="14">
        <v>190.27090000000001</v>
      </c>
      <c r="I18" s="14">
        <v>194.30260000000001</v>
      </c>
      <c r="J18" s="14">
        <v>194.8639</v>
      </c>
      <c r="K18" s="14">
        <v>195.23840000000001</v>
      </c>
      <c r="L18" s="14">
        <v>195.47739999999999</v>
      </c>
      <c r="M18" s="14">
        <v>200.37029999999999</v>
      </c>
      <c r="N18" s="14">
        <v>199.703</v>
      </c>
    </row>
    <row r="19" spans="1:14">
      <c r="B19" t="s">
        <v>165</v>
      </c>
      <c r="C19" s="14">
        <v>3386.5585000000001</v>
      </c>
      <c r="D19" s="14">
        <v>3445.6653999999999</v>
      </c>
      <c r="E19" s="14">
        <v>3496.7008000000001</v>
      </c>
      <c r="F19" s="14">
        <v>3523.3256000000001</v>
      </c>
      <c r="G19" s="14">
        <v>3541.2671999999998</v>
      </c>
      <c r="H19" s="14">
        <v>3651.3334</v>
      </c>
      <c r="I19" s="14">
        <v>3698.4926</v>
      </c>
      <c r="J19" s="14">
        <v>3836.5612999999998</v>
      </c>
      <c r="K19" s="14">
        <v>3922.4393</v>
      </c>
      <c r="L19" s="14">
        <v>3887.8184000000001</v>
      </c>
      <c r="M19" s="14">
        <v>4054.1111000000001</v>
      </c>
      <c r="N19" s="14">
        <v>4226.3849</v>
      </c>
    </row>
    <row r="20" spans="1:14">
      <c r="B20" t="s">
        <v>172</v>
      </c>
      <c r="C20" s="14">
        <v>1117.8253999999999</v>
      </c>
      <c r="D20" s="14">
        <v>1159.4844000000001</v>
      </c>
      <c r="E20" s="14">
        <v>1180.2973999999999</v>
      </c>
      <c r="F20" s="14">
        <v>1211.0139999999999</v>
      </c>
      <c r="G20" s="14">
        <v>1221.1663000000001</v>
      </c>
      <c r="H20" s="14">
        <v>1256.8233</v>
      </c>
      <c r="I20" s="14">
        <v>1271.2116000000001</v>
      </c>
      <c r="J20" s="14">
        <v>1277.3368</v>
      </c>
      <c r="K20" s="14">
        <v>1279.8593000000001</v>
      </c>
      <c r="L20" s="14">
        <v>1264.1457</v>
      </c>
      <c r="M20" s="14">
        <v>1311.1855</v>
      </c>
      <c r="N20" s="14">
        <v>1352.2511</v>
      </c>
    </row>
    <row r="21" spans="1:14">
      <c r="B21" t="s">
        <v>173</v>
      </c>
      <c r="C21" s="14">
        <v>595.87310000000002</v>
      </c>
      <c r="D21" s="14">
        <v>604.05889999999999</v>
      </c>
      <c r="E21" s="14">
        <v>607.94349999999997</v>
      </c>
      <c r="F21" s="14">
        <v>608.65959999999995</v>
      </c>
      <c r="G21" s="14">
        <v>607.81899999999996</v>
      </c>
      <c r="H21" s="14">
        <v>613.73710000000005</v>
      </c>
      <c r="I21" s="14">
        <v>615.19190000000003</v>
      </c>
      <c r="J21" s="14">
        <v>610.0394</v>
      </c>
      <c r="K21" s="14">
        <v>615.32560000000001</v>
      </c>
      <c r="L21" s="14">
        <v>612.60469999999998</v>
      </c>
      <c r="M21" s="14">
        <v>613.44169999999997</v>
      </c>
      <c r="N21" s="14">
        <v>629.06089999999995</v>
      </c>
    </row>
    <row r="22" spans="1:14">
      <c r="B22" t="s">
        <v>166</v>
      </c>
      <c r="C22" s="14">
        <v>8.0488999999999997</v>
      </c>
      <c r="D22" s="14">
        <v>8.2098999999999993</v>
      </c>
      <c r="E22" s="14">
        <v>8.1491000000000007</v>
      </c>
      <c r="F22" s="14">
        <v>7.8798000000000004</v>
      </c>
      <c r="G22" s="14">
        <v>7.7214999999999998</v>
      </c>
      <c r="H22" s="14">
        <v>7.2858000000000001</v>
      </c>
      <c r="I22" s="14">
        <v>7.0446999999999997</v>
      </c>
      <c r="J22" s="14">
        <v>7.3292999999999999</v>
      </c>
      <c r="K22" s="14">
        <v>7.1825999999999999</v>
      </c>
      <c r="L22" s="14">
        <v>7.9557000000000002</v>
      </c>
      <c r="M22" s="14">
        <v>7.1917</v>
      </c>
      <c r="N22" s="14">
        <v>7.8754999999999997</v>
      </c>
    </row>
    <row r="23" spans="1:14">
      <c r="A23" t="s">
        <v>208</v>
      </c>
      <c r="B23" t="s">
        <v>171</v>
      </c>
      <c r="C23" s="14">
        <v>1101.3289</v>
      </c>
      <c r="D23" s="14">
        <v>1109.4949999999999</v>
      </c>
      <c r="E23" s="14">
        <v>1100.69</v>
      </c>
      <c r="F23" s="14">
        <v>1107.5799</v>
      </c>
      <c r="G23" s="14">
        <v>1075.721</v>
      </c>
      <c r="H23" s="14">
        <v>1083.23</v>
      </c>
      <c r="I23" s="14">
        <v>1106.576</v>
      </c>
      <c r="J23" s="14">
        <v>1145.5069000000001</v>
      </c>
      <c r="K23" s="14">
        <v>1157.8175000000001</v>
      </c>
      <c r="L23" s="14">
        <v>1170.0029</v>
      </c>
      <c r="M23" s="14">
        <v>1197.3149000000001</v>
      </c>
      <c r="N23" s="14">
        <v>1217.1832999999999</v>
      </c>
    </row>
    <row r="24" spans="1:14">
      <c r="B24" t="s">
        <v>163</v>
      </c>
      <c r="C24" s="14">
        <v>6834.6464999999998</v>
      </c>
      <c r="D24" s="14">
        <v>6862.0374000000002</v>
      </c>
      <c r="E24" s="14">
        <v>6897.7946000000002</v>
      </c>
      <c r="F24" s="14">
        <v>6965.5167000000001</v>
      </c>
      <c r="G24" s="14">
        <v>6993.0160999999998</v>
      </c>
      <c r="H24" s="14">
        <v>7092.5798000000004</v>
      </c>
      <c r="I24" s="14">
        <v>7161.6030000000001</v>
      </c>
      <c r="J24" s="14">
        <v>7243.9741999999997</v>
      </c>
      <c r="K24" s="14">
        <v>7320.8101999999999</v>
      </c>
      <c r="L24" s="14">
        <v>7398.2991000000002</v>
      </c>
      <c r="M24" s="14">
        <v>7748.9013999999997</v>
      </c>
      <c r="N24" s="14">
        <v>8087.87</v>
      </c>
    </row>
    <row r="25" spans="1:14">
      <c r="B25" t="s">
        <v>176</v>
      </c>
      <c r="C25" s="14">
        <v>2273.8739</v>
      </c>
      <c r="D25" s="14">
        <v>2263.2386999999999</v>
      </c>
      <c r="E25" s="14">
        <v>2315.777</v>
      </c>
      <c r="F25" s="14">
        <v>2355.7712000000001</v>
      </c>
      <c r="G25" s="14">
        <v>2384.7471</v>
      </c>
      <c r="H25" s="14">
        <v>2441.5248000000001</v>
      </c>
      <c r="I25" s="14">
        <v>2508.6869000000002</v>
      </c>
      <c r="J25" s="14">
        <v>2600.2532000000001</v>
      </c>
      <c r="K25" s="14">
        <v>2655.0324000000001</v>
      </c>
      <c r="L25" s="14">
        <v>2669.1477</v>
      </c>
      <c r="M25" s="14">
        <v>2828.6813000000002</v>
      </c>
      <c r="N25" s="14">
        <v>2887.3508999999999</v>
      </c>
    </row>
    <row r="26" spans="1:14">
      <c r="B26" t="s">
        <v>164</v>
      </c>
      <c r="C26" s="14">
        <v>1581.9809</v>
      </c>
      <c r="D26" s="14">
        <v>1587.4247</v>
      </c>
      <c r="E26" s="14">
        <v>1622.3822</v>
      </c>
      <c r="F26" s="14">
        <v>1641.1</v>
      </c>
      <c r="G26" s="14">
        <v>1683.8398999999999</v>
      </c>
      <c r="H26" s="14">
        <v>1687.2466999999999</v>
      </c>
      <c r="I26" s="14">
        <v>1732.2044000000001</v>
      </c>
      <c r="J26" s="14">
        <v>1772.1068</v>
      </c>
      <c r="K26" s="14">
        <v>1798.0617</v>
      </c>
      <c r="L26" s="14">
        <v>1802.5154</v>
      </c>
      <c r="M26" s="14">
        <v>1884.2626</v>
      </c>
      <c r="N26" s="14">
        <v>1931.6557</v>
      </c>
    </row>
    <row r="27" spans="1:14">
      <c r="B27" t="s">
        <v>167</v>
      </c>
      <c r="C27" s="14">
        <v>361.19450000000001</v>
      </c>
      <c r="D27" s="14">
        <v>365.60059999999999</v>
      </c>
      <c r="E27" s="14">
        <v>366.10879999999997</v>
      </c>
      <c r="F27" s="14">
        <v>374.1189</v>
      </c>
      <c r="G27" s="14">
        <v>371.10359999999997</v>
      </c>
      <c r="H27" s="14">
        <v>374.161</v>
      </c>
      <c r="I27" s="14">
        <v>382.81420000000003</v>
      </c>
      <c r="J27" s="14">
        <v>384.84750000000003</v>
      </c>
      <c r="K27" s="14">
        <v>407.05489999999998</v>
      </c>
      <c r="L27" s="14">
        <v>407.09219999999999</v>
      </c>
      <c r="M27" s="14">
        <v>437.67360000000002</v>
      </c>
      <c r="N27" s="14">
        <v>450.21440000000001</v>
      </c>
    </row>
    <row r="28" spans="1:14">
      <c r="B28" t="s">
        <v>168</v>
      </c>
      <c r="C28" s="14">
        <v>944.33979999999997</v>
      </c>
      <c r="D28" s="14">
        <v>943.38149999999996</v>
      </c>
      <c r="E28" s="14">
        <v>957.43849999999998</v>
      </c>
      <c r="F28" s="14">
        <v>959.49429999999995</v>
      </c>
      <c r="G28" s="14">
        <v>970.98239999999998</v>
      </c>
      <c r="H28" s="14">
        <v>981.15409999999997</v>
      </c>
      <c r="I28" s="14">
        <v>978.86040000000003</v>
      </c>
      <c r="J28" s="14">
        <v>1001.1462</v>
      </c>
      <c r="K28" s="14">
        <v>1024.6246000000001</v>
      </c>
      <c r="L28" s="14">
        <v>1013.07</v>
      </c>
      <c r="M28" s="14">
        <v>1035.7161000000001</v>
      </c>
      <c r="N28" s="14">
        <v>1052.9184</v>
      </c>
    </row>
    <row r="29" spans="1:14">
      <c r="B29" t="s">
        <v>174</v>
      </c>
      <c r="C29" s="14">
        <v>632.70159999999998</v>
      </c>
      <c r="D29" s="14">
        <v>636.1567</v>
      </c>
      <c r="E29" s="14">
        <v>637.65359999999998</v>
      </c>
      <c r="F29" s="14">
        <v>634.02390000000003</v>
      </c>
      <c r="G29" s="14">
        <v>634.54579999999999</v>
      </c>
      <c r="H29" s="14">
        <v>637.04349999999999</v>
      </c>
      <c r="I29" s="14">
        <v>649.21169999999995</v>
      </c>
      <c r="J29" s="14">
        <v>671.50199999999995</v>
      </c>
      <c r="K29" s="14">
        <v>682.95799999999997</v>
      </c>
      <c r="L29" s="14">
        <v>709.19749999999999</v>
      </c>
      <c r="M29" s="14">
        <v>729.84249999999997</v>
      </c>
      <c r="N29" s="14">
        <v>746.04539999999997</v>
      </c>
    </row>
    <row r="30" spans="1:14">
      <c r="B30" t="s">
        <v>263</v>
      </c>
      <c r="C30" s="14">
        <v>1278.2662</v>
      </c>
      <c r="D30" s="14">
        <v>1279.0286000000001</v>
      </c>
      <c r="E30" s="14">
        <v>1277.5778</v>
      </c>
      <c r="F30" s="14">
        <v>1296.7708</v>
      </c>
      <c r="G30" s="14">
        <v>1299.3614</v>
      </c>
      <c r="H30" s="14">
        <v>1313.4981</v>
      </c>
      <c r="I30" s="14">
        <v>1330.5626</v>
      </c>
      <c r="J30" s="14">
        <v>1358.2583999999999</v>
      </c>
      <c r="K30" s="14">
        <v>1364.6606999999999</v>
      </c>
      <c r="L30" s="14">
        <v>1363.2501</v>
      </c>
      <c r="M30" s="14">
        <v>1410.5705</v>
      </c>
      <c r="N30" s="14">
        <v>1448.1434999999999</v>
      </c>
    </row>
    <row r="31" spans="1:14">
      <c r="B31" t="s">
        <v>177</v>
      </c>
      <c r="C31" s="14">
        <v>2248.1840000000002</v>
      </c>
      <c r="D31" s="14">
        <v>2270.2768000000001</v>
      </c>
      <c r="E31" s="14">
        <v>2271.8233</v>
      </c>
      <c r="F31" s="14">
        <v>2303.3499000000002</v>
      </c>
      <c r="G31" s="14">
        <v>2311.5983000000001</v>
      </c>
      <c r="H31" s="14">
        <v>2328.0763999999999</v>
      </c>
      <c r="I31" s="14">
        <v>2346.6053000000002</v>
      </c>
      <c r="J31" s="14">
        <v>2398.2494999999999</v>
      </c>
      <c r="K31" s="14">
        <v>2392.0846000000001</v>
      </c>
      <c r="L31" s="14">
        <v>2384.645</v>
      </c>
      <c r="M31" s="14">
        <v>2453.9782</v>
      </c>
      <c r="N31" s="14">
        <v>2505.5524999999998</v>
      </c>
    </row>
    <row r="32" spans="1:14">
      <c r="B32" t="s">
        <v>175</v>
      </c>
      <c r="C32" s="14">
        <v>236.8734</v>
      </c>
      <c r="D32" s="14">
        <v>240.84200000000001</v>
      </c>
      <c r="E32" s="14">
        <v>239.93129999999999</v>
      </c>
      <c r="F32" s="14">
        <v>245.2764</v>
      </c>
      <c r="G32" s="14">
        <v>255.4761</v>
      </c>
      <c r="H32" s="14">
        <v>257.08069999999998</v>
      </c>
      <c r="I32" s="14">
        <v>252.3954</v>
      </c>
      <c r="J32" s="14">
        <v>255.2131</v>
      </c>
      <c r="K32" s="14">
        <v>251.2587</v>
      </c>
      <c r="L32" s="14">
        <v>252.00700000000001</v>
      </c>
      <c r="M32" s="14">
        <v>261.64670000000001</v>
      </c>
      <c r="N32" s="14">
        <v>260.5539</v>
      </c>
    </row>
    <row r="33" spans="1:14">
      <c r="B33" t="s">
        <v>170</v>
      </c>
      <c r="C33" s="14">
        <v>278.55650000000003</v>
      </c>
      <c r="D33" s="14">
        <v>275.63470000000001</v>
      </c>
      <c r="E33" s="14">
        <v>276.56939999999997</v>
      </c>
      <c r="F33" s="14">
        <v>276.62139999999999</v>
      </c>
      <c r="G33" s="14">
        <v>275.73079999999999</v>
      </c>
      <c r="H33" s="14">
        <v>270.90530000000001</v>
      </c>
      <c r="I33" s="14">
        <v>280.66149999999999</v>
      </c>
      <c r="J33" s="14">
        <v>286.33960000000002</v>
      </c>
      <c r="K33" s="14">
        <v>285.10759999999999</v>
      </c>
      <c r="L33" s="14">
        <v>283.84289999999999</v>
      </c>
      <c r="M33" s="14">
        <v>283.15710000000001</v>
      </c>
      <c r="N33" s="14">
        <v>295.39370000000002</v>
      </c>
    </row>
    <row r="34" spans="1:14">
      <c r="B34" t="s">
        <v>169</v>
      </c>
      <c r="C34" s="14">
        <v>175.86619999999999</v>
      </c>
      <c r="D34" s="14">
        <v>177.59620000000001</v>
      </c>
      <c r="E34" s="14">
        <v>174.8655</v>
      </c>
      <c r="F34" s="14">
        <v>174.65199999999999</v>
      </c>
      <c r="G34" s="14">
        <v>176.92009999999999</v>
      </c>
      <c r="H34" s="14">
        <v>185.46719999999999</v>
      </c>
      <c r="I34" s="14">
        <v>197.49090000000001</v>
      </c>
      <c r="J34" s="14">
        <v>202.3458</v>
      </c>
      <c r="K34" s="14">
        <v>201.6447</v>
      </c>
      <c r="L34" s="14">
        <v>204.1601</v>
      </c>
      <c r="M34" s="14">
        <v>207.74279999999999</v>
      </c>
      <c r="N34" s="14">
        <v>210.37389999999999</v>
      </c>
    </row>
    <row r="35" spans="1:14">
      <c r="B35" t="s">
        <v>178</v>
      </c>
      <c r="C35" s="14">
        <v>180.7158</v>
      </c>
      <c r="D35" s="14">
        <v>174.6439</v>
      </c>
      <c r="E35" s="14">
        <v>169.58369999999999</v>
      </c>
      <c r="F35" s="14">
        <v>165.96340000000001</v>
      </c>
      <c r="G35" s="14">
        <v>166.6696</v>
      </c>
      <c r="H35" s="14">
        <v>161.0027</v>
      </c>
      <c r="I35" s="14">
        <v>169.83879999999999</v>
      </c>
      <c r="J35" s="14">
        <v>175.84309999999999</v>
      </c>
      <c r="K35" s="14">
        <v>174.66730000000001</v>
      </c>
      <c r="L35" s="14">
        <v>172.97739999999999</v>
      </c>
      <c r="M35" s="14">
        <v>172.6858</v>
      </c>
      <c r="N35" s="14">
        <v>179.15049999999999</v>
      </c>
    </row>
    <row r="36" spans="1:14">
      <c r="B36" t="s">
        <v>165</v>
      </c>
      <c r="C36" s="14">
        <v>2658.1167999999998</v>
      </c>
      <c r="D36" s="14">
        <v>2672.3562999999999</v>
      </c>
      <c r="E36" s="14">
        <v>2697.0444000000002</v>
      </c>
      <c r="F36" s="14">
        <v>2787.5252</v>
      </c>
      <c r="G36" s="14">
        <v>2849.0805</v>
      </c>
      <c r="H36" s="14">
        <v>2905.8384000000001</v>
      </c>
      <c r="I36" s="14">
        <v>2924.1655999999998</v>
      </c>
      <c r="J36" s="14">
        <v>2974.0581999999999</v>
      </c>
      <c r="K36" s="14">
        <v>3020.0738999999999</v>
      </c>
      <c r="L36" s="14">
        <v>3057.2334000000001</v>
      </c>
      <c r="M36" s="14">
        <v>3166.1626000000001</v>
      </c>
      <c r="N36" s="14">
        <v>3278.721</v>
      </c>
    </row>
    <row r="37" spans="1:14">
      <c r="B37" t="s">
        <v>172</v>
      </c>
      <c r="C37" s="14">
        <v>1089.1967</v>
      </c>
      <c r="D37" s="14">
        <v>1091.6621</v>
      </c>
      <c r="E37" s="14">
        <v>1089.3666000000001</v>
      </c>
      <c r="F37" s="14">
        <v>1108.4487999999999</v>
      </c>
      <c r="G37" s="14">
        <v>1129.6134999999999</v>
      </c>
      <c r="H37" s="14">
        <v>1143.9960000000001</v>
      </c>
      <c r="I37" s="14">
        <v>1153.8061</v>
      </c>
      <c r="J37" s="14">
        <v>1168.3257000000001</v>
      </c>
      <c r="K37" s="14">
        <v>1193.5719999999999</v>
      </c>
      <c r="L37" s="14">
        <v>1183.4341999999999</v>
      </c>
      <c r="M37" s="14">
        <v>1234.4722999999999</v>
      </c>
      <c r="N37" s="14">
        <v>1285.7438999999999</v>
      </c>
    </row>
    <row r="38" spans="1:14">
      <c r="B38" t="s">
        <v>173</v>
      </c>
      <c r="C38" s="14">
        <v>612.39620000000002</v>
      </c>
      <c r="D38" s="14">
        <v>611.38559999999995</v>
      </c>
      <c r="E38" s="14">
        <v>611.48739999999998</v>
      </c>
      <c r="F38" s="14">
        <v>602.29240000000004</v>
      </c>
      <c r="G38" s="14">
        <v>601.6499</v>
      </c>
      <c r="H38" s="14">
        <v>620.00789999999995</v>
      </c>
      <c r="I38" s="14">
        <v>634.4067</v>
      </c>
      <c r="J38" s="14">
        <v>649.26279999999997</v>
      </c>
      <c r="K38" s="14">
        <v>656.12469999999996</v>
      </c>
      <c r="L38" s="14">
        <v>654.74879999999996</v>
      </c>
      <c r="M38" s="14">
        <v>680.53129999999999</v>
      </c>
      <c r="N38" s="14">
        <v>696.08399999999995</v>
      </c>
    </row>
    <row r="39" spans="1:14">
      <c r="B39" t="s">
        <v>43</v>
      </c>
      <c r="C39" s="14">
        <v>294.72809999999998</v>
      </c>
      <c r="D39" s="14">
        <v>289.36380000000003</v>
      </c>
      <c r="E39" s="14">
        <v>278.73649999999998</v>
      </c>
      <c r="F39" s="14">
        <v>285.77530000000002</v>
      </c>
      <c r="G39" s="14">
        <v>285.25920000000002</v>
      </c>
      <c r="H39" s="14">
        <v>290.09829999999999</v>
      </c>
      <c r="I39" s="14">
        <v>306.40210000000002</v>
      </c>
      <c r="J39" s="14">
        <v>330.84730000000002</v>
      </c>
      <c r="K39" s="14">
        <v>388.68740000000003</v>
      </c>
      <c r="L39" s="14">
        <v>418.67630000000003</v>
      </c>
      <c r="M39" s="14">
        <v>434.08969999999999</v>
      </c>
      <c r="N39" s="14">
        <v>474.15039999999999</v>
      </c>
    </row>
    <row r="40" spans="1:14">
      <c r="A40" t="s">
        <v>37</v>
      </c>
      <c r="B40" t="s">
        <v>171</v>
      </c>
      <c r="C40" s="14">
        <v>2168.9072999999999</v>
      </c>
      <c r="D40" s="14">
        <v>2177.7058000000002</v>
      </c>
      <c r="E40" s="14">
        <v>2196.2759000000001</v>
      </c>
      <c r="F40" s="14">
        <v>2231.7029000000002</v>
      </c>
      <c r="G40" s="14">
        <v>2233.8186999999998</v>
      </c>
      <c r="H40" s="14">
        <v>2269.5594999999998</v>
      </c>
      <c r="I40" s="14">
        <v>2328.5281</v>
      </c>
      <c r="J40" s="14">
        <v>2375.6950000000002</v>
      </c>
      <c r="K40" s="14">
        <v>2386.7858000000001</v>
      </c>
      <c r="L40" s="14">
        <v>2389.4113000000002</v>
      </c>
      <c r="M40" s="14">
        <v>2480.2867000000001</v>
      </c>
      <c r="N40" s="14">
        <v>2549.8966</v>
      </c>
    </row>
    <row r="41" spans="1:14">
      <c r="B41" t="s">
        <v>163</v>
      </c>
      <c r="C41" s="14">
        <v>16695.1358</v>
      </c>
      <c r="D41" s="14">
        <v>16858.777099999999</v>
      </c>
      <c r="E41" s="14">
        <v>17000.262200000001</v>
      </c>
      <c r="F41" s="14">
        <v>17209.698499999999</v>
      </c>
      <c r="G41" s="14">
        <v>17351.8884</v>
      </c>
      <c r="H41" s="14">
        <v>17732.209299999999</v>
      </c>
      <c r="I41" s="14">
        <v>17929.475699999999</v>
      </c>
      <c r="J41" s="14">
        <v>18052.768400000001</v>
      </c>
      <c r="K41" s="14">
        <v>18210.7016</v>
      </c>
      <c r="L41" s="14">
        <v>18256.196</v>
      </c>
      <c r="M41" s="14">
        <v>18974.346099999999</v>
      </c>
      <c r="N41" s="14">
        <v>19726.030500000001</v>
      </c>
    </row>
    <row r="42" spans="1:14">
      <c r="B42" t="s">
        <v>176</v>
      </c>
      <c r="C42" s="14">
        <v>5070.165</v>
      </c>
      <c r="D42" s="14">
        <v>5127.6675999999998</v>
      </c>
      <c r="E42" s="14">
        <v>5219.7303000000002</v>
      </c>
      <c r="F42" s="14">
        <v>5319.6068999999998</v>
      </c>
      <c r="G42" s="14">
        <v>5380.4048000000003</v>
      </c>
      <c r="H42" s="14">
        <v>5502.9350999999997</v>
      </c>
      <c r="I42" s="14">
        <v>5644.7408999999998</v>
      </c>
      <c r="J42" s="14">
        <v>5758.6307999999999</v>
      </c>
      <c r="K42" s="14">
        <v>5814.0756000000001</v>
      </c>
      <c r="L42" s="14">
        <v>5854.8648999999996</v>
      </c>
      <c r="M42" s="14">
        <v>6149.9075999999995</v>
      </c>
      <c r="N42" s="14">
        <v>6322.2839000000004</v>
      </c>
    </row>
    <row r="43" spans="1:14">
      <c r="B43" t="s">
        <v>164</v>
      </c>
      <c r="C43" s="14">
        <v>3509.7001</v>
      </c>
      <c r="D43" s="14">
        <v>3552.7354</v>
      </c>
      <c r="E43" s="14">
        <v>3619.5403000000001</v>
      </c>
      <c r="F43" s="14">
        <v>3685.7431000000001</v>
      </c>
      <c r="G43" s="14">
        <v>3737.0068000000001</v>
      </c>
      <c r="H43" s="14">
        <v>3784.1480999999999</v>
      </c>
      <c r="I43" s="14">
        <v>3855.38</v>
      </c>
      <c r="J43" s="14">
        <v>3959.1486</v>
      </c>
      <c r="K43" s="14">
        <v>3998.4371999999998</v>
      </c>
      <c r="L43" s="14">
        <v>4009.4211</v>
      </c>
      <c r="M43" s="14">
        <v>4158.8501999999999</v>
      </c>
      <c r="N43" s="14">
        <v>4288.4804000000004</v>
      </c>
    </row>
    <row r="44" spans="1:14">
      <c r="B44" t="s">
        <v>167</v>
      </c>
      <c r="C44" s="14">
        <v>718.95029999999997</v>
      </c>
      <c r="D44" s="14">
        <v>727.44849999999997</v>
      </c>
      <c r="E44" s="14">
        <v>721.05340000000001</v>
      </c>
      <c r="F44" s="14">
        <v>732.06859999999995</v>
      </c>
      <c r="G44" s="14">
        <v>731.1748</v>
      </c>
      <c r="H44" s="14">
        <v>737.63199999999995</v>
      </c>
      <c r="I44" s="14">
        <v>751.13279999999997</v>
      </c>
      <c r="J44" s="14">
        <v>762.20039999999995</v>
      </c>
      <c r="K44" s="14">
        <v>763.78719999999998</v>
      </c>
      <c r="L44" s="14">
        <v>773.76220000000001</v>
      </c>
      <c r="M44" s="14">
        <v>804.85270000000003</v>
      </c>
      <c r="N44" s="14">
        <v>823.39829999999995</v>
      </c>
    </row>
    <row r="45" spans="1:14">
      <c r="B45" t="s">
        <v>168</v>
      </c>
      <c r="C45" s="14">
        <v>2083.9241000000002</v>
      </c>
      <c r="D45" s="14">
        <v>2076.1532999999999</v>
      </c>
      <c r="E45" s="14">
        <v>2107.0014999999999</v>
      </c>
      <c r="F45" s="14">
        <v>2141.3346000000001</v>
      </c>
      <c r="G45" s="14">
        <v>2158.0547999999999</v>
      </c>
      <c r="H45" s="14">
        <v>2191.5679</v>
      </c>
      <c r="I45" s="14">
        <v>2199.6199000000001</v>
      </c>
      <c r="J45" s="14">
        <v>2238.2878000000001</v>
      </c>
      <c r="K45" s="14">
        <v>2281.2854000000002</v>
      </c>
      <c r="L45" s="14">
        <v>2261.8908000000001</v>
      </c>
      <c r="M45" s="14">
        <v>2297.1664999999998</v>
      </c>
      <c r="N45" s="14">
        <v>2341.6334000000002</v>
      </c>
    </row>
    <row r="46" spans="1:14">
      <c r="B46" t="s">
        <v>174</v>
      </c>
      <c r="C46" s="14">
        <v>1391.0318</v>
      </c>
      <c r="D46" s="14">
        <v>1402.2734</v>
      </c>
      <c r="E46" s="14">
        <v>1425.5192</v>
      </c>
      <c r="F46" s="14">
        <v>1420.7687000000001</v>
      </c>
      <c r="G46" s="14">
        <v>1432.4411</v>
      </c>
      <c r="H46" s="14">
        <v>1460.0895</v>
      </c>
      <c r="I46" s="14">
        <v>1485.5263</v>
      </c>
      <c r="J46" s="14">
        <v>1528.2530999999999</v>
      </c>
      <c r="K46" s="14">
        <v>1534.4214999999999</v>
      </c>
      <c r="L46" s="14">
        <v>1542.0372</v>
      </c>
      <c r="M46" s="14">
        <v>1568.1068</v>
      </c>
      <c r="N46" s="14">
        <v>1599.7136</v>
      </c>
    </row>
    <row r="47" spans="1:14">
      <c r="B47" t="s">
        <v>263</v>
      </c>
      <c r="C47" s="14">
        <v>2827.1858999999999</v>
      </c>
      <c r="D47" s="14">
        <v>2824.1682000000001</v>
      </c>
      <c r="E47" s="14">
        <v>2852.3780999999999</v>
      </c>
      <c r="F47" s="14">
        <v>2892.712</v>
      </c>
      <c r="G47" s="14">
        <v>2913.0167000000001</v>
      </c>
      <c r="H47" s="14">
        <v>2963.922</v>
      </c>
      <c r="I47" s="14">
        <v>3015.1233999999999</v>
      </c>
      <c r="J47" s="14">
        <v>3056.2487999999998</v>
      </c>
      <c r="K47" s="14">
        <v>3076.2066</v>
      </c>
      <c r="L47" s="14">
        <v>3077.4081000000001</v>
      </c>
      <c r="M47" s="14">
        <v>3176.9079000000002</v>
      </c>
      <c r="N47" s="14">
        <v>3246.0524</v>
      </c>
    </row>
    <row r="48" spans="1:14">
      <c r="B48" t="s">
        <v>177</v>
      </c>
      <c r="C48" s="14">
        <v>5259.4973</v>
      </c>
      <c r="D48" s="14">
        <v>5303.0448999999999</v>
      </c>
      <c r="E48" s="14">
        <v>5349.2091</v>
      </c>
      <c r="F48" s="14">
        <v>5396.6232</v>
      </c>
      <c r="G48" s="14">
        <v>5446.4317000000001</v>
      </c>
      <c r="H48" s="14">
        <v>5493.9993000000004</v>
      </c>
      <c r="I48" s="14">
        <v>5531.1698999999999</v>
      </c>
      <c r="J48" s="14">
        <v>5608.5843999999997</v>
      </c>
      <c r="K48" s="14">
        <v>5533.0086000000001</v>
      </c>
      <c r="L48" s="14">
        <v>5512.8234000000002</v>
      </c>
      <c r="M48" s="14">
        <v>5658.8710000000001</v>
      </c>
      <c r="N48" s="14">
        <v>5793.0735999999997</v>
      </c>
    </row>
    <row r="49" spans="2:14">
      <c r="B49" t="s">
        <v>175</v>
      </c>
      <c r="C49" s="14">
        <v>559.3134</v>
      </c>
      <c r="D49" s="14">
        <v>566.58219999999994</v>
      </c>
      <c r="E49" s="14">
        <v>552.25639999999999</v>
      </c>
      <c r="F49" s="14">
        <v>569.59090000000003</v>
      </c>
      <c r="G49" s="14">
        <v>581.22199999999998</v>
      </c>
      <c r="H49" s="14">
        <v>584.88639999999998</v>
      </c>
      <c r="I49" s="14">
        <v>592.28489999999999</v>
      </c>
      <c r="J49" s="14">
        <v>600.74009999999998</v>
      </c>
      <c r="K49" s="14">
        <v>604.3297</v>
      </c>
      <c r="L49" s="14">
        <v>596.14210000000003</v>
      </c>
      <c r="M49" s="14">
        <v>590.34699999999998</v>
      </c>
      <c r="N49" s="14">
        <v>593.40300000000002</v>
      </c>
    </row>
    <row r="50" spans="2:14">
      <c r="B50" t="s">
        <v>170</v>
      </c>
      <c r="C50" s="14">
        <v>568.24590000000001</v>
      </c>
      <c r="D50" s="14">
        <v>563.94259999999997</v>
      </c>
      <c r="E50" s="14">
        <v>573.03250000000003</v>
      </c>
      <c r="F50" s="14">
        <v>581.99749999999995</v>
      </c>
      <c r="G50" s="14">
        <v>583.48699999999997</v>
      </c>
      <c r="H50" s="14">
        <v>585.38980000000004</v>
      </c>
      <c r="I50" s="14">
        <v>597.91219999999998</v>
      </c>
      <c r="J50" s="14">
        <v>602.2482</v>
      </c>
      <c r="K50" s="14">
        <v>591.74210000000005</v>
      </c>
      <c r="L50" s="14">
        <v>592.93110000000001</v>
      </c>
      <c r="M50" s="14">
        <v>626.23389999999995</v>
      </c>
      <c r="N50" s="14">
        <v>651.78309999999999</v>
      </c>
    </row>
    <row r="51" spans="2:14">
      <c r="B51" t="s">
        <v>169</v>
      </c>
      <c r="C51" s="14">
        <v>446.43049999999999</v>
      </c>
      <c r="D51" s="14">
        <v>449.69990000000001</v>
      </c>
      <c r="E51" s="14">
        <v>453.77449999999999</v>
      </c>
      <c r="F51" s="14">
        <v>465.20949999999999</v>
      </c>
      <c r="G51" s="14">
        <v>459.99590000000001</v>
      </c>
      <c r="H51" s="14">
        <v>470.42669999999998</v>
      </c>
      <c r="I51" s="14">
        <v>483.47399999999999</v>
      </c>
      <c r="J51" s="14">
        <v>486.58080000000001</v>
      </c>
      <c r="K51" s="14">
        <v>490.9957</v>
      </c>
      <c r="L51" s="14">
        <v>485.89060000000001</v>
      </c>
      <c r="M51" s="14">
        <v>496.37439999999998</v>
      </c>
      <c r="N51" s="14">
        <v>509.45089999999999</v>
      </c>
    </row>
    <row r="52" spans="2:14">
      <c r="B52" t="s">
        <v>178</v>
      </c>
      <c r="C52" s="14">
        <v>382.87209999999999</v>
      </c>
      <c r="D52" s="14">
        <v>372.47989999999999</v>
      </c>
      <c r="E52" s="14">
        <v>359.90530000000001</v>
      </c>
      <c r="F52" s="14">
        <v>357.33749999999998</v>
      </c>
      <c r="G52" s="14">
        <v>359.01119999999997</v>
      </c>
      <c r="H52" s="14">
        <v>351.27359999999999</v>
      </c>
      <c r="I52" s="14">
        <v>364.14139999999998</v>
      </c>
      <c r="J52" s="14">
        <v>370.70699999999999</v>
      </c>
      <c r="K52" s="14">
        <v>369.90570000000002</v>
      </c>
      <c r="L52" s="14">
        <v>368.45479999999998</v>
      </c>
      <c r="M52" s="14">
        <v>373.05610000000001</v>
      </c>
      <c r="N52" s="14">
        <v>378.8535</v>
      </c>
    </row>
    <row r="53" spans="2:14">
      <c r="B53" t="s">
        <v>165</v>
      </c>
      <c r="C53" s="14">
        <v>6044.6752999999999</v>
      </c>
      <c r="D53" s="14">
        <v>6118.0217000000002</v>
      </c>
      <c r="E53" s="14">
        <v>6193.7452000000003</v>
      </c>
      <c r="F53" s="14">
        <v>6310.8508000000002</v>
      </c>
      <c r="G53" s="14">
        <v>6390.3477000000003</v>
      </c>
      <c r="H53" s="14">
        <v>6557.1718000000001</v>
      </c>
      <c r="I53" s="14">
        <v>6622.6581999999999</v>
      </c>
      <c r="J53" s="14">
        <v>6810.6194999999998</v>
      </c>
      <c r="K53" s="14">
        <v>6942.5132000000003</v>
      </c>
      <c r="L53" s="14">
        <v>6945.0518000000002</v>
      </c>
      <c r="M53" s="14">
        <v>7220.2736999999997</v>
      </c>
      <c r="N53" s="14">
        <v>7505.1058999999996</v>
      </c>
    </row>
    <row r="54" spans="2:14">
      <c r="B54" t="s">
        <v>172</v>
      </c>
      <c r="C54" s="14">
        <v>2207.0221000000001</v>
      </c>
      <c r="D54" s="14">
        <v>2251.1464999999998</v>
      </c>
      <c r="E54" s="14">
        <v>2269.6640000000002</v>
      </c>
      <c r="F54" s="14">
        <v>2319.4627999999998</v>
      </c>
      <c r="G54" s="14">
        <v>2350.7797999999998</v>
      </c>
      <c r="H54" s="14">
        <v>2400.8193000000001</v>
      </c>
      <c r="I54" s="14">
        <v>2425.0176999999999</v>
      </c>
      <c r="J54" s="14">
        <v>2445.6624999999999</v>
      </c>
      <c r="K54" s="14">
        <v>2473.4313000000002</v>
      </c>
      <c r="L54" s="14">
        <v>2447.5799000000002</v>
      </c>
      <c r="M54" s="14">
        <v>2545.6578</v>
      </c>
      <c r="N54" s="14">
        <v>2637.9949999999999</v>
      </c>
    </row>
    <row r="55" spans="2:14">
      <c r="B55" t="s">
        <v>173</v>
      </c>
      <c r="C55" s="14">
        <v>1208.2692999999999</v>
      </c>
      <c r="D55" s="14">
        <v>1215.4445000000001</v>
      </c>
      <c r="E55" s="14">
        <v>1219.4309000000001</v>
      </c>
      <c r="F55" s="14">
        <v>1210.952</v>
      </c>
      <c r="G55" s="14">
        <v>1209.4689000000001</v>
      </c>
      <c r="H55" s="14">
        <v>1233.7449999999999</v>
      </c>
      <c r="I55" s="14">
        <v>1249.5986</v>
      </c>
      <c r="J55" s="14">
        <v>1259.3022000000001</v>
      </c>
      <c r="K55" s="14">
        <v>1271.4503</v>
      </c>
      <c r="L55" s="14">
        <v>1267.3534999999999</v>
      </c>
      <c r="M55" s="14">
        <v>1293.973</v>
      </c>
      <c r="N55" s="14">
        <v>1325.1449</v>
      </c>
    </row>
    <row r="56" spans="2:14">
      <c r="B56" t="s">
        <v>166</v>
      </c>
      <c r="C56" s="14">
        <v>8.0488999999999997</v>
      </c>
      <c r="D56" s="14">
        <v>8.2098999999999993</v>
      </c>
      <c r="E56" s="14">
        <v>8.1491000000000007</v>
      </c>
      <c r="F56" s="14">
        <v>7.8798000000000004</v>
      </c>
      <c r="G56" s="14">
        <v>7.7214999999999998</v>
      </c>
      <c r="H56" s="14">
        <v>7.2858000000000001</v>
      </c>
      <c r="I56" s="14">
        <v>7.0446999999999997</v>
      </c>
      <c r="J56" s="14">
        <v>7.3292999999999999</v>
      </c>
      <c r="K56" s="14">
        <v>7.1825999999999999</v>
      </c>
      <c r="L56" s="14">
        <v>7.9557000000000002</v>
      </c>
      <c r="M56" s="14">
        <v>7.1917</v>
      </c>
      <c r="N56" s="14">
        <v>7.8754999999999997</v>
      </c>
    </row>
    <row r="57" spans="2:14">
      <c r="B57" t="s">
        <v>43</v>
      </c>
      <c r="C57" s="14">
        <v>294.72809999999998</v>
      </c>
      <c r="D57" s="14">
        <v>289.36380000000003</v>
      </c>
      <c r="E57" s="14">
        <v>278.73649999999998</v>
      </c>
      <c r="F57" s="14">
        <v>285.77530000000002</v>
      </c>
      <c r="G57" s="14">
        <v>285.25920000000002</v>
      </c>
      <c r="H57" s="14">
        <v>290.09829999999999</v>
      </c>
      <c r="I57" s="14">
        <v>306.40210000000002</v>
      </c>
      <c r="J57" s="14">
        <v>330.84730000000002</v>
      </c>
      <c r="K57" s="14">
        <v>388.68740000000003</v>
      </c>
      <c r="L57" s="14">
        <v>418.67630000000003</v>
      </c>
      <c r="M57" s="14">
        <v>434.08969999999999</v>
      </c>
      <c r="N57" s="14">
        <v>474.15039999999999</v>
      </c>
    </row>
  </sheetData>
  <mergeCells count="1">
    <mergeCell ref="A1:R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18CF5-9251-47CC-85B4-5E8D4A03ECFD}">
  <dimension ref="A1:T266"/>
  <sheetViews>
    <sheetView showGridLines="0" workbookViewId="0">
      <pane ySplit="5" topLeftCell="A6" activePane="bottomLeft" state="frozen"/>
      <selection pane="bottomLeft" sqref="A1:T1"/>
    </sheetView>
  </sheetViews>
  <sheetFormatPr defaultRowHeight="14.5"/>
  <cols>
    <col min="1" max="1" width="12.453125" bestFit="1" customWidth="1"/>
    <col min="2" max="2" width="30.81640625" bestFit="1" customWidth="1"/>
    <col min="3" max="13" width="5.54296875" customWidth="1"/>
    <col min="14" max="14" width="5.54296875" bestFit="1" customWidth="1"/>
    <col min="15" max="15" width="6.54296875" customWidth="1"/>
    <col min="16" max="21" width="6.54296875" bestFit="1" customWidth="1"/>
  </cols>
  <sheetData>
    <row r="1" spans="1:20" ht="23.5">
      <c r="A1" s="100" t="s">
        <v>218</v>
      </c>
      <c r="B1" s="100"/>
      <c r="C1" s="100"/>
      <c r="D1" s="100"/>
      <c r="E1" s="100"/>
      <c r="F1" s="100"/>
      <c r="G1" s="100"/>
      <c r="H1" s="100"/>
      <c r="I1" s="100"/>
      <c r="J1" s="100"/>
      <c r="K1" s="100"/>
      <c r="L1" s="100"/>
      <c r="M1" s="100"/>
      <c r="N1" s="100"/>
      <c r="O1" s="100"/>
      <c r="P1" s="100"/>
      <c r="Q1" s="100"/>
      <c r="R1" s="100"/>
      <c r="S1" s="100"/>
      <c r="T1" s="100"/>
    </row>
    <row r="4" spans="1:20">
      <c r="A4" s="10" t="s">
        <v>232</v>
      </c>
    </row>
    <row r="5" spans="1:20">
      <c r="C5">
        <v>2014</v>
      </c>
      <c r="D5">
        <v>2015</v>
      </c>
      <c r="E5">
        <v>2016</v>
      </c>
      <c r="F5">
        <v>2017</v>
      </c>
      <c r="G5">
        <v>2018</v>
      </c>
      <c r="H5">
        <v>2019</v>
      </c>
      <c r="I5">
        <v>2020</v>
      </c>
      <c r="J5">
        <v>2021</v>
      </c>
      <c r="K5">
        <v>2022</v>
      </c>
      <c r="L5">
        <v>2023</v>
      </c>
      <c r="M5">
        <v>2024</v>
      </c>
      <c r="N5">
        <v>2025</v>
      </c>
    </row>
    <row r="6" spans="1:20">
      <c r="A6" t="s">
        <v>207</v>
      </c>
      <c r="B6" t="s">
        <v>97</v>
      </c>
      <c r="C6" s="14">
        <v>386.26209999999998</v>
      </c>
      <c r="D6" s="14">
        <v>381.63589999999999</v>
      </c>
      <c r="E6" s="14">
        <v>385.13830000000002</v>
      </c>
      <c r="F6" s="14">
        <v>392.48489999999998</v>
      </c>
      <c r="G6" s="14">
        <v>416.03519999999997</v>
      </c>
      <c r="H6" s="14">
        <v>416.40640000000002</v>
      </c>
      <c r="I6" s="14">
        <v>429.27289999999999</v>
      </c>
      <c r="J6" s="14">
        <v>414.90230000000003</v>
      </c>
      <c r="K6" s="14">
        <v>422.15570000000002</v>
      </c>
      <c r="L6" s="14">
        <v>414.95209999999997</v>
      </c>
      <c r="M6" s="14">
        <v>429.38639999999998</v>
      </c>
      <c r="N6" s="14">
        <v>445.29199999999997</v>
      </c>
    </row>
    <row r="7" spans="1:20">
      <c r="B7" t="s">
        <v>151</v>
      </c>
      <c r="C7" s="14">
        <v>555.8288</v>
      </c>
      <c r="D7" s="14">
        <v>561.54010000000005</v>
      </c>
      <c r="E7" s="14">
        <v>581.71720000000005</v>
      </c>
      <c r="F7" s="14">
        <v>601.37810000000002</v>
      </c>
      <c r="G7" s="14">
        <v>604.90700000000004</v>
      </c>
      <c r="H7" s="14">
        <v>627.96420000000001</v>
      </c>
      <c r="I7" s="14">
        <v>644.00879999999995</v>
      </c>
      <c r="J7" s="14">
        <v>656.04169999999999</v>
      </c>
      <c r="K7" s="14">
        <v>651.21209999999996</v>
      </c>
      <c r="L7" s="14">
        <v>644.57079999999996</v>
      </c>
      <c r="M7" s="14">
        <v>685.70119999999997</v>
      </c>
      <c r="N7" s="14">
        <v>709.15449999999998</v>
      </c>
    </row>
    <row r="8" spans="1:20">
      <c r="B8" t="s">
        <v>108</v>
      </c>
      <c r="C8" s="14">
        <v>125.4875</v>
      </c>
      <c r="D8" s="14">
        <v>125.0348</v>
      </c>
      <c r="E8" s="14">
        <v>128.7304</v>
      </c>
      <c r="F8" s="14">
        <v>130.26</v>
      </c>
      <c r="G8" s="14">
        <v>137.15549999999999</v>
      </c>
      <c r="H8" s="14">
        <v>141.9589</v>
      </c>
      <c r="I8" s="14">
        <v>148.6704</v>
      </c>
      <c r="J8" s="14">
        <v>159.2441</v>
      </c>
      <c r="K8" s="14">
        <v>155.60050000000001</v>
      </c>
      <c r="L8" s="14">
        <v>159.88550000000001</v>
      </c>
      <c r="M8" s="14">
        <v>167.88419999999999</v>
      </c>
      <c r="N8" s="14">
        <v>178.26679999999999</v>
      </c>
    </row>
    <row r="9" spans="1:20">
      <c r="B9" t="s">
        <v>87</v>
      </c>
      <c r="C9" s="14">
        <v>38.987499999999997</v>
      </c>
      <c r="D9" s="14">
        <v>40.235799999999998</v>
      </c>
      <c r="E9" s="14">
        <v>40.778700000000001</v>
      </c>
      <c r="F9" s="14">
        <v>39.767899999999997</v>
      </c>
      <c r="G9" s="14">
        <v>38.935200000000002</v>
      </c>
      <c r="H9" s="14">
        <v>37.6798</v>
      </c>
      <c r="I9" s="14">
        <v>34.906700000000001</v>
      </c>
      <c r="J9" s="14">
        <v>37.055</v>
      </c>
      <c r="K9" s="14">
        <v>36.276200000000003</v>
      </c>
      <c r="L9" s="14">
        <v>35.4422</v>
      </c>
      <c r="M9" s="14">
        <v>35.118499999999997</v>
      </c>
      <c r="N9" s="14">
        <v>37.872500000000002</v>
      </c>
    </row>
    <row r="10" spans="1:20">
      <c r="B10" t="s">
        <v>77</v>
      </c>
      <c r="C10" s="14">
        <v>549.47239999999999</v>
      </c>
      <c r="D10" s="14">
        <v>572.14</v>
      </c>
      <c r="E10" s="14">
        <v>573.42110000000002</v>
      </c>
      <c r="F10" s="14">
        <v>578.53920000000005</v>
      </c>
      <c r="G10" s="14">
        <v>584.28110000000004</v>
      </c>
      <c r="H10" s="14">
        <v>586.65160000000003</v>
      </c>
      <c r="I10" s="14">
        <v>588.60029999999995</v>
      </c>
      <c r="J10" s="14">
        <v>586.59780000000001</v>
      </c>
      <c r="K10" s="14">
        <v>586.72400000000005</v>
      </c>
      <c r="L10" s="14">
        <v>576.12530000000004</v>
      </c>
      <c r="M10" s="14">
        <v>590.14639999999997</v>
      </c>
      <c r="N10" s="14">
        <v>602.03120000000001</v>
      </c>
    </row>
    <row r="11" spans="1:20">
      <c r="B11" t="s">
        <v>254</v>
      </c>
      <c r="C11" s="14">
        <v>338.10840000000002</v>
      </c>
      <c r="D11" s="14">
        <v>333.60840000000002</v>
      </c>
      <c r="E11" s="14">
        <v>335.26799999999997</v>
      </c>
      <c r="F11" s="14">
        <v>341.1499</v>
      </c>
      <c r="G11" s="14">
        <v>338.7045</v>
      </c>
      <c r="H11" s="14">
        <v>337.25850000000003</v>
      </c>
      <c r="I11" s="14">
        <v>354.15010000000001</v>
      </c>
      <c r="J11" s="14">
        <v>380.44389999999999</v>
      </c>
      <c r="K11" s="14">
        <v>384.18029999999999</v>
      </c>
      <c r="L11" s="14">
        <v>372.5976</v>
      </c>
      <c r="M11" s="14">
        <v>370.84559999999999</v>
      </c>
      <c r="N11" s="14">
        <v>388.12009999999998</v>
      </c>
    </row>
    <row r="12" spans="1:20">
      <c r="B12" t="s">
        <v>253</v>
      </c>
      <c r="C12" s="14">
        <v>578.52940000000001</v>
      </c>
      <c r="D12" s="14">
        <v>581.88430000000005</v>
      </c>
      <c r="E12" s="14">
        <v>578.86030000000005</v>
      </c>
      <c r="F12" s="14">
        <v>561.58579999999995</v>
      </c>
      <c r="G12" s="14">
        <v>558.28420000000006</v>
      </c>
      <c r="H12" s="14">
        <v>623.20299999999997</v>
      </c>
      <c r="I12" s="14">
        <v>612.8836</v>
      </c>
      <c r="J12" s="14">
        <v>622.02670000000001</v>
      </c>
      <c r="K12" s="14">
        <v>623.66420000000005</v>
      </c>
      <c r="L12" s="14">
        <v>618.14930000000004</v>
      </c>
      <c r="M12" s="14">
        <v>625.54989999999998</v>
      </c>
      <c r="N12" s="14">
        <v>661.85389999999995</v>
      </c>
    </row>
    <row r="13" spans="1:20">
      <c r="B13" t="s">
        <v>78</v>
      </c>
      <c r="C13" s="14">
        <v>431.84519999999998</v>
      </c>
      <c r="D13" s="14">
        <v>440.51920000000001</v>
      </c>
      <c r="E13" s="14">
        <v>439.916</v>
      </c>
      <c r="F13" s="14">
        <v>450.0772</v>
      </c>
      <c r="G13" s="14">
        <v>458.97489999999999</v>
      </c>
      <c r="H13" s="14">
        <v>465.8843</v>
      </c>
      <c r="I13" s="14">
        <v>425.12099999999998</v>
      </c>
      <c r="J13" s="14">
        <v>419.17899999999997</v>
      </c>
      <c r="K13" s="14">
        <v>419.1191</v>
      </c>
      <c r="L13" s="14">
        <v>416.32209999999998</v>
      </c>
      <c r="M13" s="14">
        <v>431.02100000000002</v>
      </c>
      <c r="N13" s="14">
        <v>442.43369999999999</v>
      </c>
    </row>
    <row r="14" spans="1:20">
      <c r="B14" t="s">
        <v>258</v>
      </c>
      <c r="C14" s="14">
        <v>465.91269999999997</v>
      </c>
      <c r="D14" s="14">
        <v>465.33010000000002</v>
      </c>
      <c r="E14" s="14">
        <v>474.85759999999999</v>
      </c>
      <c r="F14" s="14">
        <v>493.72179999999997</v>
      </c>
      <c r="G14" s="14">
        <v>491.66070000000002</v>
      </c>
      <c r="H14" s="14">
        <v>497.41699999999997</v>
      </c>
      <c r="I14" s="14">
        <v>494.09429999999998</v>
      </c>
      <c r="J14" s="14">
        <v>491.10660000000001</v>
      </c>
      <c r="K14" s="14">
        <v>485.15820000000002</v>
      </c>
      <c r="L14" s="14">
        <v>481.53539999999998</v>
      </c>
      <c r="M14" s="14">
        <v>485.8544</v>
      </c>
      <c r="N14" s="14">
        <v>492.5292</v>
      </c>
    </row>
    <row r="15" spans="1:20">
      <c r="B15" t="s">
        <v>79</v>
      </c>
      <c r="C15" s="14">
        <v>552.71569999999997</v>
      </c>
      <c r="D15" s="14">
        <v>553.91840000000002</v>
      </c>
      <c r="E15" s="14">
        <v>559.73299999999995</v>
      </c>
      <c r="F15" s="14">
        <v>568.03340000000003</v>
      </c>
      <c r="G15" s="14">
        <v>582.59889999999996</v>
      </c>
      <c r="H15" s="14">
        <v>602.76940000000002</v>
      </c>
      <c r="I15" s="14">
        <v>626.37860000000001</v>
      </c>
      <c r="J15" s="14">
        <v>645.06650000000002</v>
      </c>
      <c r="K15" s="14">
        <v>656.34870000000001</v>
      </c>
      <c r="L15" s="14">
        <v>643.01080000000002</v>
      </c>
      <c r="M15" s="14">
        <v>647.43899999999996</v>
      </c>
      <c r="N15" s="14">
        <v>680.96379999999999</v>
      </c>
    </row>
    <row r="16" spans="1:20">
      <c r="B16" t="s">
        <v>86</v>
      </c>
      <c r="C16" s="14">
        <v>272.30619999999999</v>
      </c>
      <c r="D16" s="14">
        <v>277.23899999999998</v>
      </c>
      <c r="E16" s="14">
        <v>286.98230000000001</v>
      </c>
      <c r="F16" s="14">
        <v>297.93150000000003</v>
      </c>
      <c r="G16" s="14">
        <v>316.99220000000003</v>
      </c>
      <c r="H16" s="14">
        <v>321.61169999999998</v>
      </c>
      <c r="I16" s="14">
        <v>356.30930000000001</v>
      </c>
      <c r="J16" s="14">
        <v>375.15140000000002</v>
      </c>
      <c r="K16" s="14">
        <v>373.149</v>
      </c>
      <c r="L16" s="14">
        <v>381.31560000000002</v>
      </c>
      <c r="M16" s="14">
        <v>400.44850000000002</v>
      </c>
      <c r="N16" s="14">
        <v>404.53840000000002</v>
      </c>
    </row>
    <row r="17" spans="2:14">
      <c r="B17" t="s">
        <v>82</v>
      </c>
      <c r="C17" s="14">
        <v>849.42150000000004</v>
      </c>
      <c r="D17" s="14">
        <v>871.60799999999995</v>
      </c>
      <c r="E17" s="14">
        <v>891.11030000000005</v>
      </c>
      <c r="F17" s="14">
        <v>921.1893</v>
      </c>
      <c r="G17" s="14">
        <v>924.65009999999995</v>
      </c>
      <c r="H17" s="14">
        <v>962.65930000000003</v>
      </c>
      <c r="I17" s="14">
        <v>970.44910000000004</v>
      </c>
      <c r="J17" s="14">
        <v>969.95079999999996</v>
      </c>
      <c r="K17" s="14">
        <v>982.81370000000004</v>
      </c>
      <c r="L17" s="14">
        <v>988.60170000000005</v>
      </c>
      <c r="M17" s="14">
        <v>1043.6095</v>
      </c>
      <c r="N17" s="14">
        <v>1062.6010000000001</v>
      </c>
    </row>
    <row r="18" spans="2:14">
      <c r="B18" t="s">
        <v>252</v>
      </c>
      <c r="C18" s="14">
        <v>438.79989999999998</v>
      </c>
      <c r="D18" s="14">
        <v>447.13749999999999</v>
      </c>
      <c r="E18" s="14">
        <v>451.2131</v>
      </c>
      <c r="F18" s="14">
        <v>459.81459999999998</v>
      </c>
      <c r="G18" s="14">
        <v>482.3064</v>
      </c>
      <c r="H18" s="14">
        <v>497.62270000000001</v>
      </c>
      <c r="I18" s="14">
        <v>545.80769999999995</v>
      </c>
      <c r="J18" s="14">
        <v>546.81669999999997</v>
      </c>
      <c r="K18" s="14">
        <v>557.17240000000004</v>
      </c>
      <c r="L18" s="14">
        <v>537.97839999999997</v>
      </c>
      <c r="M18" s="14">
        <v>564.75689999999997</v>
      </c>
      <c r="N18" s="14">
        <v>578.90129999999999</v>
      </c>
    </row>
    <row r="19" spans="2:14">
      <c r="B19" t="s">
        <v>83</v>
      </c>
      <c r="C19" s="14">
        <v>834.80430000000001</v>
      </c>
      <c r="D19" s="14">
        <v>851.09059999999999</v>
      </c>
      <c r="E19" s="14">
        <v>844.66949999999997</v>
      </c>
      <c r="F19" s="14">
        <v>856.51570000000004</v>
      </c>
      <c r="G19" s="14">
        <v>853.71299999999997</v>
      </c>
      <c r="H19" s="14">
        <v>861.23540000000003</v>
      </c>
      <c r="I19" s="14">
        <v>868.53710000000001</v>
      </c>
      <c r="J19" s="14">
        <v>881.79700000000003</v>
      </c>
      <c r="K19" s="14">
        <v>864.84569999999997</v>
      </c>
      <c r="L19" s="14">
        <v>850.83320000000003</v>
      </c>
      <c r="M19" s="14">
        <v>870.61080000000004</v>
      </c>
      <c r="N19" s="14">
        <v>925.25469999999996</v>
      </c>
    </row>
    <row r="20" spans="2:14">
      <c r="B20" t="s">
        <v>255</v>
      </c>
      <c r="C20" s="14">
        <v>437.08150000000001</v>
      </c>
      <c r="D20" s="14">
        <v>439.99079999999998</v>
      </c>
      <c r="E20" s="14">
        <v>451.8143</v>
      </c>
      <c r="F20" s="14">
        <v>449.50130000000001</v>
      </c>
      <c r="G20" s="14">
        <v>441.2122</v>
      </c>
      <c r="H20" s="14">
        <v>454.09949999999998</v>
      </c>
      <c r="I20" s="14">
        <v>479.786</v>
      </c>
      <c r="J20" s="14">
        <v>489.11689999999999</v>
      </c>
      <c r="K20" s="14">
        <v>491.3698</v>
      </c>
      <c r="L20" s="14">
        <v>488.92070000000001</v>
      </c>
      <c r="M20" s="14">
        <v>505.46429999999998</v>
      </c>
      <c r="N20" s="14">
        <v>520.43219999999997</v>
      </c>
    </row>
    <row r="21" spans="2:14">
      <c r="B21" t="s">
        <v>259</v>
      </c>
      <c r="C21" s="14">
        <v>658.15779999999995</v>
      </c>
      <c r="D21" s="14">
        <v>669.76379999999995</v>
      </c>
      <c r="E21" s="14">
        <v>658.46619999999996</v>
      </c>
      <c r="F21" s="14">
        <v>665.65449999999998</v>
      </c>
      <c r="G21" s="14">
        <v>662.52539999999999</v>
      </c>
      <c r="H21" s="14">
        <v>669.77850000000001</v>
      </c>
      <c r="I21" s="14">
        <v>661.59029999999996</v>
      </c>
      <c r="J21" s="14">
        <v>656.78610000000003</v>
      </c>
      <c r="K21" s="14">
        <v>660.64369999999997</v>
      </c>
      <c r="L21" s="14">
        <v>650.26700000000005</v>
      </c>
      <c r="M21" s="14">
        <v>674.23450000000003</v>
      </c>
      <c r="N21" s="14">
        <v>716.82180000000005</v>
      </c>
    </row>
    <row r="22" spans="2:14">
      <c r="B22" t="s">
        <v>80</v>
      </c>
      <c r="C22" s="14">
        <v>757.72199999999998</v>
      </c>
      <c r="D22" s="14">
        <v>760.42870000000005</v>
      </c>
      <c r="E22" s="14">
        <v>756.49590000000001</v>
      </c>
      <c r="F22" s="14">
        <v>762.35180000000003</v>
      </c>
      <c r="G22" s="14">
        <v>795.27919999999995</v>
      </c>
      <c r="H22" s="14">
        <v>815.80740000000003</v>
      </c>
      <c r="I22" s="14">
        <v>810.79589999999996</v>
      </c>
      <c r="J22" s="14">
        <v>791.24890000000005</v>
      </c>
      <c r="K22" s="14">
        <v>797.18780000000004</v>
      </c>
      <c r="L22" s="14">
        <v>785.28089999999997</v>
      </c>
      <c r="M22" s="14">
        <v>822.08749999999998</v>
      </c>
      <c r="N22" s="14">
        <v>864.78039999999999</v>
      </c>
    </row>
    <row r="23" spans="2:14">
      <c r="B23" t="s">
        <v>88</v>
      </c>
      <c r="C23" s="14">
        <v>565.59799999999996</v>
      </c>
      <c r="D23" s="14">
        <v>581.89419999999996</v>
      </c>
      <c r="E23" s="14">
        <v>605.92780000000005</v>
      </c>
      <c r="F23" s="14">
        <v>599.91539999999998</v>
      </c>
      <c r="G23" s="14">
        <v>591.36950000000002</v>
      </c>
      <c r="H23" s="14">
        <v>601.13789999999995</v>
      </c>
      <c r="I23" s="14">
        <v>596.41420000000005</v>
      </c>
      <c r="J23" s="14">
        <v>510.892</v>
      </c>
      <c r="K23" s="14">
        <v>510.73050000000001</v>
      </c>
      <c r="L23" s="14">
        <v>520.04759999999999</v>
      </c>
      <c r="M23" s="14">
        <v>533.66390000000001</v>
      </c>
      <c r="N23" s="14">
        <v>550.78689999999995</v>
      </c>
    </row>
    <row r="24" spans="2:14">
      <c r="B24" t="s">
        <v>260</v>
      </c>
      <c r="C24" s="14">
        <v>433.20890000000003</v>
      </c>
      <c r="D24" s="14">
        <v>429.24610000000001</v>
      </c>
      <c r="E24" s="14">
        <v>434.97410000000002</v>
      </c>
      <c r="F24" s="14">
        <v>447.02480000000003</v>
      </c>
      <c r="G24" s="14">
        <v>439.76769999999999</v>
      </c>
      <c r="H24" s="14">
        <v>445.48610000000002</v>
      </c>
      <c r="I24" s="14">
        <v>433.72469999999998</v>
      </c>
      <c r="J24" s="14">
        <v>434.72989999999999</v>
      </c>
      <c r="K24" s="14">
        <v>439.5926</v>
      </c>
      <c r="L24" s="14">
        <v>428.46339999999998</v>
      </c>
      <c r="M24" s="14">
        <v>437.65359999999998</v>
      </c>
      <c r="N24" s="14">
        <v>437.93400000000003</v>
      </c>
    </row>
    <row r="25" spans="2:14">
      <c r="B25" t="s">
        <v>84</v>
      </c>
      <c r="C25" s="14">
        <v>382.6773</v>
      </c>
      <c r="D25" s="14">
        <v>386.38819999999998</v>
      </c>
      <c r="E25" s="14">
        <v>393.1302</v>
      </c>
      <c r="F25" s="14">
        <v>404.18689999999998</v>
      </c>
      <c r="G25" s="14">
        <v>413.50130000000001</v>
      </c>
      <c r="H25" s="14">
        <v>434.95319999999998</v>
      </c>
      <c r="I25" s="14">
        <v>449.375</v>
      </c>
      <c r="J25" s="14">
        <v>462.54079999999999</v>
      </c>
      <c r="K25" s="14">
        <v>474.19940000000003</v>
      </c>
      <c r="L25" s="14">
        <v>494.6968</v>
      </c>
      <c r="M25" s="14">
        <v>530.25969999999995</v>
      </c>
      <c r="N25" s="14">
        <v>561.59709999999995</v>
      </c>
    </row>
    <row r="26" spans="2:14">
      <c r="B26" t="s">
        <v>85</v>
      </c>
      <c r="C26" s="14">
        <v>334.67910000000001</v>
      </c>
      <c r="D26" s="14">
        <v>339.41090000000003</v>
      </c>
      <c r="E26" s="14">
        <v>350.31549999999999</v>
      </c>
      <c r="F26" s="14">
        <v>358.43970000000002</v>
      </c>
      <c r="G26" s="14">
        <v>372.76909999999998</v>
      </c>
      <c r="H26" s="14">
        <v>374.24669999999998</v>
      </c>
      <c r="I26" s="14">
        <v>389.96170000000001</v>
      </c>
      <c r="J26" s="14">
        <v>395.4984</v>
      </c>
      <c r="K26" s="14">
        <v>412.04379999999998</v>
      </c>
      <c r="L26" s="14">
        <v>424.15800000000002</v>
      </c>
      <c r="M26" s="14">
        <v>453.7799</v>
      </c>
      <c r="N26" s="14">
        <v>473.32029999999997</v>
      </c>
    </row>
    <row r="27" spans="2:14">
      <c r="B27" t="s">
        <v>256</v>
      </c>
      <c r="C27" s="14">
        <v>385.48719999999997</v>
      </c>
      <c r="D27" s="14">
        <v>387.64</v>
      </c>
      <c r="E27" s="14">
        <v>390.42910000000001</v>
      </c>
      <c r="F27" s="14">
        <v>390.67899999999997</v>
      </c>
      <c r="G27" s="14">
        <v>400.24110000000002</v>
      </c>
      <c r="H27" s="14">
        <v>415.02749999999997</v>
      </c>
      <c r="I27" s="14">
        <v>418.86970000000002</v>
      </c>
      <c r="J27" s="14">
        <v>440.90260000000001</v>
      </c>
      <c r="K27" s="14">
        <v>442.62650000000002</v>
      </c>
      <c r="L27" s="14">
        <v>464.85079999999999</v>
      </c>
      <c r="M27" s="14">
        <v>490.42290000000003</v>
      </c>
      <c r="N27" s="14">
        <v>497.8569</v>
      </c>
    </row>
    <row r="28" spans="2:14">
      <c r="B28" t="s">
        <v>257</v>
      </c>
      <c r="C28" s="14">
        <v>9.5769000000000002</v>
      </c>
      <c r="D28" s="14">
        <v>9.3794000000000004</v>
      </c>
      <c r="E28" s="14">
        <v>9.0439000000000007</v>
      </c>
      <c r="F28" s="14">
        <v>8.3950999999999993</v>
      </c>
      <c r="G28" s="14">
        <v>8.0733999999999995</v>
      </c>
      <c r="H28" s="14">
        <v>9.4514999999999993</v>
      </c>
      <c r="I28" s="14">
        <v>10.2521</v>
      </c>
      <c r="J28" s="14">
        <v>9.0655999999999999</v>
      </c>
      <c r="K28" s="14">
        <v>9.2189999999999994</v>
      </c>
      <c r="L28" s="14">
        <v>10.394299999999999</v>
      </c>
      <c r="M28" s="14">
        <v>10.4208</v>
      </c>
      <c r="N28" s="14">
        <v>9.7555999999999994</v>
      </c>
    </row>
    <row r="29" spans="2:14">
      <c r="B29" t="s">
        <v>81</v>
      </c>
      <c r="C29" s="14">
        <v>545.39739999999995</v>
      </c>
      <c r="D29" s="14">
        <v>557.88630000000001</v>
      </c>
      <c r="E29" s="14">
        <v>575.0607</v>
      </c>
      <c r="F29" s="14">
        <v>589.70699999999999</v>
      </c>
      <c r="G29" s="14">
        <v>603.03219999999999</v>
      </c>
      <c r="H29" s="14">
        <v>625.64850000000001</v>
      </c>
      <c r="I29" s="14">
        <v>639.86530000000005</v>
      </c>
      <c r="J29" s="14">
        <v>662.82159999999999</v>
      </c>
      <c r="K29" s="14">
        <v>682.82680000000005</v>
      </c>
      <c r="L29" s="14">
        <v>688.9058</v>
      </c>
      <c r="M29" s="14">
        <v>702.05709999999999</v>
      </c>
      <c r="N29" s="14">
        <v>727.77549999999997</v>
      </c>
    </row>
    <row r="30" spans="2:14">
      <c r="B30" t="s">
        <v>136</v>
      </c>
      <c r="C30" s="14">
        <v>107.5536</v>
      </c>
      <c r="D30" s="14">
        <v>107.4415</v>
      </c>
      <c r="E30" s="14">
        <v>104.4753</v>
      </c>
      <c r="F30" s="14">
        <v>106.25579999999999</v>
      </c>
      <c r="G30" s="14">
        <v>106.05880000000001</v>
      </c>
      <c r="H30" s="14">
        <v>107.0628</v>
      </c>
      <c r="I30" s="14">
        <v>109.4663</v>
      </c>
      <c r="J30" s="14">
        <v>106.8165</v>
      </c>
      <c r="K30" s="14">
        <v>111.8019</v>
      </c>
      <c r="L30" s="14">
        <v>113.75700000000001</v>
      </c>
      <c r="M30" s="14">
        <v>116.0949</v>
      </c>
      <c r="N30" s="14">
        <v>119.6384</v>
      </c>
    </row>
    <row r="31" spans="2:14">
      <c r="B31" t="s">
        <v>103</v>
      </c>
      <c r="C31" s="14">
        <v>148.9211</v>
      </c>
      <c r="D31" s="14">
        <v>147.03659999999999</v>
      </c>
      <c r="E31" s="14">
        <v>148.83860000000001</v>
      </c>
      <c r="F31" s="14">
        <v>154.33160000000001</v>
      </c>
      <c r="G31" s="14">
        <v>151.55359999999999</v>
      </c>
      <c r="H31" s="14">
        <v>153.4522</v>
      </c>
      <c r="I31" s="14">
        <v>156.35740000000001</v>
      </c>
      <c r="J31" s="14">
        <v>140.60939999999999</v>
      </c>
      <c r="K31" s="14">
        <v>143.6062</v>
      </c>
      <c r="L31" s="14">
        <v>147.51070000000001</v>
      </c>
      <c r="M31" s="14">
        <v>150.6789</v>
      </c>
      <c r="N31" s="14">
        <v>157.32919999999999</v>
      </c>
    </row>
    <row r="32" spans="2:14">
      <c r="B32" t="s">
        <v>139</v>
      </c>
      <c r="C32" s="14">
        <v>436.84269999999998</v>
      </c>
      <c r="D32" s="14">
        <v>447.68389999999999</v>
      </c>
      <c r="E32" s="14">
        <v>454.9794</v>
      </c>
      <c r="F32" s="14">
        <v>464.76569999999998</v>
      </c>
      <c r="G32" s="14">
        <v>473.33940000000001</v>
      </c>
      <c r="H32" s="14">
        <v>477.7285</v>
      </c>
      <c r="I32" s="14">
        <v>485.77089999999998</v>
      </c>
      <c r="J32" s="14">
        <v>498.98680000000002</v>
      </c>
      <c r="K32" s="14">
        <v>507.70530000000002</v>
      </c>
      <c r="L32" s="14">
        <v>512.16279999999995</v>
      </c>
      <c r="M32" s="14">
        <v>531.96749999999997</v>
      </c>
      <c r="N32" s="14">
        <v>565.99990000000003</v>
      </c>
    </row>
    <row r="33" spans="2:14">
      <c r="B33" t="s">
        <v>116</v>
      </c>
      <c r="C33" s="14">
        <v>233.5967</v>
      </c>
      <c r="D33" s="14">
        <v>255.71780000000001</v>
      </c>
      <c r="E33" s="14">
        <v>255.81960000000001</v>
      </c>
      <c r="F33" s="14">
        <v>259.71249999999998</v>
      </c>
      <c r="G33" s="14">
        <v>264.40120000000002</v>
      </c>
      <c r="H33" s="14">
        <v>265.03160000000003</v>
      </c>
      <c r="I33" s="14">
        <v>269.4572</v>
      </c>
      <c r="J33" s="14">
        <v>273.303</v>
      </c>
      <c r="K33" s="14">
        <v>273.76299999999998</v>
      </c>
      <c r="L33" s="14">
        <v>272.54199999999997</v>
      </c>
      <c r="M33" s="14">
        <v>290.72160000000002</v>
      </c>
      <c r="N33" s="14">
        <v>297.6386</v>
      </c>
    </row>
    <row r="34" spans="2:14">
      <c r="B34" t="s">
        <v>101</v>
      </c>
      <c r="C34" s="14">
        <v>982.23659999999995</v>
      </c>
      <c r="D34" s="14">
        <v>1015.6341</v>
      </c>
      <c r="E34" s="14">
        <v>1035.4425000000001</v>
      </c>
      <c r="F34" s="14">
        <v>1056.3368</v>
      </c>
      <c r="G34" s="14">
        <v>1082.6713</v>
      </c>
      <c r="H34" s="14">
        <v>1126.9822999999999</v>
      </c>
      <c r="I34" s="14">
        <v>1146.1134999999999</v>
      </c>
      <c r="J34" s="14">
        <v>1161.47</v>
      </c>
      <c r="K34" s="14">
        <v>1145.3642</v>
      </c>
      <c r="L34" s="14">
        <v>1165.7577000000001</v>
      </c>
      <c r="M34" s="14">
        <v>1212.0477000000001</v>
      </c>
      <c r="N34" s="14">
        <v>1242.9688000000001</v>
      </c>
    </row>
    <row r="35" spans="2:14">
      <c r="B35" t="s">
        <v>142</v>
      </c>
      <c r="C35" s="14">
        <v>333.54570000000001</v>
      </c>
      <c r="D35" s="14">
        <v>343.47840000000002</v>
      </c>
      <c r="E35" s="14">
        <v>352.11900000000003</v>
      </c>
      <c r="F35" s="14">
        <v>363.96600000000001</v>
      </c>
      <c r="G35" s="14">
        <v>369.3759</v>
      </c>
      <c r="H35" s="14">
        <v>365.90910000000002</v>
      </c>
      <c r="I35" s="14">
        <v>384.97289999999998</v>
      </c>
      <c r="J35" s="14">
        <v>393.23860000000002</v>
      </c>
      <c r="K35" s="14">
        <v>392.46780000000001</v>
      </c>
      <c r="L35" s="14">
        <v>396.56139999999999</v>
      </c>
      <c r="M35" s="14">
        <v>421.76420000000002</v>
      </c>
      <c r="N35" s="14">
        <v>433.41309999999999</v>
      </c>
    </row>
    <row r="36" spans="2:14">
      <c r="B36" t="s">
        <v>261</v>
      </c>
      <c r="C36" s="14">
        <v>70.7136</v>
      </c>
      <c r="D36" s="14">
        <v>67.431799999999996</v>
      </c>
      <c r="E36" s="14">
        <v>70.633899999999997</v>
      </c>
      <c r="F36" s="14">
        <v>70.131</v>
      </c>
      <c r="G36" s="14">
        <v>67.723799999999997</v>
      </c>
      <c r="H36" s="14">
        <v>69.605999999999995</v>
      </c>
      <c r="I36" s="14">
        <v>73.750500000000002</v>
      </c>
      <c r="J36" s="14">
        <v>71.2346</v>
      </c>
      <c r="K36" s="14">
        <v>71.729200000000006</v>
      </c>
      <c r="L36" s="14">
        <v>71.591499999999996</v>
      </c>
      <c r="M36" s="14">
        <v>75.886099999999999</v>
      </c>
      <c r="N36" s="14">
        <v>79.912400000000005</v>
      </c>
    </row>
    <row r="37" spans="2:14">
      <c r="B37" t="s">
        <v>128</v>
      </c>
      <c r="C37" s="14">
        <v>160.59780000000001</v>
      </c>
      <c r="D37" s="14">
        <v>161.25720000000001</v>
      </c>
      <c r="E37" s="14">
        <v>164.27090000000001</v>
      </c>
      <c r="F37" s="14">
        <v>163.1114</v>
      </c>
      <c r="G37" s="14">
        <v>168.22630000000001</v>
      </c>
      <c r="H37" s="14">
        <v>169.93969999999999</v>
      </c>
      <c r="I37" s="14">
        <v>174.0428</v>
      </c>
      <c r="J37" s="14">
        <v>174.51339999999999</v>
      </c>
      <c r="K37" s="14">
        <v>178.80160000000001</v>
      </c>
      <c r="L37" s="14">
        <v>175.15350000000001</v>
      </c>
      <c r="M37" s="14">
        <v>175.83009999999999</v>
      </c>
      <c r="N37" s="14">
        <v>182.1474</v>
      </c>
    </row>
    <row r="38" spans="2:14">
      <c r="B38" t="s">
        <v>145</v>
      </c>
      <c r="C38" s="14">
        <v>84.645200000000003</v>
      </c>
      <c r="D38" s="14">
        <v>81.884900000000002</v>
      </c>
      <c r="E38" s="14">
        <v>79.975800000000007</v>
      </c>
      <c r="F38" s="14">
        <v>79.635599999999997</v>
      </c>
      <c r="G38" s="14">
        <v>76.807900000000004</v>
      </c>
      <c r="H38" s="14">
        <v>75.905299999999997</v>
      </c>
      <c r="I38" s="14">
        <v>76.4709</v>
      </c>
      <c r="J38" s="14">
        <v>75.5625</v>
      </c>
      <c r="K38" s="14">
        <v>74.349100000000007</v>
      </c>
      <c r="L38" s="14">
        <v>72.253799999999998</v>
      </c>
      <c r="M38" s="14">
        <v>77.1614</v>
      </c>
      <c r="N38" s="14">
        <v>76.145600000000002</v>
      </c>
    </row>
    <row r="39" spans="2:14">
      <c r="B39" t="s">
        <v>134</v>
      </c>
      <c r="C39" s="14">
        <v>204.02379999999999</v>
      </c>
      <c r="D39" s="14">
        <v>203.1344</v>
      </c>
      <c r="E39" s="14">
        <v>203.6755</v>
      </c>
      <c r="F39" s="14">
        <v>210.91739999999999</v>
      </c>
      <c r="G39" s="14">
        <v>203.00219999999999</v>
      </c>
      <c r="H39" s="14">
        <v>218.31129999999999</v>
      </c>
      <c r="I39" s="14">
        <v>227.7636</v>
      </c>
      <c r="J39" s="14">
        <v>230.22139999999999</v>
      </c>
      <c r="K39" s="14">
        <v>226.23589999999999</v>
      </c>
      <c r="L39" s="14">
        <v>224.10560000000001</v>
      </c>
      <c r="M39" s="14">
        <v>233.2953</v>
      </c>
      <c r="N39" s="14">
        <v>243.66640000000001</v>
      </c>
    </row>
    <row r="40" spans="2:14">
      <c r="B40" t="s">
        <v>147</v>
      </c>
      <c r="C40" s="14">
        <v>246.24359999999999</v>
      </c>
      <c r="D40" s="14">
        <v>255.86410000000001</v>
      </c>
      <c r="E40" s="14">
        <v>269.68790000000001</v>
      </c>
      <c r="F40" s="14">
        <v>277.26170000000002</v>
      </c>
      <c r="G40" s="14">
        <v>282.05029999999999</v>
      </c>
      <c r="H40" s="14">
        <v>289.6456</v>
      </c>
      <c r="I40" s="14">
        <v>290.52670000000001</v>
      </c>
      <c r="J40" s="14">
        <v>306.48790000000002</v>
      </c>
      <c r="K40" s="14">
        <v>312.24349999999998</v>
      </c>
      <c r="L40" s="14">
        <v>301.55829999999997</v>
      </c>
      <c r="M40" s="14">
        <v>321.4375</v>
      </c>
      <c r="N40" s="14">
        <v>335.49740000000003</v>
      </c>
    </row>
    <row r="41" spans="2:14">
      <c r="B41" t="s">
        <v>135</v>
      </c>
      <c r="C41" s="14">
        <v>807.22220000000004</v>
      </c>
      <c r="D41" s="14">
        <v>831.96289999999999</v>
      </c>
      <c r="E41" s="14">
        <v>859.02710000000002</v>
      </c>
      <c r="F41" s="14">
        <v>891.60090000000002</v>
      </c>
      <c r="G41" s="14">
        <v>898.61929999999995</v>
      </c>
      <c r="H41" s="14">
        <v>932.45590000000004</v>
      </c>
      <c r="I41" s="14">
        <v>953.76340000000005</v>
      </c>
      <c r="J41" s="14">
        <v>984.77250000000004</v>
      </c>
      <c r="K41" s="14">
        <v>988.1277</v>
      </c>
      <c r="L41" s="14">
        <v>1003.0454</v>
      </c>
      <c r="M41" s="14">
        <v>1033.6483000000001</v>
      </c>
      <c r="N41" s="14">
        <v>1074.4404999999999</v>
      </c>
    </row>
    <row r="42" spans="2:14">
      <c r="B42" t="s">
        <v>124</v>
      </c>
      <c r="C42" s="14">
        <v>506.76400000000001</v>
      </c>
      <c r="D42" s="14">
        <v>518.67190000000005</v>
      </c>
      <c r="E42" s="14">
        <v>521.17200000000003</v>
      </c>
      <c r="F42" s="14">
        <v>534.86860000000001</v>
      </c>
      <c r="G42" s="14">
        <v>524.98879999999997</v>
      </c>
      <c r="H42" s="14">
        <v>523.78309999999999</v>
      </c>
      <c r="I42" s="14">
        <v>517.48820000000001</v>
      </c>
      <c r="J42" s="14">
        <v>533.25360000000001</v>
      </c>
      <c r="K42" s="14">
        <v>535.48950000000002</v>
      </c>
      <c r="L42" s="14">
        <v>539.47590000000002</v>
      </c>
      <c r="M42" s="14">
        <v>548.34249999999997</v>
      </c>
      <c r="N42" s="14">
        <v>568.08180000000004</v>
      </c>
    </row>
    <row r="43" spans="2:14">
      <c r="B43" t="s">
        <v>149</v>
      </c>
      <c r="C43" s="14">
        <v>278.40730000000002</v>
      </c>
      <c r="D43" s="14">
        <v>274.00150000000002</v>
      </c>
      <c r="E43" s="14">
        <v>275.04059999999998</v>
      </c>
      <c r="F43" s="14">
        <v>268.54559999999998</v>
      </c>
      <c r="G43" s="14">
        <v>272.10860000000002</v>
      </c>
      <c r="H43" s="14">
        <v>274.5634</v>
      </c>
      <c r="I43" s="14">
        <v>283.35599999999999</v>
      </c>
      <c r="J43" s="14">
        <v>282.48270000000002</v>
      </c>
      <c r="K43" s="14">
        <v>286.93689999999998</v>
      </c>
      <c r="L43" s="14">
        <v>287.98540000000003</v>
      </c>
      <c r="M43" s="14">
        <v>286.9676</v>
      </c>
      <c r="N43" s="14">
        <v>298.9212</v>
      </c>
    </row>
    <row r="44" spans="2:14">
      <c r="B44" t="s">
        <v>110</v>
      </c>
      <c r="C44" s="14">
        <v>44.644300000000001</v>
      </c>
      <c r="D44" s="14">
        <v>42.027200000000001</v>
      </c>
      <c r="E44" s="14">
        <v>34.741700000000002</v>
      </c>
      <c r="F44" s="14">
        <v>35.232700000000001</v>
      </c>
      <c r="G44" s="14">
        <v>39.534399999999998</v>
      </c>
      <c r="H44" s="14">
        <v>37.302399999999999</v>
      </c>
      <c r="I44" s="14">
        <v>39.012</v>
      </c>
      <c r="J44" s="14">
        <v>40.213700000000003</v>
      </c>
      <c r="K44" s="14">
        <v>37.736899999999999</v>
      </c>
      <c r="L44" s="14">
        <v>37.509599999999999</v>
      </c>
      <c r="M44" s="14">
        <v>41.049399999999999</v>
      </c>
      <c r="N44" s="14">
        <v>41.888300000000001</v>
      </c>
    </row>
    <row r="45" spans="2:14">
      <c r="B45" t="s">
        <v>262</v>
      </c>
      <c r="C45" s="14">
        <v>78.052099999999996</v>
      </c>
      <c r="D45" s="14">
        <v>76.511399999999995</v>
      </c>
      <c r="E45" s="14">
        <v>71.211600000000004</v>
      </c>
      <c r="F45" s="14">
        <v>71.805499999999995</v>
      </c>
      <c r="G45" s="14">
        <v>68.362799999999993</v>
      </c>
      <c r="H45" s="14">
        <v>70.632499999999993</v>
      </c>
      <c r="I45" s="14">
        <v>70.917299999999997</v>
      </c>
      <c r="J45" s="14">
        <v>72.252799999999993</v>
      </c>
      <c r="K45" s="14">
        <v>73.06</v>
      </c>
      <c r="L45" s="14">
        <v>71.652299999999997</v>
      </c>
      <c r="M45" s="14">
        <v>78.920900000000003</v>
      </c>
      <c r="N45" s="14">
        <v>74.068700000000007</v>
      </c>
    </row>
    <row r="46" spans="2:14">
      <c r="B46" t="s">
        <v>98</v>
      </c>
      <c r="C46" s="14">
        <v>357.75580000000002</v>
      </c>
      <c r="D46" s="14">
        <v>361.84789999999998</v>
      </c>
      <c r="E46" s="14">
        <v>354.94459999999998</v>
      </c>
      <c r="F46" s="14">
        <v>357.94970000000001</v>
      </c>
      <c r="G46" s="14">
        <v>360.07119999999998</v>
      </c>
      <c r="H46" s="14">
        <v>363.471</v>
      </c>
      <c r="I46" s="14">
        <v>368.3186</v>
      </c>
      <c r="J46" s="14">
        <v>377.35289999999998</v>
      </c>
      <c r="K46" s="14">
        <v>356.73230000000001</v>
      </c>
      <c r="L46" s="14">
        <v>366.67</v>
      </c>
      <c r="M46" s="14">
        <v>367.17910000000001</v>
      </c>
      <c r="N46" s="14">
        <v>373.18389999999999</v>
      </c>
    </row>
    <row r="47" spans="2:14">
      <c r="B47" t="s">
        <v>143</v>
      </c>
      <c r="C47" s="14">
        <v>62.778399999999998</v>
      </c>
      <c r="D47" s="14">
        <v>62.507599999999996</v>
      </c>
      <c r="E47" s="14">
        <v>61.572400000000002</v>
      </c>
      <c r="F47" s="14">
        <v>63.780500000000004</v>
      </c>
      <c r="G47" s="14">
        <v>63.350099999999998</v>
      </c>
      <c r="H47" s="14">
        <v>64.6524</v>
      </c>
      <c r="I47" s="14">
        <v>64.327600000000004</v>
      </c>
      <c r="J47" s="14">
        <v>66.724400000000003</v>
      </c>
      <c r="K47" s="14">
        <v>68.841899999999995</v>
      </c>
      <c r="L47" s="14">
        <v>72.724199999999996</v>
      </c>
      <c r="M47" s="14">
        <v>75.850999999999999</v>
      </c>
      <c r="N47" s="14">
        <v>73.081400000000002</v>
      </c>
    </row>
    <row r="48" spans="2:14">
      <c r="B48" t="s">
        <v>102</v>
      </c>
      <c r="C48" s="14">
        <v>570.24329999999998</v>
      </c>
      <c r="D48" s="14">
        <v>560.20659999999998</v>
      </c>
      <c r="E48" s="14">
        <v>566.28769999999997</v>
      </c>
      <c r="F48" s="14">
        <v>581.79480000000001</v>
      </c>
      <c r="G48" s="14">
        <v>574.51120000000003</v>
      </c>
      <c r="H48" s="14">
        <v>591.8442</v>
      </c>
      <c r="I48" s="14">
        <v>598.46669999999995</v>
      </c>
      <c r="J48" s="14">
        <v>603.73990000000003</v>
      </c>
      <c r="K48" s="14">
        <v>614.51660000000004</v>
      </c>
      <c r="L48" s="14">
        <v>611.30349999999999</v>
      </c>
      <c r="M48" s="14">
        <v>615.11720000000003</v>
      </c>
      <c r="N48" s="14">
        <v>626.17259999999999</v>
      </c>
    </row>
    <row r="49" spans="2:14">
      <c r="B49" t="s">
        <v>117</v>
      </c>
      <c r="C49" s="14">
        <v>406.32900000000001</v>
      </c>
      <c r="D49" s="14">
        <v>408.10329999999999</v>
      </c>
      <c r="E49" s="14">
        <v>416.84980000000002</v>
      </c>
      <c r="F49" s="14">
        <v>428.81169999999997</v>
      </c>
      <c r="G49" s="14">
        <v>439.27330000000001</v>
      </c>
      <c r="H49" s="14">
        <v>438.86810000000003</v>
      </c>
      <c r="I49" s="14">
        <v>441.1044</v>
      </c>
      <c r="J49" s="14">
        <v>444.67970000000003</v>
      </c>
      <c r="K49" s="14">
        <v>450.83609999999999</v>
      </c>
      <c r="L49" s="14">
        <v>444.35419999999999</v>
      </c>
      <c r="M49" s="14">
        <v>446.16820000000001</v>
      </c>
      <c r="N49" s="14">
        <v>459.72129999999999</v>
      </c>
    </row>
    <row r="50" spans="2:14">
      <c r="B50" t="s">
        <v>91</v>
      </c>
      <c r="C50" s="14">
        <v>100.2336</v>
      </c>
      <c r="D50" s="14">
        <v>101.9543</v>
      </c>
      <c r="E50" s="14">
        <v>104.8531</v>
      </c>
      <c r="F50" s="14">
        <v>107.4533</v>
      </c>
      <c r="G50" s="14">
        <v>109.9378</v>
      </c>
      <c r="H50" s="14">
        <v>115.0491</v>
      </c>
      <c r="I50" s="14">
        <v>116.8608</v>
      </c>
      <c r="J50" s="14">
        <v>121.99760000000001</v>
      </c>
      <c r="K50" s="14">
        <v>122.4662</v>
      </c>
      <c r="L50" s="14">
        <v>120.4389</v>
      </c>
      <c r="M50" s="14">
        <v>124.31399999999999</v>
      </c>
      <c r="N50" s="14">
        <v>129.7397</v>
      </c>
    </row>
    <row r="51" spans="2:14">
      <c r="B51" t="s">
        <v>119</v>
      </c>
      <c r="C51" s="14">
        <v>488.93340000000001</v>
      </c>
      <c r="D51" s="14">
        <v>490.51560000000001</v>
      </c>
      <c r="E51" s="14">
        <v>507.11919999999998</v>
      </c>
      <c r="F51" s="14">
        <v>505.54669999999999</v>
      </c>
      <c r="G51" s="14">
        <v>514.69949999999994</v>
      </c>
      <c r="H51" s="14">
        <v>534.11509999999998</v>
      </c>
      <c r="I51" s="14">
        <v>550.35220000000004</v>
      </c>
      <c r="J51" s="14">
        <v>564.02509999999995</v>
      </c>
      <c r="K51" s="14">
        <v>559.02959999999996</v>
      </c>
      <c r="L51" s="14">
        <v>563.73739999999998</v>
      </c>
      <c r="M51" s="14">
        <v>571.63800000000003</v>
      </c>
      <c r="N51" s="14">
        <v>581.21370000000002</v>
      </c>
    </row>
    <row r="52" spans="2:14">
      <c r="B52" t="s">
        <v>131</v>
      </c>
      <c r="C52" s="14">
        <v>70.394400000000005</v>
      </c>
      <c r="D52" s="14">
        <v>74.288700000000006</v>
      </c>
      <c r="E52" s="14">
        <v>70.344700000000003</v>
      </c>
      <c r="F52" s="14">
        <v>75.745699999999999</v>
      </c>
      <c r="G52" s="14">
        <v>80.495000000000005</v>
      </c>
      <c r="H52" s="14">
        <v>84.633399999999995</v>
      </c>
      <c r="I52" s="14">
        <v>87.348500000000001</v>
      </c>
      <c r="J52" s="14">
        <v>89.874099999999999</v>
      </c>
      <c r="K52" s="14">
        <v>88.393100000000004</v>
      </c>
      <c r="L52" s="14">
        <v>86.3369</v>
      </c>
      <c r="M52" s="14">
        <v>83.912999999999997</v>
      </c>
      <c r="N52" s="14">
        <v>85.106499999999997</v>
      </c>
    </row>
    <row r="53" spans="2:14">
      <c r="B53" t="s">
        <v>127</v>
      </c>
      <c r="C53" s="14">
        <v>201.1636</v>
      </c>
      <c r="D53" s="14">
        <v>203.88820000000001</v>
      </c>
      <c r="E53" s="14">
        <v>212.8835</v>
      </c>
      <c r="F53" s="14">
        <v>207.86709999999999</v>
      </c>
      <c r="G53" s="14">
        <v>204.97300000000001</v>
      </c>
      <c r="H53" s="14">
        <v>205.869</v>
      </c>
      <c r="I53" s="14">
        <v>200.73179999999999</v>
      </c>
      <c r="J53" s="14">
        <v>204.69800000000001</v>
      </c>
      <c r="K53" s="14">
        <v>206.3159</v>
      </c>
      <c r="L53" s="14">
        <v>184.86519999999999</v>
      </c>
      <c r="M53" s="14">
        <v>184.196</v>
      </c>
      <c r="N53" s="14">
        <v>189.10120000000001</v>
      </c>
    </row>
    <row r="54" spans="2:14">
      <c r="B54" t="s">
        <v>125</v>
      </c>
      <c r="C54" s="14">
        <v>114.03919999999999</v>
      </c>
      <c r="D54" s="14">
        <v>108.4811</v>
      </c>
      <c r="E54" s="14">
        <v>112.91589999999999</v>
      </c>
      <c r="F54" s="14">
        <v>114.0311</v>
      </c>
      <c r="G54" s="14">
        <v>108.2761</v>
      </c>
      <c r="H54" s="14">
        <v>114.79349999999999</v>
      </c>
      <c r="I54" s="14">
        <v>113.6349</v>
      </c>
      <c r="J54" s="14">
        <v>115.1356</v>
      </c>
      <c r="K54" s="14">
        <v>120.2912</v>
      </c>
      <c r="L54" s="14">
        <v>116.25700000000001</v>
      </c>
      <c r="M54" s="14">
        <v>121.3253</v>
      </c>
      <c r="N54" s="14">
        <v>120.6557</v>
      </c>
    </row>
    <row r="55" spans="2:14">
      <c r="B55" t="s">
        <v>150</v>
      </c>
      <c r="C55" s="14">
        <v>328.2491</v>
      </c>
      <c r="D55" s="14">
        <v>322.81659999999999</v>
      </c>
      <c r="E55" s="14">
        <v>332.40300000000002</v>
      </c>
      <c r="F55" s="14">
        <v>338.12020000000001</v>
      </c>
      <c r="G55" s="14">
        <v>343.08640000000003</v>
      </c>
      <c r="H55" s="14">
        <v>352.79669999999999</v>
      </c>
      <c r="I55" s="14">
        <v>361.38810000000001</v>
      </c>
      <c r="J55" s="14">
        <v>356.27699999999999</v>
      </c>
      <c r="K55" s="14">
        <v>357.97910000000002</v>
      </c>
      <c r="L55" s="14">
        <v>364.33049999999997</v>
      </c>
      <c r="M55" s="14">
        <v>376.14710000000002</v>
      </c>
      <c r="N55" s="14">
        <v>379.36</v>
      </c>
    </row>
    <row r="56" spans="2:14">
      <c r="B56" t="s">
        <v>123</v>
      </c>
      <c r="C56" s="14">
        <v>97.282399999999996</v>
      </c>
      <c r="D56" s="14">
        <v>95.093699999999998</v>
      </c>
      <c r="E56" s="14">
        <v>100.8721</v>
      </c>
      <c r="F56" s="14">
        <v>97.624099999999999</v>
      </c>
      <c r="G56" s="14">
        <v>102.32980000000001</v>
      </c>
      <c r="H56" s="14">
        <v>100.4721</v>
      </c>
      <c r="I56" s="14">
        <v>100.9002</v>
      </c>
      <c r="J56" s="14">
        <v>102.9704</v>
      </c>
      <c r="K56" s="14">
        <v>101.1688</v>
      </c>
      <c r="L56" s="14">
        <v>102.0826</v>
      </c>
      <c r="M56" s="14">
        <v>104.9648</v>
      </c>
      <c r="N56" s="14">
        <v>108.1126</v>
      </c>
    </row>
    <row r="57" spans="2:14">
      <c r="B57" t="s">
        <v>113</v>
      </c>
      <c r="C57" s="14">
        <v>182.60560000000001</v>
      </c>
      <c r="D57" s="14">
        <v>187.4667</v>
      </c>
      <c r="E57" s="14">
        <v>183.6865</v>
      </c>
      <c r="F57" s="14">
        <v>185.32919999999999</v>
      </c>
      <c r="G57" s="14">
        <v>191.32859999999999</v>
      </c>
      <c r="H57" s="14">
        <v>199.12520000000001</v>
      </c>
      <c r="I57" s="14">
        <v>208.4836</v>
      </c>
      <c r="J57" s="14">
        <v>217.35429999999999</v>
      </c>
      <c r="K57" s="14">
        <v>222.50049999999999</v>
      </c>
      <c r="L57" s="14">
        <v>224.17769999999999</v>
      </c>
      <c r="M57" s="14">
        <v>229.81379999999999</v>
      </c>
      <c r="N57" s="14">
        <v>232.7972</v>
      </c>
    </row>
    <row r="58" spans="2:14">
      <c r="B58" t="s">
        <v>120</v>
      </c>
      <c r="C58" s="14">
        <v>506.26979999999998</v>
      </c>
      <c r="D58" s="14">
        <v>511.447</v>
      </c>
      <c r="E58" s="14">
        <v>520.10209999999995</v>
      </c>
      <c r="F58" s="14">
        <v>532.67600000000004</v>
      </c>
      <c r="G58" s="14">
        <v>537.5951</v>
      </c>
      <c r="H58" s="14">
        <v>547.43430000000001</v>
      </c>
      <c r="I58" s="14">
        <v>558.17849999999999</v>
      </c>
      <c r="J58" s="14">
        <v>561.64620000000002</v>
      </c>
      <c r="K58" s="14">
        <v>562.24369999999999</v>
      </c>
      <c r="L58" s="14">
        <v>559.82339999999999</v>
      </c>
      <c r="M58" s="14">
        <v>581.71320000000003</v>
      </c>
      <c r="N58" s="14">
        <v>592.75059999999996</v>
      </c>
    </row>
    <row r="59" spans="2:14">
      <c r="B59" t="s">
        <v>132</v>
      </c>
      <c r="C59" s="14">
        <v>124.0635</v>
      </c>
      <c r="D59" s="14">
        <v>122.6322</v>
      </c>
      <c r="E59" s="14">
        <v>123.729</v>
      </c>
      <c r="F59" s="14">
        <v>126.14700000000001</v>
      </c>
      <c r="G59" s="14">
        <v>123.8642</v>
      </c>
      <c r="H59" s="14">
        <v>127.3767</v>
      </c>
      <c r="I59" s="14">
        <v>126.8125</v>
      </c>
      <c r="J59" s="14">
        <v>128.45410000000001</v>
      </c>
      <c r="K59" s="14">
        <v>124.4751</v>
      </c>
      <c r="L59" s="14">
        <v>127.6602</v>
      </c>
      <c r="M59" s="14">
        <v>130.49789999999999</v>
      </c>
      <c r="N59" s="14">
        <v>131.32599999999999</v>
      </c>
    </row>
    <row r="60" spans="2:14">
      <c r="B60" t="s">
        <v>104</v>
      </c>
      <c r="C60" s="14">
        <v>194.24889999999999</v>
      </c>
      <c r="D60" s="14">
        <v>194.62649999999999</v>
      </c>
      <c r="E60" s="14">
        <v>198.60990000000001</v>
      </c>
      <c r="F60" s="14">
        <v>199.59889999999999</v>
      </c>
      <c r="G60" s="14">
        <v>204.90289999999999</v>
      </c>
      <c r="H60" s="14">
        <v>206.85390000000001</v>
      </c>
      <c r="I60" s="14">
        <v>213.04509999999999</v>
      </c>
      <c r="J60" s="14">
        <v>214.30670000000001</v>
      </c>
      <c r="K60" s="14">
        <v>220.61240000000001</v>
      </c>
      <c r="L60" s="14">
        <v>217.7268</v>
      </c>
      <c r="M60" s="14">
        <v>220.39259999999999</v>
      </c>
      <c r="N60" s="14">
        <v>231.15360000000001</v>
      </c>
    </row>
    <row r="61" spans="2:14">
      <c r="B61" t="s">
        <v>109</v>
      </c>
      <c r="C61" s="14">
        <v>276.26249999999999</v>
      </c>
      <c r="D61" s="14">
        <v>274.90390000000002</v>
      </c>
      <c r="E61" s="14">
        <v>278.48180000000002</v>
      </c>
      <c r="F61" s="14">
        <v>288.58730000000003</v>
      </c>
      <c r="G61" s="14">
        <v>293.0729</v>
      </c>
      <c r="H61" s="14">
        <v>289.26870000000002</v>
      </c>
      <c r="I61" s="14">
        <v>289.19650000000001</v>
      </c>
      <c r="J61" s="14">
        <v>290.72699999999998</v>
      </c>
      <c r="K61" s="14">
        <v>295.58069999999998</v>
      </c>
      <c r="L61" s="14">
        <v>288.90780000000001</v>
      </c>
      <c r="M61" s="14">
        <v>297.7878</v>
      </c>
      <c r="N61" s="14">
        <v>306.16759999999999</v>
      </c>
    </row>
    <row r="62" spans="2:14">
      <c r="B62" t="s">
        <v>121</v>
      </c>
      <c r="C62" s="14">
        <v>416.73579999999998</v>
      </c>
      <c r="D62" s="14">
        <v>425.31790000000001</v>
      </c>
      <c r="E62" s="14">
        <v>422.22989999999999</v>
      </c>
      <c r="F62" s="14">
        <v>422.57029999999997</v>
      </c>
      <c r="G62" s="14">
        <v>435.33980000000003</v>
      </c>
      <c r="H62" s="14">
        <v>442.68529999999998</v>
      </c>
      <c r="I62" s="14">
        <v>447.25700000000001</v>
      </c>
      <c r="J62" s="14">
        <v>459.38920000000002</v>
      </c>
      <c r="K62" s="14">
        <v>452.83629999999999</v>
      </c>
      <c r="L62" s="14">
        <v>476.37889999999999</v>
      </c>
      <c r="M62" s="14">
        <v>485.26240000000001</v>
      </c>
      <c r="N62" s="14">
        <v>502.9776</v>
      </c>
    </row>
    <row r="63" spans="2:14">
      <c r="B63" t="s">
        <v>138</v>
      </c>
      <c r="C63" s="14">
        <v>251.86539999999999</v>
      </c>
      <c r="D63" s="14">
        <v>257.67790000000002</v>
      </c>
      <c r="E63" s="14">
        <v>254.2217</v>
      </c>
      <c r="F63" s="14">
        <v>261.3075</v>
      </c>
      <c r="G63" s="14">
        <v>258.62720000000002</v>
      </c>
      <c r="H63" s="14">
        <v>259.8467</v>
      </c>
      <c r="I63" s="14">
        <v>275.15640000000002</v>
      </c>
      <c r="J63" s="14">
        <v>280.54270000000002</v>
      </c>
      <c r="K63" s="14">
        <v>279.36450000000002</v>
      </c>
      <c r="L63" s="14">
        <v>281.14330000000001</v>
      </c>
      <c r="M63" s="14">
        <v>291.96679999999998</v>
      </c>
      <c r="N63" s="14">
        <v>299.4957</v>
      </c>
    </row>
    <row r="64" spans="2:14">
      <c r="B64" t="s">
        <v>111</v>
      </c>
      <c r="C64" s="14">
        <v>685.99699999999996</v>
      </c>
      <c r="D64" s="14">
        <v>678.30330000000004</v>
      </c>
      <c r="E64" s="14">
        <v>688.1146</v>
      </c>
      <c r="F64" s="14">
        <v>683.04600000000005</v>
      </c>
      <c r="G64" s="14">
        <v>684.76739999999995</v>
      </c>
      <c r="H64" s="14">
        <v>693.92250000000001</v>
      </c>
      <c r="I64" s="14">
        <v>698.75</v>
      </c>
      <c r="J64" s="14">
        <v>705.48069999999996</v>
      </c>
      <c r="K64" s="14">
        <v>698.31050000000005</v>
      </c>
      <c r="L64" s="14">
        <v>696.9556</v>
      </c>
      <c r="M64" s="14">
        <v>715.55769999999995</v>
      </c>
      <c r="N64" s="14">
        <v>745.87819999999999</v>
      </c>
    </row>
    <row r="65" spans="2:14">
      <c r="B65" t="s">
        <v>146</v>
      </c>
      <c r="C65" s="14">
        <v>1097.3846000000001</v>
      </c>
      <c r="D65" s="14">
        <v>1110.3162</v>
      </c>
      <c r="E65" s="14">
        <v>1141.5494000000001</v>
      </c>
      <c r="F65" s="14">
        <v>1144.9966999999999</v>
      </c>
      <c r="G65" s="14">
        <v>1162.6112000000001</v>
      </c>
      <c r="H65" s="14">
        <v>1175.5742</v>
      </c>
      <c r="I65" s="14">
        <v>1167.277</v>
      </c>
      <c r="J65" s="14">
        <v>1162.5742</v>
      </c>
      <c r="K65" s="14">
        <v>1093.7596000000001</v>
      </c>
      <c r="L65" s="14">
        <v>1065.1111000000001</v>
      </c>
      <c r="M65" s="14">
        <v>1084.0494000000001</v>
      </c>
      <c r="N65" s="14">
        <v>1093.9829</v>
      </c>
    </row>
    <row r="66" spans="2:14">
      <c r="B66" t="s">
        <v>115</v>
      </c>
      <c r="C66" s="14">
        <v>174.65010000000001</v>
      </c>
      <c r="D66" s="14">
        <v>177.5437</v>
      </c>
      <c r="E66" s="14">
        <v>180.50810000000001</v>
      </c>
      <c r="F66" s="14">
        <v>184.8914</v>
      </c>
      <c r="G66" s="14">
        <v>186.90889999999999</v>
      </c>
      <c r="H66" s="14">
        <v>187.69200000000001</v>
      </c>
      <c r="I66" s="14">
        <v>193.68170000000001</v>
      </c>
      <c r="J66" s="14">
        <v>195.89599999999999</v>
      </c>
      <c r="K66" s="14">
        <v>200.58240000000001</v>
      </c>
      <c r="L66" s="14">
        <v>200.98060000000001</v>
      </c>
      <c r="M66" s="14">
        <v>208.83850000000001</v>
      </c>
      <c r="N66" s="14">
        <v>216.09800000000001</v>
      </c>
    </row>
    <row r="67" spans="2:14">
      <c r="B67" t="s">
        <v>90</v>
      </c>
      <c r="C67" s="14">
        <v>45.056600000000003</v>
      </c>
      <c r="D67" s="14">
        <v>46.297499999999999</v>
      </c>
      <c r="E67" s="14">
        <v>49.741399999999999</v>
      </c>
      <c r="F67" s="14">
        <v>45.847700000000003</v>
      </c>
      <c r="G67" s="14">
        <v>47.884300000000003</v>
      </c>
      <c r="H67" s="14">
        <v>49.337600000000002</v>
      </c>
      <c r="I67" s="14">
        <v>45.794899999999998</v>
      </c>
      <c r="J67" s="14">
        <v>47.152299999999997</v>
      </c>
      <c r="K67" s="14">
        <v>50.899000000000001</v>
      </c>
      <c r="L67" s="14">
        <v>51.874600000000001</v>
      </c>
      <c r="M67" s="14">
        <v>54.89</v>
      </c>
      <c r="N67" s="14">
        <v>53.075499999999998</v>
      </c>
    </row>
    <row r="68" spans="2:14">
      <c r="B68" t="s">
        <v>129</v>
      </c>
      <c r="C68" s="14">
        <v>63.3613</v>
      </c>
      <c r="D68" s="14">
        <v>62.407699999999998</v>
      </c>
      <c r="E68" s="14">
        <v>62.538899999999998</v>
      </c>
      <c r="F68" s="14">
        <v>62.026400000000002</v>
      </c>
      <c r="G68" s="14">
        <v>65.621700000000004</v>
      </c>
      <c r="H68" s="14">
        <v>67.5959</v>
      </c>
      <c r="I68" s="14">
        <v>67.451099999999997</v>
      </c>
      <c r="J68" s="14">
        <v>68.572800000000001</v>
      </c>
      <c r="K68" s="14">
        <v>69.590999999999994</v>
      </c>
      <c r="L68" s="14">
        <v>66.826499999999996</v>
      </c>
      <c r="M68" s="14">
        <v>66.540199999999999</v>
      </c>
      <c r="N68" s="14">
        <v>69.845600000000005</v>
      </c>
    </row>
    <row r="69" spans="2:14">
      <c r="B69" t="s">
        <v>133</v>
      </c>
      <c r="C69" s="14">
        <v>322.44</v>
      </c>
      <c r="D69" s="14">
        <v>325.74020000000002</v>
      </c>
      <c r="E69" s="14">
        <v>312.32510000000002</v>
      </c>
      <c r="F69" s="14">
        <v>324.31450000000001</v>
      </c>
      <c r="G69" s="14">
        <v>325.74590000000001</v>
      </c>
      <c r="H69" s="14">
        <v>327.8057</v>
      </c>
      <c r="I69" s="14">
        <v>339.8895</v>
      </c>
      <c r="J69" s="14">
        <v>345.52699999999999</v>
      </c>
      <c r="K69" s="14">
        <v>353.07100000000003</v>
      </c>
      <c r="L69" s="14">
        <v>344.13510000000002</v>
      </c>
      <c r="M69" s="14">
        <v>328.70030000000003</v>
      </c>
      <c r="N69" s="14">
        <v>332.84910000000002</v>
      </c>
    </row>
    <row r="70" spans="2:14">
      <c r="B70" t="s">
        <v>118</v>
      </c>
      <c r="C70" s="14">
        <v>289.68939999999998</v>
      </c>
      <c r="D70" s="14">
        <v>288.30790000000002</v>
      </c>
      <c r="E70" s="14">
        <v>296.4631</v>
      </c>
      <c r="F70" s="14">
        <v>305.37610000000001</v>
      </c>
      <c r="G70" s="14">
        <v>307.75619999999998</v>
      </c>
      <c r="H70" s="14">
        <v>314.48450000000003</v>
      </c>
      <c r="I70" s="14">
        <v>317.25069999999999</v>
      </c>
      <c r="J70" s="14">
        <v>315.90859999999998</v>
      </c>
      <c r="K70" s="14">
        <v>306.6345</v>
      </c>
      <c r="L70" s="14">
        <v>309.08819999999997</v>
      </c>
      <c r="M70" s="14">
        <v>343.07679999999999</v>
      </c>
      <c r="N70" s="14">
        <v>356.38940000000002</v>
      </c>
    </row>
    <row r="71" spans="2:14">
      <c r="B71" t="s">
        <v>114</v>
      </c>
      <c r="C71" s="14">
        <v>270.5643</v>
      </c>
      <c r="D71" s="14">
        <v>272.1037</v>
      </c>
      <c r="E71" s="14">
        <v>278.90899999999999</v>
      </c>
      <c r="F71" s="14">
        <v>290.5575</v>
      </c>
      <c r="G71" s="14">
        <v>283.07580000000002</v>
      </c>
      <c r="H71" s="14">
        <v>284.95949999999999</v>
      </c>
      <c r="I71" s="14">
        <v>285.98309999999998</v>
      </c>
      <c r="J71" s="14">
        <v>284.23500000000001</v>
      </c>
      <c r="K71" s="14">
        <v>289.351</v>
      </c>
      <c r="L71" s="14">
        <v>281.73050000000001</v>
      </c>
      <c r="M71" s="14">
        <v>288.63159999999999</v>
      </c>
      <c r="N71" s="14">
        <v>299.077</v>
      </c>
    </row>
    <row r="72" spans="2:14">
      <c r="B72" t="s">
        <v>107</v>
      </c>
      <c r="C72" s="14">
        <v>22.539100000000001</v>
      </c>
      <c r="D72" s="14">
        <v>21.473199999999999</v>
      </c>
      <c r="E72" s="14">
        <v>21.537099999999999</v>
      </c>
      <c r="F72" s="14">
        <v>23.400700000000001</v>
      </c>
      <c r="G72" s="14">
        <v>23.9922</v>
      </c>
      <c r="H72" s="14">
        <v>24.953099999999999</v>
      </c>
      <c r="I72" s="14">
        <v>24.4941</v>
      </c>
      <c r="J72" s="14">
        <v>23.280899999999999</v>
      </c>
      <c r="K72" s="14">
        <v>21.5273</v>
      </c>
      <c r="L72" s="14">
        <v>22.23</v>
      </c>
      <c r="M72" s="14">
        <v>24.2193</v>
      </c>
      <c r="N72" s="14">
        <v>25.288</v>
      </c>
    </row>
    <row r="73" spans="2:14">
      <c r="B73" t="s">
        <v>89</v>
      </c>
      <c r="C73" s="14">
        <v>54.962800000000001</v>
      </c>
      <c r="D73" s="14">
        <v>49.360399999999998</v>
      </c>
      <c r="E73" s="14">
        <v>46.450299999999999</v>
      </c>
      <c r="F73" s="14">
        <v>47.875599999999999</v>
      </c>
      <c r="G73" s="14">
        <v>48.632399999999997</v>
      </c>
      <c r="H73" s="14">
        <v>46.962000000000003</v>
      </c>
      <c r="I73" s="14">
        <v>44.813200000000002</v>
      </c>
      <c r="J73" s="14">
        <v>47.726799999999997</v>
      </c>
      <c r="K73" s="14">
        <v>49.626899999999999</v>
      </c>
      <c r="L73" s="14">
        <v>48.980499999999999</v>
      </c>
      <c r="M73" s="14">
        <v>47.820500000000003</v>
      </c>
      <c r="N73" s="14">
        <v>48.7864</v>
      </c>
    </row>
    <row r="74" spans="2:14">
      <c r="B74" t="s">
        <v>100</v>
      </c>
      <c r="C74" s="14">
        <v>99.586100000000002</v>
      </c>
      <c r="D74" s="14">
        <v>98.976100000000002</v>
      </c>
      <c r="E74" s="14">
        <v>95.280100000000004</v>
      </c>
      <c r="F74" s="14">
        <v>96.334900000000005</v>
      </c>
      <c r="G74" s="14">
        <v>95.764399999999995</v>
      </c>
      <c r="H74" s="14">
        <v>94.993200000000002</v>
      </c>
      <c r="I74" s="14">
        <v>99.2898</v>
      </c>
      <c r="J74" s="14">
        <v>98.2286</v>
      </c>
      <c r="K74" s="14">
        <v>97.870199999999997</v>
      </c>
      <c r="L74" s="14">
        <v>96.290599999999998</v>
      </c>
      <c r="M74" s="14">
        <v>98.885099999999994</v>
      </c>
      <c r="N74" s="14">
        <v>97.657600000000002</v>
      </c>
    </row>
    <row r="75" spans="2:14">
      <c r="B75" t="s">
        <v>148</v>
      </c>
      <c r="C75" s="14">
        <v>47.607399999999998</v>
      </c>
      <c r="D75" s="14">
        <v>49.499499999999998</v>
      </c>
      <c r="E75" s="14">
        <v>48.591200000000001</v>
      </c>
      <c r="F75" s="14">
        <v>47.163600000000002</v>
      </c>
      <c r="G75" s="14">
        <v>47.944800000000001</v>
      </c>
      <c r="H75" s="14">
        <v>48.3157</v>
      </c>
      <c r="I75" s="14">
        <v>50.199599999999997</v>
      </c>
      <c r="J75" s="14">
        <v>48.908499999999997</v>
      </c>
      <c r="K75" s="14">
        <v>47.741300000000003</v>
      </c>
      <c r="L75" s="14">
        <v>50.206299999999999</v>
      </c>
      <c r="M75" s="14">
        <v>53.664700000000003</v>
      </c>
      <c r="N75" s="14">
        <v>53.259</v>
      </c>
    </row>
    <row r="76" spans="2:14">
      <c r="B76" t="s">
        <v>105</v>
      </c>
      <c r="C76" s="14">
        <v>55.604100000000003</v>
      </c>
      <c r="D76" s="14">
        <v>58.512500000000003</v>
      </c>
      <c r="E76" s="14">
        <v>58.057200000000002</v>
      </c>
      <c r="F76" s="14">
        <v>59.012</v>
      </c>
      <c r="G76" s="14">
        <v>60.332999999999998</v>
      </c>
      <c r="H76" s="14">
        <v>55.796799999999998</v>
      </c>
      <c r="I76" s="14">
        <v>56.921799999999998</v>
      </c>
      <c r="J76" s="14">
        <v>58.752400000000002</v>
      </c>
      <c r="K76" s="14">
        <v>56.732999999999997</v>
      </c>
      <c r="L76" s="14">
        <v>55.7271</v>
      </c>
      <c r="M76" s="14">
        <v>58.627099999999999</v>
      </c>
      <c r="N76" s="14">
        <v>62.141599999999997</v>
      </c>
    </row>
    <row r="77" spans="2:14">
      <c r="B77" t="s">
        <v>140</v>
      </c>
      <c r="C77" s="14">
        <v>326.01990000000001</v>
      </c>
      <c r="D77" s="14">
        <v>332.86930000000001</v>
      </c>
      <c r="E77" s="14">
        <v>338.96530000000001</v>
      </c>
      <c r="F77" s="14">
        <v>342.20269999999999</v>
      </c>
      <c r="G77" s="14">
        <v>338.43900000000002</v>
      </c>
      <c r="H77" s="14">
        <v>342.30610000000001</v>
      </c>
      <c r="I77" s="14">
        <v>357.9051</v>
      </c>
      <c r="J77" s="14">
        <v>364.40120000000002</v>
      </c>
      <c r="K77" s="14">
        <v>371.60070000000002</v>
      </c>
      <c r="L77" s="14">
        <v>370.70119999999997</v>
      </c>
      <c r="M77" s="14">
        <v>380.76839999999999</v>
      </c>
      <c r="N77" s="14">
        <v>402.97149999999999</v>
      </c>
    </row>
    <row r="78" spans="2:14">
      <c r="B78" t="s">
        <v>94</v>
      </c>
      <c r="C78" s="14">
        <v>2096.1819</v>
      </c>
      <c r="D78" s="14">
        <v>2111.2728000000002</v>
      </c>
      <c r="E78" s="14">
        <v>2132.4029999999998</v>
      </c>
      <c r="F78" s="14">
        <v>2125.6808000000001</v>
      </c>
      <c r="G78" s="14">
        <v>2125.8708000000001</v>
      </c>
      <c r="H78" s="14">
        <v>2198.0448999999999</v>
      </c>
      <c r="I78" s="14">
        <v>2212.7474000000002</v>
      </c>
      <c r="J78" s="14">
        <v>2310.5275999999999</v>
      </c>
      <c r="K78" s="14">
        <v>2342.9666999999999</v>
      </c>
      <c r="L78" s="14">
        <v>2304.1617000000001</v>
      </c>
      <c r="M78" s="14">
        <v>2390.4688000000001</v>
      </c>
      <c r="N78" s="14">
        <v>2464.9090000000001</v>
      </c>
    </row>
    <row r="79" spans="2:14">
      <c r="B79" t="s">
        <v>126</v>
      </c>
      <c r="C79" s="14">
        <v>336.89769999999999</v>
      </c>
      <c r="D79" s="14">
        <v>359.2876</v>
      </c>
      <c r="E79" s="14">
        <v>384.1078</v>
      </c>
      <c r="F79" s="14">
        <v>408.15480000000002</v>
      </c>
      <c r="G79" s="14">
        <v>424.96010000000001</v>
      </c>
      <c r="H79" s="14">
        <v>455.17759999999998</v>
      </c>
      <c r="I79" s="14">
        <v>465.9538</v>
      </c>
      <c r="J79" s="14">
        <v>496.51769999999999</v>
      </c>
      <c r="K79" s="14">
        <v>536.11189999999999</v>
      </c>
      <c r="L79" s="14">
        <v>544.97820000000002</v>
      </c>
      <c r="M79" s="14">
        <v>588.43100000000004</v>
      </c>
      <c r="N79" s="14">
        <v>642.65869999999995</v>
      </c>
    </row>
    <row r="80" spans="2:14">
      <c r="B80" t="s">
        <v>76</v>
      </c>
      <c r="C80" s="14">
        <v>207.34819999999999</v>
      </c>
      <c r="D80" s="14">
        <v>217.12649999999999</v>
      </c>
      <c r="E80" s="14">
        <v>219.49600000000001</v>
      </c>
      <c r="F80" s="14">
        <v>221.23439999999999</v>
      </c>
      <c r="G80" s="14">
        <v>223.71109999999999</v>
      </c>
      <c r="H80" s="14">
        <v>226.04069999999999</v>
      </c>
      <c r="I80" s="14">
        <v>229.7105</v>
      </c>
      <c r="J80" s="14">
        <v>234.3066</v>
      </c>
      <c r="K80" s="14">
        <v>239.12950000000001</v>
      </c>
      <c r="L80" s="14">
        <v>236.0403</v>
      </c>
      <c r="M80" s="14">
        <v>240.32669999999999</v>
      </c>
      <c r="N80" s="14">
        <v>245.93039999999999</v>
      </c>
    </row>
    <row r="81" spans="1:14">
      <c r="B81" t="s">
        <v>137</v>
      </c>
      <c r="C81" s="14">
        <v>268.7079</v>
      </c>
      <c r="D81" s="14">
        <v>265.8664</v>
      </c>
      <c r="E81" s="14">
        <v>263.87110000000001</v>
      </c>
      <c r="F81" s="14">
        <v>266.81630000000001</v>
      </c>
      <c r="G81" s="14">
        <v>269.5059</v>
      </c>
      <c r="H81" s="14">
        <v>271.30119999999999</v>
      </c>
      <c r="I81" s="14">
        <v>271.68689999999998</v>
      </c>
      <c r="J81" s="14">
        <v>270.41340000000002</v>
      </c>
      <c r="K81" s="14">
        <v>274.7199</v>
      </c>
      <c r="L81" s="14">
        <v>273.8596</v>
      </c>
      <c r="M81" s="14">
        <v>290.67149999999998</v>
      </c>
      <c r="N81" s="14">
        <v>299.35109999999997</v>
      </c>
    </row>
    <row r="82" spans="1:14">
      <c r="B82" t="s">
        <v>112</v>
      </c>
      <c r="C82" s="14">
        <v>19.3245</v>
      </c>
      <c r="D82" s="14">
        <v>19.650600000000001</v>
      </c>
      <c r="E82" s="14">
        <v>18.159500000000001</v>
      </c>
      <c r="F82" s="14">
        <v>18.230399999999999</v>
      </c>
      <c r="G82" s="14">
        <v>18.719899999999999</v>
      </c>
      <c r="H82" s="14">
        <v>21.649699999999999</v>
      </c>
      <c r="I82" s="14">
        <v>19.202100000000002</v>
      </c>
      <c r="J82" s="14">
        <v>19.197700000000001</v>
      </c>
      <c r="K82" s="14">
        <v>18.512799999999999</v>
      </c>
      <c r="L82" s="14">
        <v>19.881</v>
      </c>
      <c r="M82" s="14">
        <v>20.9453</v>
      </c>
      <c r="N82" s="14">
        <v>20.0106</v>
      </c>
    </row>
    <row r="83" spans="1:14">
      <c r="B83" t="s">
        <v>141</v>
      </c>
      <c r="C83" s="14">
        <v>40.586199999999998</v>
      </c>
      <c r="D83" s="14">
        <v>44.034500000000001</v>
      </c>
      <c r="E83" s="14">
        <v>44.308300000000003</v>
      </c>
      <c r="F83" s="14">
        <v>42.820300000000003</v>
      </c>
      <c r="G83" s="14">
        <v>40.5762</v>
      </c>
      <c r="H83" s="14">
        <v>41.293599999999998</v>
      </c>
      <c r="I83" s="14">
        <v>43.163499999999999</v>
      </c>
      <c r="J83" s="14">
        <v>43.013399999999997</v>
      </c>
      <c r="K83" s="14">
        <v>45.465699999999998</v>
      </c>
      <c r="L83" s="14">
        <v>44.540799999999997</v>
      </c>
      <c r="M83" s="14">
        <v>43.598799999999997</v>
      </c>
      <c r="N83" s="14">
        <v>46.259900000000002</v>
      </c>
    </row>
    <row r="84" spans="1:14">
      <c r="B84" t="s">
        <v>93</v>
      </c>
      <c r="C84" s="14">
        <v>8.0488999999999997</v>
      </c>
      <c r="D84" s="14">
        <v>8.2098999999999993</v>
      </c>
      <c r="E84" s="14">
        <v>8.1491000000000007</v>
      </c>
      <c r="F84" s="14">
        <v>7.8798000000000004</v>
      </c>
      <c r="G84" s="14">
        <v>7.7214999999999998</v>
      </c>
      <c r="H84" s="14">
        <v>7.2858000000000001</v>
      </c>
      <c r="I84" s="14">
        <v>7.0446999999999997</v>
      </c>
      <c r="J84" s="14">
        <v>7.3292999999999999</v>
      </c>
      <c r="K84" s="14">
        <v>7.1825999999999999</v>
      </c>
      <c r="L84" s="14">
        <v>7.9557000000000002</v>
      </c>
      <c r="M84" s="14">
        <v>7.1917</v>
      </c>
      <c r="N84" s="14">
        <v>7.8754999999999997</v>
      </c>
    </row>
    <row r="85" spans="1:14">
      <c r="B85" t="s">
        <v>144</v>
      </c>
      <c r="C85" s="14">
        <v>138.86699999999999</v>
      </c>
      <c r="D85" s="14">
        <v>146.41329999999999</v>
      </c>
      <c r="E85" s="14">
        <v>143.3982</v>
      </c>
      <c r="F85" s="14">
        <v>143.6516</v>
      </c>
      <c r="G85" s="14">
        <v>144.41</v>
      </c>
      <c r="H85" s="14">
        <v>148.68</v>
      </c>
      <c r="I85" s="14">
        <v>153.3023</v>
      </c>
      <c r="J85" s="14">
        <v>150.78110000000001</v>
      </c>
      <c r="K85" s="14">
        <v>154.7955</v>
      </c>
      <c r="L85" s="14">
        <v>147.5214</v>
      </c>
      <c r="M85" s="14">
        <v>155.8287</v>
      </c>
      <c r="N85" s="14">
        <v>161.1918</v>
      </c>
    </row>
    <row r="86" spans="1:14">
      <c r="B86" t="s">
        <v>92</v>
      </c>
      <c r="C86" s="14">
        <v>91.4405</v>
      </c>
      <c r="D86" s="14">
        <v>96.016099999999994</v>
      </c>
      <c r="E86" s="14">
        <v>98.188100000000006</v>
      </c>
      <c r="F86" s="14">
        <v>106.9671</v>
      </c>
      <c r="G86" s="14">
        <v>105.66370000000001</v>
      </c>
      <c r="H86" s="14">
        <v>106.6944</v>
      </c>
      <c r="I86" s="14">
        <v>110.6095</v>
      </c>
      <c r="J86" s="14">
        <v>111.104</v>
      </c>
      <c r="K86" s="14">
        <v>113.82729999999999</v>
      </c>
      <c r="L86" s="14">
        <v>116.59829999999999</v>
      </c>
      <c r="M86" s="14">
        <v>122.06229999999999</v>
      </c>
      <c r="N86" s="14">
        <v>124.3599</v>
      </c>
    </row>
    <row r="87" spans="1:14">
      <c r="B87" t="s">
        <v>122</v>
      </c>
      <c r="C87" s="14">
        <v>162.2193</v>
      </c>
      <c r="D87" s="14">
        <v>186.9599</v>
      </c>
      <c r="E87" s="14">
        <v>205.82339999999999</v>
      </c>
      <c r="F87" s="14">
        <v>208.55099999999999</v>
      </c>
      <c r="G87" s="14">
        <v>215.19659999999999</v>
      </c>
      <c r="H87" s="14">
        <v>227.6567</v>
      </c>
      <c r="I87" s="14">
        <v>231.39019999999999</v>
      </c>
      <c r="J87" s="14">
        <v>237.22219999999999</v>
      </c>
      <c r="K87" s="14">
        <v>245.1533</v>
      </c>
      <c r="L87" s="14">
        <v>241.14340000000001</v>
      </c>
      <c r="M87" s="14">
        <v>254.82759999999999</v>
      </c>
      <c r="N87" s="14">
        <v>269.30090000000001</v>
      </c>
    </row>
    <row r="88" spans="1:14">
      <c r="B88" t="s">
        <v>96</v>
      </c>
      <c r="C88" s="14">
        <v>633.82809999999995</v>
      </c>
      <c r="D88" s="14">
        <v>636.51220000000001</v>
      </c>
      <c r="E88" s="14">
        <v>644.97159999999997</v>
      </c>
      <c r="F88" s="14">
        <v>657.55259999999998</v>
      </c>
      <c r="G88" s="14">
        <v>663.64769999999999</v>
      </c>
      <c r="H88" s="14">
        <v>680.83439999999996</v>
      </c>
      <c r="I88" s="14">
        <v>687.25609999999995</v>
      </c>
      <c r="J88" s="14">
        <v>689.38959999999997</v>
      </c>
      <c r="K88" s="14">
        <v>681.52670000000001</v>
      </c>
      <c r="L88" s="14">
        <v>672.64739999999995</v>
      </c>
      <c r="M88" s="14">
        <v>688.11270000000002</v>
      </c>
      <c r="N88" s="14">
        <v>705.42150000000004</v>
      </c>
    </row>
    <row r="89" spans="1:14">
      <c r="B89" t="s">
        <v>95</v>
      </c>
      <c r="C89" s="14">
        <v>104.81950000000001</v>
      </c>
      <c r="D89" s="14">
        <v>109.1549</v>
      </c>
      <c r="E89" s="14">
        <v>103.7116</v>
      </c>
      <c r="F89" s="14">
        <v>110.06489999999999</v>
      </c>
      <c r="G89" s="14">
        <v>107.40730000000001</v>
      </c>
      <c r="H89" s="14">
        <v>107.72750000000001</v>
      </c>
      <c r="I89" s="14">
        <v>105.3609</v>
      </c>
      <c r="J89" s="14">
        <v>104.9903</v>
      </c>
      <c r="K89" s="14">
        <v>100.2283</v>
      </c>
      <c r="L89" s="14">
        <v>101.9337</v>
      </c>
      <c r="M89" s="14">
        <v>106.4084</v>
      </c>
      <c r="N89" s="14">
        <v>108.8411</v>
      </c>
    </row>
    <row r="90" spans="1:14">
      <c r="B90" t="s">
        <v>130</v>
      </c>
      <c r="C90" s="14">
        <v>198.71539999999999</v>
      </c>
      <c r="D90" s="14">
        <v>204.05690000000001</v>
      </c>
      <c r="E90" s="14">
        <v>205.23580000000001</v>
      </c>
      <c r="F90" s="14">
        <v>205.22919999999999</v>
      </c>
      <c r="G90" s="14">
        <v>205.38120000000001</v>
      </c>
      <c r="H90" s="14">
        <v>206.5325</v>
      </c>
      <c r="I90" s="14">
        <v>206.9691</v>
      </c>
      <c r="J90" s="14">
        <v>209.8595</v>
      </c>
      <c r="K90" s="14">
        <v>209.9554</v>
      </c>
      <c r="L90" s="14">
        <v>207.16290000000001</v>
      </c>
      <c r="M90" s="14">
        <v>213.19929999999999</v>
      </c>
      <c r="N90" s="14">
        <v>221.54310000000001</v>
      </c>
    </row>
    <row r="91" spans="1:14">
      <c r="B91" t="s">
        <v>99</v>
      </c>
      <c r="C91" s="14">
        <v>81.895600000000002</v>
      </c>
      <c r="D91" s="14">
        <v>81.929400000000001</v>
      </c>
      <c r="E91" s="14">
        <v>83.609499999999997</v>
      </c>
      <c r="F91" s="14">
        <v>84.038200000000003</v>
      </c>
      <c r="G91" s="14">
        <v>80.558999999999997</v>
      </c>
      <c r="H91" s="14">
        <v>83.332800000000006</v>
      </c>
      <c r="I91" s="14">
        <v>85.623000000000005</v>
      </c>
      <c r="J91" s="14">
        <v>83.595299999999995</v>
      </c>
      <c r="K91" s="14">
        <v>82.744600000000005</v>
      </c>
      <c r="L91" s="14">
        <v>83.744</v>
      </c>
      <c r="M91" s="14">
        <v>73.014899999999997</v>
      </c>
      <c r="N91" s="14">
        <v>71.331000000000003</v>
      </c>
    </row>
    <row r="92" spans="1:14">
      <c r="B92" t="s">
        <v>106</v>
      </c>
      <c r="C92" s="14">
        <v>315.26209999999998</v>
      </c>
      <c r="D92" s="14">
        <v>318.07260000000002</v>
      </c>
      <c r="E92" s="14">
        <v>319.09820000000002</v>
      </c>
      <c r="F92" s="14">
        <v>319.3922</v>
      </c>
      <c r="G92" s="14">
        <v>321.87880000000001</v>
      </c>
      <c r="H92" s="14">
        <v>323.87180000000001</v>
      </c>
      <c r="I92" s="14">
        <v>322.59980000000002</v>
      </c>
      <c r="J92" s="14">
        <v>316.58460000000002</v>
      </c>
      <c r="K92" s="14">
        <v>322.62560000000002</v>
      </c>
      <c r="L92" s="14">
        <v>321.69779999999997</v>
      </c>
      <c r="M92" s="14">
        <v>327.22750000000002</v>
      </c>
      <c r="N92" s="14">
        <v>336.18680000000001</v>
      </c>
    </row>
    <row r="93" spans="1:14">
      <c r="A93" t="s">
        <v>208</v>
      </c>
      <c r="B93" t="s">
        <v>97</v>
      </c>
      <c r="C93" s="14">
        <v>507.61020000000002</v>
      </c>
      <c r="D93" s="14">
        <v>514.98620000000005</v>
      </c>
      <c r="E93" s="14">
        <v>509.53980000000001</v>
      </c>
      <c r="F93" s="14">
        <v>518.59640000000002</v>
      </c>
      <c r="G93" s="14">
        <v>495.65949999999998</v>
      </c>
      <c r="H93" s="14">
        <v>477.56459999999998</v>
      </c>
      <c r="I93" s="14">
        <v>485.75580000000002</v>
      </c>
      <c r="J93" s="14">
        <v>507.00700000000001</v>
      </c>
      <c r="K93" s="14">
        <v>520.39469999999994</v>
      </c>
      <c r="L93" s="14">
        <v>524.53700000000003</v>
      </c>
      <c r="M93" s="14">
        <v>540.6617</v>
      </c>
      <c r="N93" s="14">
        <v>546.69259999999997</v>
      </c>
    </row>
    <row r="94" spans="1:14">
      <c r="B94" t="s">
        <v>151</v>
      </c>
      <c r="C94" s="14">
        <v>496.6515</v>
      </c>
      <c r="D94" s="14">
        <v>495.12650000000002</v>
      </c>
      <c r="E94" s="14">
        <v>497.37610000000001</v>
      </c>
      <c r="F94" s="14">
        <v>495.58539999999999</v>
      </c>
      <c r="G94" s="14">
        <v>487.99160000000001</v>
      </c>
      <c r="H94" s="14">
        <v>515.26070000000004</v>
      </c>
      <c r="I94" s="14">
        <v>530.59690000000001</v>
      </c>
      <c r="J94" s="14">
        <v>547.5181</v>
      </c>
      <c r="K94" s="14">
        <v>542.96569999999997</v>
      </c>
      <c r="L94" s="14">
        <v>544.15769999999998</v>
      </c>
      <c r="M94" s="14">
        <v>541.60339999999997</v>
      </c>
      <c r="N94" s="14">
        <v>560.34249999999997</v>
      </c>
    </row>
    <row r="95" spans="1:14">
      <c r="B95" t="s">
        <v>108</v>
      </c>
      <c r="C95" s="14">
        <v>97.0672</v>
      </c>
      <c r="D95" s="14">
        <v>99.382300000000001</v>
      </c>
      <c r="E95" s="14">
        <v>93.774100000000004</v>
      </c>
      <c r="F95" s="14">
        <v>93.398099999999999</v>
      </c>
      <c r="G95" s="14">
        <v>92.069900000000004</v>
      </c>
      <c r="H95" s="14">
        <v>90.404700000000005</v>
      </c>
      <c r="I95" s="14">
        <v>90.223299999999995</v>
      </c>
      <c r="J95" s="14">
        <v>90.981800000000007</v>
      </c>
      <c r="K95" s="14">
        <v>94.457099999999997</v>
      </c>
      <c r="L95" s="14">
        <v>101.3082</v>
      </c>
      <c r="M95" s="14">
        <v>115.0498</v>
      </c>
      <c r="N95" s="14">
        <v>110.1482</v>
      </c>
    </row>
    <row r="96" spans="1:14">
      <c r="B96" t="s">
        <v>87</v>
      </c>
      <c r="C96" s="14">
        <v>39.905099999999997</v>
      </c>
      <c r="D96" s="14">
        <v>40.511200000000002</v>
      </c>
      <c r="E96" s="14">
        <v>41.0732</v>
      </c>
      <c r="F96" s="14">
        <v>41.204599999999999</v>
      </c>
      <c r="G96" s="14">
        <v>41.260599999999997</v>
      </c>
      <c r="H96" s="14">
        <v>39.463299999999997</v>
      </c>
      <c r="I96" s="14">
        <v>37.876100000000001</v>
      </c>
      <c r="J96" s="14">
        <v>33.863300000000002</v>
      </c>
      <c r="K96" s="14">
        <v>34.791499999999999</v>
      </c>
      <c r="L96" s="14">
        <v>33.9572</v>
      </c>
      <c r="M96" s="14">
        <v>34.631799999999998</v>
      </c>
      <c r="N96" s="14">
        <v>33.411000000000001</v>
      </c>
    </row>
    <row r="97" spans="2:14">
      <c r="B97" t="s">
        <v>77</v>
      </c>
      <c r="C97" s="14">
        <v>532.72559999999999</v>
      </c>
      <c r="D97" s="14">
        <v>540.39930000000004</v>
      </c>
      <c r="E97" s="14">
        <v>551.1902</v>
      </c>
      <c r="F97" s="14">
        <v>560.40179999999998</v>
      </c>
      <c r="G97" s="14">
        <v>567.38890000000004</v>
      </c>
      <c r="H97" s="14">
        <v>573.63009999999997</v>
      </c>
      <c r="I97" s="14">
        <v>569.69650000000001</v>
      </c>
      <c r="J97" s="14">
        <v>569.49770000000001</v>
      </c>
      <c r="K97" s="14">
        <v>565.78</v>
      </c>
      <c r="L97" s="14">
        <v>567.55790000000002</v>
      </c>
      <c r="M97" s="14">
        <v>625.72</v>
      </c>
      <c r="N97" s="14">
        <v>652.09019999999998</v>
      </c>
    </row>
    <row r="98" spans="2:14">
      <c r="B98" t="s">
        <v>254</v>
      </c>
      <c r="C98" s="14">
        <v>18.720700000000001</v>
      </c>
      <c r="D98" s="14">
        <v>18.635200000000001</v>
      </c>
      <c r="E98" s="14">
        <v>19.845700000000001</v>
      </c>
      <c r="F98" s="14">
        <v>22.817699999999999</v>
      </c>
      <c r="G98" s="14">
        <v>20.334</v>
      </c>
      <c r="H98" s="14">
        <v>21.363800000000001</v>
      </c>
      <c r="I98" s="14">
        <v>23.078099999999999</v>
      </c>
      <c r="J98" s="14">
        <v>22.080300000000001</v>
      </c>
      <c r="K98" s="14">
        <v>22.683700000000002</v>
      </c>
      <c r="L98" s="14">
        <v>24.042300000000001</v>
      </c>
      <c r="M98" s="14">
        <v>25.039000000000001</v>
      </c>
      <c r="N98" s="14">
        <v>23.9834</v>
      </c>
    </row>
    <row r="99" spans="2:14">
      <c r="B99" t="s">
        <v>253</v>
      </c>
      <c r="C99" s="14">
        <v>466.11309999999997</v>
      </c>
      <c r="D99" s="14">
        <v>462.60289999999998</v>
      </c>
      <c r="E99" s="14">
        <v>458.88650000000001</v>
      </c>
      <c r="F99" s="14">
        <v>452.22109999999998</v>
      </c>
      <c r="G99" s="14">
        <v>451.02280000000002</v>
      </c>
      <c r="H99" s="14">
        <v>443.28989999999999</v>
      </c>
      <c r="I99" s="14">
        <v>442.4271</v>
      </c>
      <c r="J99" s="14">
        <v>440.89519999999999</v>
      </c>
      <c r="K99" s="14">
        <v>455.64359999999999</v>
      </c>
      <c r="L99" s="14">
        <v>459.15300000000002</v>
      </c>
      <c r="M99" s="14">
        <v>475.3125</v>
      </c>
      <c r="N99" s="14">
        <v>491.5324</v>
      </c>
    </row>
    <row r="100" spans="2:14">
      <c r="B100" t="s">
        <v>78</v>
      </c>
      <c r="C100" s="14">
        <v>550.83900000000006</v>
      </c>
      <c r="D100" s="14">
        <v>551.49480000000005</v>
      </c>
      <c r="E100" s="14">
        <v>557.75660000000005</v>
      </c>
      <c r="F100" s="14">
        <v>566.24120000000005</v>
      </c>
      <c r="G100" s="14">
        <v>577.45129999999995</v>
      </c>
      <c r="H100" s="14">
        <v>572.53769999999997</v>
      </c>
      <c r="I100" s="14">
        <v>574.26490000000001</v>
      </c>
      <c r="J100" s="14">
        <v>551.98689999999999</v>
      </c>
      <c r="K100" s="14">
        <v>558.50660000000005</v>
      </c>
      <c r="L100" s="14">
        <v>580.423</v>
      </c>
      <c r="M100" s="14">
        <v>613.21680000000003</v>
      </c>
      <c r="N100" s="14">
        <v>626.08090000000004</v>
      </c>
    </row>
    <row r="101" spans="2:14">
      <c r="B101" t="s">
        <v>258</v>
      </c>
      <c r="C101" s="14">
        <v>340.90320000000003</v>
      </c>
      <c r="D101" s="14">
        <v>349.72649999999999</v>
      </c>
      <c r="E101" s="14">
        <v>362.03089999999997</v>
      </c>
      <c r="F101" s="14">
        <v>373.91910000000001</v>
      </c>
      <c r="G101" s="14">
        <v>380.50700000000001</v>
      </c>
      <c r="H101" s="14">
        <v>392.3836</v>
      </c>
      <c r="I101" s="14">
        <v>399.56009999999998</v>
      </c>
      <c r="J101" s="14">
        <v>401.47710000000001</v>
      </c>
      <c r="K101" s="14">
        <v>402.19400000000002</v>
      </c>
      <c r="L101" s="14">
        <v>404.92140000000001</v>
      </c>
      <c r="M101" s="14">
        <v>424.04059999999998</v>
      </c>
      <c r="N101" s="14">
        <v>431.57600000000002</v>
      </c>
    </row>
    <row r="102" spans="2:14">
      <c r="B102" t="s">
        <v>79</v>
      </c>
      <c r="C102" s="14">
        <v>189.66800000000001</v>
      </c>
      <c r="D102" s="14">
        <v>192.21789999999999</v>
      </c>
      <c r="E102" s="14">
        <v>191.02809999999999</v>
      </c>
      <c r="F102" s="14">
        <v>193.5607</v>
      </c>
      <c r="G102" s="14">
        <v>204.71260000000001</v>
      </c>
      <c r="H102" s="14">
        <v>205.40969999999999</v>
      </c>
      <c r="I102" s="14">
        <v>210.56559999999999</v>
      </c>
      <c r="J102" s="14">
        <v>222.3964</v>
      </c>
      <c r="K102" s="14">
        <v>220.94380000000001</v>
      </c>
      <c r="L102" s="14">
        <v>244.34700000000001</v>
      </c>
      <c r="M102" s="14">
        <v>253.24459999999999</v>
      </c>
      <c r="N102" s="14">
        <v>273.82929999999999</v>
      </c>
    </row>
    <row r="103" spans="2:14">
      <c r="B103" t="s">
        <v>86</v>
      </c>
      <c r="C103" s="14">
        <v>351.66609999999997</v>
      </c>
      <c r="D103" s="14">
        <v>364.75599999999997</v>
      </c>
      <c r="E103" s="14">
        <v>385.93349999999998</v>
      </c>
      <c r="F103" s="14">
        <v>407.36669999999998</v>
      </c>
      <c r="G103" s="14">
        <v>417.34309999999999</v>
      </c>
      <c r="H103" s="14">
        <v>442.15429999999998</v>
      </c>
      <c r="I103" s="14">
        <v>442.98989999999998</v>
      </c>
      <c r="J103" s="14">
        <v>443.44499999999999</v>
      </c>
      <c r="K103" s="14">
        <v>440.4923</v>
      </c>
      <c r="L103" s="14">
        <v>450.96789999999999</v>
      </c>
      <c r="M103" s="14">
        <v>487.12040000000002</v>
      </c>
      <c r="N103" s="14">
        <v>507.86070000000001</v>
      </c>
    </row>
    <row r="104" spans="2:14">
      <c r="B104" t="s">
        <v>82</v>
      </c>
      <c r="C104" s="14">
        <v>807.88580000000002</v>
      </c>
      <c r="D104" s="14">
        <v>823.01430000000005</v>
      </c>
      <c r="E104" s="14">
        <v>844.05110000000002</v>
      </c>
      <c r="F104" s="14">
        <v>860.96730000000002</v>
      </c>
      <c r="G104" s="14">
        <v>898.94709999999998</v>
      </c>
      <c r="H104" s="14">
        <v>919.27940000000001</v>
      </c>
      <c r="I104" s="14">
        <v>921.46540000000005</v>
      </c>
      <c r="J104" s="14">
        <v>936.32870000000003</v>
      </c>
      <c r="K104" s="14">
        <v>966.42539999999997</v>
      </c>
      <c r="L104" s="14">
        <v>983.15309999999999</v>
      </c>
      <c r="M104" s="14">
        <v>1031.3181</v>
      </c>
      <c r="N104" s="14">
        <v>1079.4010000000001</v>
      </c>
    </row>
    <row r="105" spans="2:14">
      <c r="B105" t="s">
        <v>252</v>
      </c>
      <c r="C105" s="14">
        <v>207.6514</v>
      </c>
      <c r="D105" s="14">
        <v>199.8391</v>
      </c>
      <c r="E105" s="14">
        <v>183.1353</v>
      </c>
      <c r="F105" s="14">
        <v>176.3706</v>
      </c>
      <c r="G105" s="14">
        <v>175.03870000000001</v>
      </c>
      <c r="H105" s="14">
        <v>168.7236</v>
      </c>
      <c r="I105" s="14">
        <v>170.8837</v>
      </c>
      <c r="J105" s="14">
        <v>168.65430000000001</v>
      </c>
      <c r="K105" s="14">
        <v>166.0515</v>
      </c>
      <c r="L105" s="14">
        <v>174.0197</v>
      </c>
      <c r="M105" s="14">
        <v>189.57740000000001</v>
      </c>
      <c r="N105" s="14">
        <v>203.47389999999999</v>
      </c>
    </row>
    <row r="106" spans="2:14">
      <c r="B106" t="s">
        <v>83</v>
      </c>
      <c r="C106" s="14">
        <v>313.31920000000002</v>
      </c>
      <c r="D106" s="14">
        <v>322.0804</v>
      </c>
      <c r="E106" s="14">
        <v>319.8021</v>
      </c>
      <c r="F106" s="14">
        <v>326.24009999999998</v>
      </c>
      <c r="G106" s="14">
        <v>308.9452</v>
      </c>
      <c r="H106" s="14">
        <v>320.48809999999997</v>
      </c>
      <c r="I106" s="14">
        <v>330.0926</v>
      </c>
      <c r="J106" s="14">
        <v>351.83890000000002</v>
      </c>
      <c r="K106" s="14">
        <v>351.52730000000003</v>
      </c>
      <c r="L106" s="14">
        <v>347.82929999999999</v>
      </c>
      <c r="M106" s="14">
        <v>338.62150000000003</v>
      </c>
      <c r="N106" s="14">
        <v>361.22379999999998</v>
      </c>
    </row>
    <row r="107" spans="2:14">
      <c r="B107" t="s">
        <v>255</v>
      </c>
      <c r="C107" s="14">
        <v>232.07380000000001</v>
      </c>
      <c r="D107" s="14">
        <v>231.15479999999999</v>
      </c>
      <c r="E107" s="14">
        <v>241.11060000000001</v>
      </c>
      <c r="F107" s="14">
        <v>239.6258</v>
      </c>
      <c r="G107" s="14">
        <v>244.52449999999999</v>
      </c>
      <c r="H107" s="14">
        <v>230.26939999999999</v>
      </c>
      <c r="I107" s="14">
        <v>239.50649999999999</v>
      </c>
      <c r="J107" s="14">
        <v>233.39089999999999</v>
      </c>
      <c r="K107" s="14">
        <v>243.85470000000001</v>
      </c>
      <c r="L107" s="14">
        <v>243.7799</v>
      </c>
      <c r="M107" s="14">
        <v>236.13829999999999</v>
      </c>
      <c r="N107" s="14">
        <v>244.76920000000001</v>
      </c>
    </row>
    <row r="108" spans="2:14">
      <c r="B108" t="s">
        <v>259</v>
      </c>
      <c r="C108" s="14">
        <v>422.1397</v>
      </c>
      <c r="D108" s="14">
        <v>414.45010000000002</v>
      </c>
      <c r="E108" s="14">
        <v>418.7765</v>
      </c>
      <c r="F108" s="14">
        <v>413.73500000000001</v>
      </c>
      <c r="G108" s="14">
        <v>411.9751</v>
      </c>
      <c r="H108" s="14">
        <v>400.95260000000002</v>
      </c>
      <c r="I108" s="14">
        <v>408.40530000000001</v>
      </c>
      <c r="J108" s="14">
        <v>406.7903</v>
      </c>
      <c r="K108" s="14">
        <v>402.10300000000001</v>
      </c>
      <c r="L108" s="14">
        <v>393.36509999999998</v>
      </c>
      <c r="M108" s="14">
        <v>424.87939999999998</v>
      </c>
      <c r="N108" s="14">
        <v>452.06810000000002</v>
      </c>
    </row>
    <row r="109" spans="2:14">
      <c r="B109" t="s">
        <v>80</v>
      </c>
      <c r="C109" s="14">
        <v>510.84160000000003</v>
      </c>
      <c r="D109" s="14">
        <v>511.96910000000003</v>
      </c>
      <c r="E109" s="14">
        <v>504.61369999999999</v>
      </c>
      <c r="F109" s="14">
        <v>494.58839999999998</v>
      </c>
      <c r="G109" s="14">
        <v>488.09699999999998</v>
      </c>
      <c r="H109" s="14">
        <v>507.61520000000002</v>
      </c>
      <c r="I109" s="14">
        <v>506.66269999999997</v>
      </c>
      <c r="J109" s="14">
        <v>527.48950000000002</v>
      </c>
      <c r="K109" s="14">
        <v>533.0752</v>
      </c>
      <c r="L109" s="14">
        <v>529.13819999999998</v>
      </c>
      <c r="M109" s="14">
        <v>551.76099999999997</v>
      </c>
      <c r="N109" s="14">
        <v>591.51139999999998</v>
      </c>
    </row>
    <row r="110" spans="2:14">
      <c r="B110" t="s">
        <v>88</v>
      </c>
      <c r="C110" s="14">
        <v>369.87909999999999</v>
      </c>
      <c r="D110" s="14">
        <v>365.11829999999998</v>
      </c>
      <c r="E110" s="14">
        <v>359.54730000000001</v>
      </c>
      <c r="F110" s="14">
        <v>362.10359999999997</v>
      </c>
      <c r="G110" s="14">
        <v>352.95920000000001</v>
      </c>
      <c r="H110" s="14">
        <v>359.83929999999998</v>
      </c>
      <c r="I110" s="14">
        <v>365.56729999999999</v>
      </c>
      <c r="J110" s="14">
        <v>387.15980000000002</v>
      </c>
      <c r="K110" s="14">
        <v>394.64240000000001</v>
      </c>
      <c r="L110" s="14">
        <v>391.98739999999998</v>
      </c>
      <c r="M110" s="14">
        <v>404.33429999999998</v>
      </c>
      <c r="N110" s="14">
        <v>414.64620000000002</v>
      </c>
    </row>
    <row r="111" spans="2:14">
      <c r="B111" t="s">
        <v>260</v>
      </c>
      <c r="C111" s="14">
        <v>327.13150000000002</v>
      </c>
      <c r="D111" s="14">
        <v>326.49009999999998</v>
      </c>
      <c r="E111" s="14">
        <v>321.08159999999998</v>
      </c>
      <c r="F111" s="14">
        <v>311.26609999999999</v>
      </c>
      <c r="G111" s="14">
        <v>305.63979999999998</v>
      </c>
      <c r="H111" s="14">
        <v>301.94369999999998</v>
      </c>
      <c r="I111" s="14">
        <v>304.60680000000002</v>
      </c>
      <c r="J111" s="14">
        <v>301.28160000000003</v>
      </c>
      <c r="K111" s="14">
        <v>300.61630000000002</v>
      </c>
      <c r="L111" s="14">
        <v>304.19310000000002</v>
      </c>
      <c r="M111" s="14">
        <v>314.91340000000002</v>
      </c>
      <c r="N111" s="14">
        <v>316.0686</v>
      </c>
    </row>
    <row r="112" spans="2:14">
      <c r="B112" t="s">
        <v>84</v>
      </c>
      <c r="C112" s="14">
        <v>177.2311</v>
      </c>
      <c r="D112" s="14">
        <v>172.78559999999999</v>
      </c>
      <c r="E112" s="14">
        <v>169.4255</v>
      </c>
      <c r="F112" s="14">
        <v>165.28129999999999</v>
      </c>
      <c r="G112" s="14">
        <v>163.5762</v>
      </c>
      <c r="H112" s="14">
        <v>163.83070000000001</v>
      </c>
      <c r="I112" s="14">
        <v>162.35509999999999</v>
      </c>
      <c r="J112" s="14">
        <v>170.54849999999999</v>
      </c>
      <c r="K112" s="14">
        <v>179.85419999999999</v>
      </c>
      <c r="L112" s="14">
        <v>176.18020000000001</v>
      </c>
      <c r="M112" s="14">
        <v>190.51499999999999</v>
      </c>
      <c r="N112" s="14">
        <v>212.4924</v>
      </c>
    </row>
    <row r="113" spans="2:14">
      <c r="B113" t="s">
        <v>85</v>
      </c>
      <c r="C113" s="14">
        <v>170.19630000000001</v>
      </c>
      <c r="D113" s="14">
        <v>174.4897</v>
      </c>
      <c r="E113" s="14">
        <v>176.31540000000001</v>
      </c>
      <c r="F113" s="14">
        <v>183.667</v>
      </c>
      <c r="G113" s="14">
        <v>192.03909999999999</v>
      </c>
      <c r="H113" s="14">
        <v>223.16300000000001</v>
      </c>
      <c r="I113" s="14">
        <v>228.43219999999999</v>
      </c>
      <c r="J113" s="14">
        <v>235.81649999999999</v>
      </c>
      <c r="K113" s="14">
        <v>234.9924</v>
      </c>
      <c r="L113" s="14">
        <v>231.80699999999999</v>
      </c>
      <c r="M113" s="14">
        <v>227.2313</v>
      </c>
      <c r="N113" s="14">
        <v>236.01920000000001</v>
      </c>
    </row>
    <row r="114" spans="2:14">
      <c r="B114" t="s">
        <v>256</v>
      </c>
      <c r="C114" s="14">
        <v>384.04849999999999</v>
      </c>
      <c r="D114" s="14">
        <v>388.01569999999998</v>
      </c>
      <c r="E114" s="14">
        <v>376.97640000000001</v>
      </c>
      <c r="F114" s="14">
        <v>384.14299999999997</v>
      </c>
      <c r="G114" s="14">
        <v>369.56950000000001</v>
      </c>
      <c r="H114" s="14">
        <v>378.28550000000001</v>
      </c>
      <c r="I114" s="14">
        <v>384.8698</v>
      </c>
      <c r="J114" s="14">
        <v>394.24020000000002</v>
      </c>
      <c r="K114" s="14">
        <v>398.68549999999999</v>
      </c>
      <c r="L114" s="14">
        <v>392.24790000000002</v>
      </c>
      <c r="M114" s="14">
        <v>404.17529999999999</v>
      </c>
      <c r="N114" s="14">
        <v>414.57889999999998</v>
      </c>
    </row>
    <row r="115" spans="2:14">
      <c r="B115" t="s">
        <v>81</v>
      </c>
      <c r="C115" s="14">
        <v>421.70769999999999</v>
      </c>
      <c r="D115" s="14">
        <v>412.28640000000001</v>
      </c>
      <c r="E115" s="14">
        <v>415.21440000000001</v>
      </c>
      <c r="F115" s="14">
        <v>429.79559999999998</v>
      </c>
      <c r="G115" s="14">
        <v>421.68439999999998</v>
      </c>
      <c r="H115" s="14">
        <v>427.95690000000002</v>
      </c>
      <c r="I115" s="14">
        <v>438.29730000000001</v>
      </c>
      <c r="J115" s="14">
        <v>444.79309999999998</v>
      </c>
      <c r="K115" s="14">
        <v>447.9468</v>
      </c>
      <c r="L115" s="14">
        <v>465.2285</v>
      </c>
      <c r="M115" s="14">
        <v>497.11070000000001</v>
      </c>
      <c r="N115" s="14">
        <v>521.25340000000006</v>
      </c>
    </row>
    <row r="116" spans="2:14">
      <c r="B116" t="s">
        <v>136</v>
      </c>
      <c r="C116" s="14">
        <v>176.29929999999999</v>
      </c>
      <c r="D116" s="14">
        <v>176.59450000000001</v>
      </c>
      <c r="E116" s="14">
        <v>184.18940000000001</v>
      </c>
      <c r="F116" s="14">
        <v>186.21</v>
      </c>
      <c r="G116" s="14">
        <v>192.34030000000001</v>
      </c>
      <c r="H116" s="14">
        <v>198.95930000000001</v>
      </c>
      <c r="I116" s="14">
        <v>194.11439999999999</v>
      </c>
      <c r="J116" s="14">
        <v>199.76730000000001</v>
      </c>
      <c r="K116" s="14">
        <v>195.09530000000001</v>
      </c>
      <c r="L116" s="14">
        <v>183.4074</v>
      </c>
      <c r="M116" s="14">
        <v>191.14</v>
      </c>
      <c r="N116" s="14">
        <v>190.8596</v>
      </c>
    </row>
    <row r="117" spans="2:14">
      <c r="B117" t="s">
        <v>103</v>
      </c>
      <c r="C117" s="14">
        <v>129.70429999999999</v>
      </c>
      <c r="D117" s="14">
        <v>128.28149999999999</v>
      </c>
      <c r="E117" s="14">
        <v>124.857</v>
      </c>
      <c r="F117" s="14">
        <v>125.6347</v>
      </c>
      <c r="G117" s="14">
        <v>128.8947</v>
      </c>
      <c r="H117" s="14">
        <v>132.50720000000001</v>
      </c>
      <c r="I117" s="14">
        <v>135.4572</v>
      </c>
      <c r="J117" s="14">
        <v>151.619</v>
      </c>
      <c r="K117" s="14">
        <v>153.11060000000001</v>
      </c>
      <c r="L117" s="14">
        <v>153.7998</v>
      </c>
      <c r="M117" s="14">
        <v>163.2773</v>
      </c>
      <c r="N117" s="14">
        <v>164.24809999999999</v>
      </c>
    </row>
    <row r="118" spans="2:14">
      <c r="B118" t="s">
        <v>139</v>
      </c>
      <c r="C118" s="14">
        <v>252.26859999999999</v>
      </c>
      <c r="D118" s="14">
        <v>250.66820000000001</v>
      </c>
      <c r="E118" s="14">
        <v>249.13040000000001</v>
      </c>
      <c r="F118" s="14">
        <v>255.91829999999999</v>
      </c>
      <c r="G118" s="14">
        <v>256.95569999999998</v>
      </c>
      <c r="H118" s="14">
        <v>261.86419999999998</v>
      </c>
      <c r="I118" s="14">
        <v>261.82819999999998</v>
      </c>
      <c r="J118" s="14">
        <v>274.84730000000002</v>
      </c>
      <c r="K118" s="14">
        <v>274.2287</v>
      </c>
      <c r="L118" s="14">
        <v>261.67340000000002</v>
      </c>
      <c r="M118" s="14">
        <v>282.62389999999999</v>
      </c>
      <c r="N118" s="14">
        <v>293.80059999999997</v>
      </c>
    </row>
    <row r="119" spans="2:14">
      <c r="B119" t="s">
        <v>116</v>
      </c>
      <c r="C119" s="14">
        <v>156.65190000000001</v>
      </c>
      <c r="D119" s="14">
        <v>154.5112</v>
      </c>
      <c r="E119" s="14">
        <v>153.52260000000001</v>
      </c>
      <c r="F119" s="14">
        <v>150.91069999999999</v>
      </c>
      <c r="G119" s="14">
        <v>146.958</v>
      </c>
      <c r="H119" s="14">
        <v>146.78299999999999</v>
      </c>
      <c r="I119" s="14">
        <v>156.00479999999999</v>
      </c>
      <c r="J119" s="14">
        <v>159.48509999999999</v>
      </c>
      <c r="K119" s="14">
        <v>153.5351</v>
      </c>
      <c r="L119" s="14">
        <v>152.07470000000001</v>
      </c>
      <c r="M119" s="14">
        <v>164.5522</v>
      </c>
      <c r="N119" s="14">
        <v>173.67330000000001</v>
      </c>
    </row>
    <row r="120" spans="2:14">
      <c r="B120" t="s">
        <v>101</v>
      </c>
      <c r="C120" s="14">
        <v>863.77549999999997</v>
      </c>
      <c r="D120" s="14">
        <v>881.43179999999995</v>
      </c>
      <c r="E120" s="14">
        <v>934.07590000000005</v>
      </c>
      <c r="F120" s="14">
        <v>961.89329999999995</v>
      </c>
      <c r="G120" s="14">
        <v>983.70259999999996</v>
      </c>
      <c r="H120" s="14">
        <v>1024.5907</v>
      </c>
      <c r="I120" s="14">
        <v>1074.7062000000001</v>
      </c>
      <c r="J120" s="14">
        <v>1099.8529000000001</v>
      </c>
      <c r="K120" s="14">
        <v>1151.9043999999999</v>
      </c>
      <c r="L120" s="14">
        <v>1192.1441</v>
      </c>
      <c r="M120" s="14">
        <v>1264.7860000000001</v>
      </c>
      <c r="N120" s="14">
        <v>1288.9992</v>
      </c>
    </row>
    <row r="121" spans="2:14">
      <c r="B121" t="s">
        <v>142</v>
      </c>
      <c r="C121" s="14">
        <v>200.7791</v>
      </c>
      <c r="D121" s="14">
        <v>204.1311</v>
      </c>
      <c r="E121" s="14">
        <v>205.43950000000001</v>
      </c>
      <c r="F121" s="14">
        <v>217.25190000000001</v>
      </c>
      <c r="G121" s="14">
        <v>223.06280000000001</v>
      </c>
      <c r="H121" s="14">
        <v>231.7902</v>
      </c>
      <c r="I121" s="14">
        <v>240.70959999999999</v>
      </c>
      <c r="J121" s="14">
        <v>253.36179999999999</v>
      </c>
      <c r="K121" s="14">
        <v>264.0677</v>
      </c>
      <c r="L121" s="14">
        <v>259.19</v>
      </c>
      <c r="M121" s="14">
        <v>264.584</v>
      </c>
      <c r="N121" s="14">
        <v>263.93450000000001</v>
      </c>
    </row>
    <row r="122" spans="2:14">
      <c r="B122" t="s">
        <v>261</v>
      </c>
      <c r="C122" s="14">
        <v>32.1004</v>
      </c>
      <c r="D122" s="14">
        <v>31.984500000000001</v>
      </c>
      <c r="E122" s="14">
        <v>34.659799999999997</v>
      </c>
      <c r="F122" s="14">
        <v>31.352499999999999</v>
      </c>
      <c r="G122" s="14">
        <v>30.0611</v>
      </c>
      <c r="H122" s="14">
        <v>29.2898</v>
      </c>
      <c r="I122" s="14">
        <v>28.732299999999999</v>
      </c>
      <c r="J122" s="14">
        <v>29.7972</v>
      </c>
      <c r="K122" s="14">
        <v>26.902699999999999</v>
      </c>
      <c r="L122" s="14">
        <v>24.505800000000001</v>
      </c>
      <c r="M122" s="14">
        <v>29.4604</v>
      </c>
      <c r="N122" s="14">
        <v>29.488399999999999</v>
      </c>
    </row>
    <row r="123" spans="2:14">
      <c r="B123" t="s">
        <v>128</v>
      </c>
      <c r="C123" s="14">
        <v>161.5444</v>
      </c>
      <c r="D123" s="14">
        <v>139.9836</v>
      </c>
      <c r="E123" s="14">
        <v>136.6327</v>
      </c>
      <c r="F123" s="14">
        <v>134.86000000000001</v>
      </c>
      <c r="G123" s="14">
        <v>134.4606</v>
      </c>
      <c r="H123" s="14">
        <v>134.45779999999999</v>
      </c>
      <c r="I123" s="14">
        <v>131.4151</v>
      </c>
      <c r="J123" s="14">
        <v>139.53960000000001</v>
      </c>
      <c r="K123" s="14">
        <v>139.4631</v>
      </c>
      <c r="L123" s="14">
        <v>141.0583</v>
      </c>
      <c r="M123" s="14">
        <v>161.50139999999999</v>
      </c>
      <c r="N123" s="14">
        <v>163.596</v>
      </c>
    </row>
    <row r="124" spans="2:14">
      <c r="B124" t="s">
        <v>145</v>
      </c>
      <c r="C124" s="14">
        <v>61.174399999999999</v>
      </c>
      <c r="D124" s="14">
        <v>61.134500000000003</v>
      </c>
      <c r="E124" s="14">
        <v>57.690199999999997</v>
      </c>
      <c r="F124" s="14">
        <v>56.993699999999997</v>
      </c>
      <c r="G124" s="14">
        <v>53.005800000000001</v>
      </c>
      <c r="H124" s="14">
        <v>53.6143</v>
      </c>
      <c r="I124" s="14">
        <v>56.140500000000003</v>
      </c>
      <c r="J124" s="14">
        <v>59.681600000000003</v>
      </c>
      <c r="K124" s="14">
        <v>58.109099999999998</v>
      </c>
      <c r="L124" s="14">
        <v>61.753599999999999</v>
      </c>
      <c r="M124" s="14">
        <v>61.7181</v>
      </c>
      <c r="N124" s="14">
        <v>64.903199999999998</v>
      </c>
    </row>
    <row r="125" spans="2:14">
      <c r="B125" t="s">
        <v>134</v>
      </c>
      <c r="C125" s="14">
        <v>208.08500000000001</v>
      </c>
      <c r="D125" s="14">
        <v>205.31299999999999</v>
      </c>
      <c r="E125" s="14">
        <v>210.3098</v>
      </c>
      <c r="F125" s="14">
        <v>212.48500000000001</v>
      </c>
      <c r="G125" s="14">
        <v>215.39699999999999</v>
      </c>
      <c r="H125" s="14">
        <v>206.7637</v>
      </c>
      <c r="I125" s="14">
        <v>207.2</v>
      </c>
      <c r="J125" s="14">
        <v>207.6438</v>
      </c>
      <c r="K125" s="14">
        <v>216.036</v>
      </c>
      <c r="L125" s="14">
        <v>218.77269999999999</v>
      </c>
      <c r="M125" s="14">
        <v>223.47880000000001</v>
      </c>
      <c r="N125" s="14">
        <v>233.19900000000001</v>
      </c>
    </row>
    <row r="126" spans="2:14">
      <c r="B126" t="s">
        <v>147</v>
      </c>
      <c r="C126" s="14">
        <v>127.4509</v>
      </c>
      <c r="D126" s="14">
        <v>126.3716</v>
      </c>
      <c r="E126" s="14">
        <v>125.9207</v>
      </c>
      <c r="F126" s="14">
        <v>130.7722</v>
      </c>
      <c r="G126" s="14">
        <v>135.10679999999999</v>
      </c>
      <c r="H126" s="14">
        <v>134.27510000000001</v>
      </c>
      <c r="I126" s="14">
        <v>129.63310000000001</v>
      </c>
      <c r="J126" s="14">
        <v>124.4834</v>
      </c>
      <c r="K126" s="14">
        <v>128.97900000000001</v>
      </c>
      <c r="L126" s="14">
        <v>130.1386</v>
      </c>
      <c r="M126" s="14">
        <v>139.8888</v>
      </c>
      <c r="N126" s="14">
        <v>142.63399999999999</v>
      </c>
    </row>
    <row r="127" spans="2:14">
      <c r="B127" t="s">
        <v>135</v>
      </c>
      <c r="C127" s="14">
        <v>688.20230000000004</v>
      </c>
      <c r="D127" s="14">
        <v>706.9502</v>
      </c>
      <c r="E127" s="14">
        <v>718.97389999999996</v>
      </c>
      <c r="F127" s="14">
        <v>737.12720000000002</v>
      </c>
      <c r="G127" s="14">
        <v>760.07899999999995</v>
      </c>
      <c r="H127" s="14">
        <v>766.52110000000005</v>
      </c>
      <c r="I127" s="14">
        <v>786.37540000000001</v>
      </c>
      <c r="J127" s="14">
        <v>817.89459999999997</v>
      </c>
      <c r="K127" s="14">
        <v>832.47180000000003</v>
      </c>
      <c r="L127" s="14">
        <v>831.9357</v>
      </c>
      <c r="M127" s="14">
        <v>874.34280000000001</v>
      </c>
      <c r="N127" s="14">
        <v>891.70680000000004</v>
      </c>
    </row>
    <row r="128" spans="2:14">
      <c r="B128" t="s">
        <v>124</v>
      </c>
      <c r="C128" s="14">
        <v>432.36090000000002</v>
      </c>
      <c r="D128" s="14">
        <v>423.92169999999999</v>
      </c>
      <c r="E128" s="14">
        <v>428.77850000000001</v>
      </c>
      <c r="F128" s="14">
        <v>424.40870000000001</v>
      </c>
      <c r="G128" s="14">
        <v>434.79660000000001</v>
      </c>
      <c r="H128" s="14">
        <v>444.29180000000002</v>
      </c>
      <c r="I128" s="14">
        <v>469.83550000000002</v>
      </c>
      <c r="J128" s="14">
        <v>484.48899999999998</v>
      </c>
      <c r="K128" s="14">
        <v>493.07990000000001</v>
      </c>
      <c r="L128" s="14">
        <v>501.77190000000002</v>
      </c>
      <c r="M128" s="14">
        <v>515.75639999999999</v>
      </c>
      <c r="N128" s="14">
        <v>536.19770000000005</v>
      </c>
    </row>
    <row r="129" spans="2:14">
      <c r="B129" t="s">
        <v>149</v>
      </c>
      <c r="C129" s="14">
        <v>250.05879999999999</v>
      </c>
      <c r="D129" s="14">
        <v>251.30789999999999</v>
      </c>
      <c r="E129" s="14">
        <v>257.61239999999998</v>
      </c>
      <c r="F129" s="14">
        <v>258.31799999999998</v>
      </c>
      <c r="G129" s="14">
        <v>261.27670000000001</v>
      </c>
      <c r="H129" s="14">
        <v>253.6678</v>
      </c>
      <c r="I129" s="14">
        <v>260.10149999999999</v>
      </c>
      <c r="J129" s="14">
        <v>259.52510000000001</v>
      </c>
      <c r="K129" s="14">
        <v>256.02289999999999</v>
      </c>
      <c r="L129" s="14">
        <v>250.7413</v>
      </c>
      <c r="M129" s="14">
        <v>266.70679999999999</v>
      </c>
      <c r="N129" s="14">
        <v>264.03140000000002</v>
      </c>
    </row>
    <row r="130" spans="2:14">
      <c r="B130" t="s">
        <v>110</v>
      </c>
      <c r="C130" s="14">
        <v>43.740299999999998</v>
      </c>
      <c r="D130" s="14">
        <v>41.765999999999998</v>
      </c>
      <c r="E130" s="14">
        <v>51.767000000000003</v>
      </c>
      <c r="F130" s="14">
        <v>51.174500000000002</v>
      </c>
      <c r="G130" s="14">
        <v>53.708500000000001</v>
      </c>
      <c r="H130" s="14">
        <v>49.304400000000001</v>
      </c>
      <c r="I130" s="14">
        <v>51.806399999999996</v>
      </c>
      <c r="J130" s="14">
        <v>51.380800000000001</v>
      </c>
      <c r="K130" s="14">
        <v>50.178800000000003</v>
      </c>
      <c r="L130" s="14">
        <v>49.1768</v>
      </c>
      <c r="M130" s="14">
        <v>48.311999999999998</v>
      </c>
      <c r="N130" s="14">
        <v>51.909599999999998</v>
      </c>
    </row>
    <row r="131" spans="2:14">
      <c r="B131" t="s">
        <v>262</v>
      </c>
      <c r="C131" s="14">
        <v>71.658699999999996</v>
      </c>
      <c r="D131" s="14">
        <v>66.312100000000001</v>
      </c>
      <c r="E131" s="14">
        <v>64.599400000000003</v>
      </c>
      <c r="F131" s="14">
        <v>61.560499999999998</v>
      </c>
      <c r="G131" s="14">
        <v>58.780799999999999</v>
      </c>
      <c r="H131" s="14">
        <v>60.091099999999997</v>
      </c>
      <c r="I131" s="14">
        <v>56.831099999999999</v>
      </c>
      <c r="J131" s="14">
        <v>58.991500000000002</v>
      </c>
      <c r="K131" s="14">
        <v>59.908999999999999</v>
      </c>
      <c r="L131" s="14">
        <v>59.518999999999998</v>
      </c>
      <c r="M131" s="14">
        <v>60.814999999999998</v>
      </c>
      <c r="N131" s="14">
        <v>65.825199999999995</v>
      </c>
    </row>
    <row r="132" spans="2:14">
      <c r="B132" t="s">
        <v>98</v>
      </c>
      <c r="C132" s="14">
        <v>361.19450000000001</v>
      </c>
      <c r="D132" s="14">
        <v>365.60059999999999</v>
      </c>
      <c r="E132" s="14">
        <v>366.10879999999997</v>
      </c>
      <c r="F132" s="14">
        <v>374.1189</v>
      </c>
      <c r="G132" s="14">
        <v>371.10359999999997</v>
      </c>
      <c r="H132" s="14">
        <v>374.161</v>
      </c>
      <c r="I132" s="14">
        <v>382.81420000000003</v>
      </c>
      <c r="J132" s="14">
        <v>384.84750000000003</v>
      </c>
      <c r="K132" s="14">
        <v>407.05489999999998</v>
      </c>
      <c r="L132" s="14">
        <v>407.09219999999999</v>
      </c>
      <c r="M132" s="14">
        <v>437.67360000000002</v>
      </c>
      <c r="N132" s="14">
        <v>450.21440000000001</v>
      </c>
    </row>
    <row r="133" spans="2:14">
      <c r="B133" t="s">
        <v>143</v>
      </c>
      <c r="C133" s="14">
        <v>53.803600000000003</v>
      </c>
      <c r="D133" s="14">
        <v>53.512099999999997</v>
      </c>
      <c r="E133" s="14">
        <v>54.824399999999997</v>
      </c>
      <c r="F133" s="14">
        <v>55.550600000000003</v>
      </c>
      <c r="G133" s="14">
        <v>54.455800000000004</v>
      </c>
      <c r="H133" s="14">
        <v>52.972999999999999</v>
      </c>
      <c r="I133" s="14">
        <v>55.4818</v>
      </c>
      <c r="J133" s="14">
        <v>55.232599999999998</v>
      </c>
      <c r="K133" s="14">
        <v>61.263100000000001</v>
      </c>
      <c r="L133" s="14">
        <v>57.309600000000003</v>
      </c>
      <c r="M133" s="14">
        <v>55.370800000000003</v>
      </c>
      <c r="N133" s="14">
        <v>58.910400000000003</v>
      </c>
    </row>
    <row r="134" spans="2:14">
      <c r="B134" t="s">
        <v>102</v>
      </c>
      <c r="C134" s="14">
        <v>481.43389999999999</v>
      </c>
      <c r="D134" s="14">
        <v>488.2577</v>
      </c>
      <c r="E134" s="14">
        <v>497.11610000000002</v>
      </c>
      <c r="F134" s="14">
        <v>499.63729999999998</v>
      </c>
      <c r="G134" s="14">
        <v>509.86919999999998</v>
      </c>
      <c r="H134" s="14">
        <v>519.08770000000004</v>
      </c>
      <c r="I134" s="14">
        <v>519.01930000000004</v>
      </c>
      <c r="J134" s="14">
        <v>530.94560000000001</v>
      </c>
      <c r="K134" s="14">
        <v>537.18610000000001</v>
      </c>
      <c r="L134" s="14">
        <v>532.86569999999995</v>
      </c>
      <c r="M134" s="14">
        <v>551.79560000000004</v>
      </c>
      <c r="N134" s="14">
        <v>566.16089999999997</v>
      </c>
    </row>
    <row r="135" spans="2:14">
      <c r="B135" t="s">
        <v>117</v>
      </c>
      <c r="C135" s="14">
        <v>355.39609999999999</v>
      </c>
      <c r="D135" s="14">
        <v>347.69060000000002</v>
      </c>
      <c r="E135" s="14">
        <v>351.63220000000001</v>
      </c>
      <c r="F135" s="14">
        <v>351.4973</v>
      </c>
      <c r="G135" s="14">
        <v>352.25450000000001</v>
      </c>
      <c r="H135" s="14">
        <v>355.4495</v>
      </c>
      <c r="I135" s="14">
        <v>350.04289999999997</v>
      </c>
      <c r="J135" s="14">
        <v>358.02210000000002</v>
      </c>
      <c r="K135" s="14">
        <v>369.25259999999997</v>
      </c>
      <c r="L135" s="14">
        <v>366.76029999999997</v>
      </c>
      <c r="M135" s="14">
        <v>370.53629999999998</v>
      </c>
      <c r="N135" s="14">
        <v>370.56650000000002</v>
      </c>
    </row>
    <row r="136" spans="2:14">
      <c r="B136" t="s">
        <v>91</v>
      </c>
      <c r="C136" s="14">
        <v>53.706200000000003</v>
      </c>
      <c r="D136" s="14">
        <v>53.921100000000003</v>
      </c>
      <c r="E136" s="14">
        <v>53.8658</v>
      </c>
      <c r="F136" s="14">
        <v>52.809100000000001</v>
      </c>
      <c r="G136" s="14">
        <v>54.402900000000002</v>
      </c>
      <c r="H136" s="14">
        <v>53.643900000000002</v>
      </c>
      <c r="I136" s="14">
        <v>54.316400000000002</v>
      </c>
      <c r="J136" s="14">
        <v>56.945900000000002</v>
      </c>
      <c r="K136" s="14">
        <v>56.922800000000002</v>
      </c>
      <c r="L136" s="14">
        <v>56.134399999999999</v>
      </c>
      <c r="M136" s="14">
        <v>58.013399999999997</v>
      </c>
      <c r="N136" s="14">
        <v>57.2806</v>
      </c>
    </row>
    <row r="137" spans="2:14">
      <c r="B137" t="s">
        <v>119</v>
      </c>
      <c r="C137" s="14">
        <v>465.87549999999999</v>
      </c>
      <c r="D137" s="14">
        <v>470.5324</v>
      </c>
      <c r="E137" s="14">
        <v>470.74540000000002</v>
      </c>
      <c r="F137" s="14">
        <v>461.99740000000003</v>
      </c>
      <c r="G137" s="14">
        <v>464.26280000000003</v>
      </c>
      <c r="H137" s="14">
        <v>472.7792</v>
      </c>
      <c r="I137" s="14">
        <v>479.26909999999998</v>
      </c>
      <c r="J137" s="14">
        <v>491.09289999999999</v>
      </c>
      <c r="K137" s="14">
        <v>494.39980000000003</v>
      </c>
      <c r="L137" s="14">
        <v>497.54969999999997</v>
      </c>
      <c r="M137" s="14">
        <v>519.62559999999996</v>
      </c>
      <c r="N137" s="14">
        <v>529.85670000000005</v>
      </c>
    </row>
    <row r="138" spans="2:14">
      <c r="B138" t="s">
        <v>131</v>
      </c>
      <c r="C138" s="14">
        <v>62.103400000000001</v>
      </c>
      <c r="D138" s="14">
        <v>62.451999999999998</v>
      </c>
      <c r="E138" s="14">
        <v>59.962299999999999</v>
      </c>
      <c r="F138" s="14">
        <v>62.697200000000002</v>
      </c>
      <c r="G138" s="14">
        <v>60.157699999999998</v>
      </c>
      <c r="H138" s="14">
        <v>56.718800000000002</v>
      </c>
      <c r="I138" s="14">
        <v>54.656100000000002</v>
      </c>
      <c r="J138" s="14">
        <v>59.351999999999997</v>
      </c>
      <c r="K138" s="14">
        <v>62.590699999999998</v>
      </c>
      <c r="L138" s="14">
        <v>63.270499999999998</v>
      </c>
      <c r="M138" s="14">
        <v>64.332999999999998</v>
      </c>
      <c r="N138" s="14">
        <v>67.143100000000004</v>
      </c>
    </row>
    <row r="139" spans="2:14">
      <c r="B139" t="s">
        <v>127</v>
      </c>
      <c r="C139" s="14">
        <v>104.7227</v>
      </c>
      <c r="D139" s="14">
        <v>103.17230000000001</v>
      </c>
      <c r="E139" s="14">
        <v>106.94589999999999</v>
      </c>
      <c r="F139" s="14">
        <v>109.3293</v>
      </c>
      <c r="G139" s="14">
        <v>110.1253</v>
      </c>
      <c r="H139" s="14">
        <v>107.5455</v>
      </c>
      <c r="I139" s="14">
        <v>115.2865</v>
      </c>
      <c r="J139" s="14">
        <v>121.05710000000001</v>
      </c>
      <c r="K139" s="14">
        <v>125.9675</v>
      </c>
      <c r="L139" s="14">
        <v>148.37729999999999</v>
      </c>
      <c r="M139" s="14">
        <v>145.88390000000001</v>
      </c>
      <c r="N139" s="14">
        <v>149.04560000000001</v>
      </c>
    </row>
    <row r="140" spans="2:14">
      <c r="B140" t="s">
        <v>125</v>
      </c>
      <c r="C140" s="14">
        <v>68.989199999999997</v>
      </c>
      <c r="D140" s="14">
        <v>65.686099999999996</v>
      </c>
      <c r="E140" s="14">
        <v>63.491599999999998</v>
      </c>
      <c r="F140" s="14">
        <v>61.712299999999999</v>
      </c>
      <c r="G140" s="14">
        <v>63.120399999999997</v>
      </c>
      <c r="H140" s="14">
        <v>66.704400000000007</v>
      </c>
      <c r="I140" s="14">
        <v>66.595399999999998</v>
      </c>
      <c r="J140" s="14">
        <v>66.7286</v>
      </c>
      <c r="K140" s="14">
        <v>65.071399999999997</v>
      </c>
      <c r="L140" s="14">
        <v>65.878</v>
      </c>
      <c r="M140" s="14">
        <v>66.846599999999995</v>
      </c>
      <c r="N140" s="14">
        <v>68.313900000000004</v>
      </c>
    </row>
    <row r="141" spans="2:14">
      <c r="B141" t="s">
        <v>150</v>
      </c>
      <c r="C141" s="14">
        <v>262.94619999999998</v>
      </c>
      <c r="D141" s="14">
        <v>267.5652</v>
      </c>
      <c r="E141" s="14">
        <v>268.62830000000002</v>
      </c>
      <c r="F141" s="14">
        <v>265.245</v>
      </c>
      <c r="G141" s="14">
        <v>260.59609999999998</v>
      </c>
      <c r="H141" s="14">
        <v>262.21539999999999</v>
      </c>
      <c r="I141" s="14">
        <v>264.58370000000002</v>
      </c>
      <c r="J141" s="14">
        <v>268.75650000000002</v>
      </c>
      <c r="K141" s="14">
        <v>268.37099999999998</v>
      </c>
      <c r="L141" s="14">
        <v>268.6891</v>
      </c>
      <c r="M141" s="14">
        <v>274.84219999999999</v>
      </c>
      <c r="N141" s="14">
        <v>290.58969999999999</v>
      </c>
    </row>
    <row r="142" spans="2:14">
      <c r="B142" t="s">
        <v>123</v>
      </c>
      <c r="C142" s="14">
        <v>93.771500000000003</v>
      </c>
      <c r="D142" s="14">
        <v>92.596299999999999</v>
      </c>
      <c r="E142" s="14">
        <v>77.572100000000006</v>
      </c>
      <c r="F142" s="14">
        <v>81.380700000000004</v>
      </c>
      <c r="G142" s="14">
        <v>81.888999999999996</v>
      </c>
      <c r="H142" s="14">
        <v>81.929500000000004</v>
      </c>
      <c r="I142" s="14">
        <v>78.174099999999996</v>
      </c>
      <c r="J142" s="14">
        <v>78.722300000000004</v>
      </c>
      <c r="K142" s="14">
        <v>74.065299999999993</v>
      </c>
      <c r="L142" s="14">
        <v>75.558800000000005</v>
      </c>
      <c r="M142" s="14">
        <v>74.0989</v>
      </c>
      <c r="N142" s="14">
        <v>77.096100000000007</v>
      </c>
    </row>
    <row r="143" spans="2:14">
      <c r="B143" t="s">
        <v>113</v>
      </c>
      <c r="C143" s="14">
        <v>102.0947</v>
      </c>
      <c r="D143" s="14">
        <v>105.79989999999999</v>
      </c>
      <c r="E143" s="14">
        <v>106.42749999999999</v>
      </c>
      <c r="F143" s="14">
        <v>112.4205</v>
      </c>
      <c r="G143" s="14">
        <v>111.7016</v>
      </c>
      <c r="H143" s="14">
        <v>106.9385</v>
      </c>
      <c r="I143" s="14">
        <v>110.1187</v>
      </c>
      <c r="J143" s="14">
        <v>116.2099</v>
      </c>
      <c r="K143" s="14">
        <v>120.4314</v>
      </c>
      <c r="L143" s="14">
        <v>118.3738</v>
      </c>
      <c r="M143" s="14">
        <v>129.3519</v>
      </c>
      <c r="N143" s="14">
        <v>132.33869999999999</v>
      </c>
    </row>
    <row r="144" spans="2:14">
      <c r="B144" t="s">
        <v>120</v>
      </c>
      <c r="C144" s="14">
        <v>521.63210000000004</v>
      </c>
      <c r="D144" s="14">
        <v>520.4008</v>
      </c>
      <c r="E144" s="14">
        <v>543.95690000000002</v>
      </c>
      <c r="F144" s="14">
        <v>552.62940000000003</v>
      </c>
      <c r="G144" s="14">
        <v>563.17229999999995</v>
      </c>
      <c r="H144" s="14">
        <v>577.20209999999997</v>
      </c>
      <c r="I144" s="14">
        <v>584.85760000000005</v>
      </c>
      <c r="J144" s="14">
        <v>586.80849999999998</v>
      </c>
      <c r="K144" s="14">
        <v>598.88469999999995</v>
      </c>
      <c r="L144" s="14">
        <v>598.72220000000004</v>
      </c>
      <c r="M144" s="14">
        <v>617.28359999999998</v>
      </c>
      <c r="N144" s="14">
        <v>624.1223</v>
      </c>
    </row>
    <row r="145" spans="2:14">
      <c r="B145" t="s">
        <v>132</v>
      </c>
      <c r="C145" s="14">
        <v>89.505899999999997</v>
      </c>
      <c r="D145" s="14">
        <v>89.171700000000001</v>
      </c>
      <c r="E145" s="14">
        <v>88.175799999999995</v>
      </c>
      <c r="F145" s="14">
        <v>91.254300000000001</v>
      </c>
      <c r="G145" s="14">
        <v>90.598699999999994</v>
      </c>
      <c r="H145" s="14">
        <v>89.232799999999997</v>
      </c>
      <c r="I145" s="14">
        <v>90.540499999999994</v>
      </c>
      <c r="J145" s="14">
        <v>95.911799999999999</v>
      </c>
      <c r="K145" s="14">
        <v>94.339799999999997</v>
      </c>
      <c r="L145" s="14">
        <v>91.039100000000005</v>
      </c>
      <c r="M145" s="14">
        <v>94.419499999999999</v>
      </c>
      <c r="N145" s="14">
        <v>96.182199999999995</v>
      </c>
    </row>
    <row r="146" spans="2:14">
      <c r="B146" t="s">
        <v>104</v>
      </c>
      <c r="C146" s="14">
        <v>139.32660000000001</v>
      </c>
      <c r="D146" s="14">
        <v>137.80860000000001</v>
      </c>
      <c r="E146" s="14">
        <v>129.32560000000001</v>
      </c>
      <c r="F146" s="14">
        <v>132.12860000000001</v>
      </c>
      <c r="G146" s="14">
        <v>128.2833</v>
      </c>
      <c r="H146" s="14">
        <v>129.27539999999999</v>
      </c>
      <c r="I146" s="14">
        <v>135.6926</v>
      </c>
      <c r="J146" s="14">
        <v>145.1208</v>
      </c>
      <c r="K146" s="14">
        <v>143.49709999999999</v>
      </c>
      <c r="L146" s="14">
        <v>144.98910000000001</v>
      </c>
      <c r="M146" s="14">
        <v>153.7278</v>
      </c>
      <c r="N146" s="14">
        <v>159.50059999999999</v>
      </c>
    </row>
    <row r="147" spans="2:14">
      <c r="B147" t="s">
        <v>109</v>
      </c>
      <c r="C147" s="14">
        <v>248.05699999999999</v>
      </c>
      <c r="D147" s="14">
        <v>261.87200000000001</v>
      </c>
      <c r="E147" s="14">
        <v>249.69710000000001</v>
      </c>
      <c r="F147" s="14">
        <v>251.97649999999999</v>
      </c>
      <c r="G147" s="14">
        <v>246.096</v>
      </c>
      <c r="H147" s="14">
        <v>257.99340000000001</v>
      </c>
      <c r="I147" s="14">
        <v>254.70580000000001</v>
      </c>
      <c r="J147" s="14">
        <v>258.9239</v>
      </c>
      <c r="K147" s="14">
        <v>257.94990000000001</v>
      </c>
      <c r="L147" s="14">
        <v>251.14599999999999</v>
      </c>
      <c r="M147" s="14">
        <v>261.42829999999998</v>
      </c>
      <c r="N147" s="14">
        <v>265.6087</v>
      </c>
    </row>
    <row r="148" spans="2:14">
      <c r="B148" t="s">
        <v>121</v>
      </c>
      <c r="C148" s="14">
        <v>207.96950000000001</v>
      </c>
      <c r="D148" s="14">
        <v>202.7629</v>
      </c>
      <c r="E148" s="14">
        <v>198.6</v>
      </c>
      <c r="F148" s="14">
        <v>200.48</v>
      </c>
      <c r="G148" s="14">
        <v>209.33879999999999</v>
      </c>
      <c r="H148" s="14">
        <v>219.6404</v>
      </c>
      <c r="I148" s="14">
        <v>218.0924</v>
      </c>
      <c r="J148" s="14">
        <v>230.75450000000001</v>
      </c>
      <c r="K148" s="14">
        <v>233.1438</v>
      </c>
      <c r="L148" s="14">
        <v>241.8415</v>
      </c>
      <c r="M148" s="14">
        <v>255.62139999999999</v>
      </c>
      <c r="N148" s="14">
        <v>262.46409999999997</v>
      </c>
    </row>
    <row r="149" spans="2:14">
      <c r="B149" t="s">
        <v>138</v>
      </c>
      <c r="C149" s="14">
        <v>246.1071</v>
      </c>
      <c r="D149" s="14">
        <v>242.761</v>
      </c>
      <c r="E149" s="14">
        <v>246.89580000000001</v>
      </c>
      <c r="F149" s="14">
        <v>248.2543</v>
      </c>
      <c r="G149" s="14">
        <v>248.34690000000001</v>
      </c>
      <c r="H149" s="14">
        <v>236.37559999999999</v>
      </c>
      <c r="I149" s="14">
        <v>244.20939999999999</v>
      </c>
      <c r="J149" s="14">
        <v>251.15170000000001</v>
      </c>
      <c r="K149" s="14">
        <v>255.87520000000001</v>
      </c>
      <c r="L149" s="14">
        <v>252.40530000000001</v>
      </c>
      <c r="M149" s="14">
        <v>257.0224</v>
      </c>
      <c r="N149" s="14">
        <v>262.07600000000002</v>
      </c>
    </row>
    <row r="150" spans="2:14">
      <c r="B150" t="s">
        <v>111</v>
      </c>
      <c r="C150" s="14">
        <v>472.53440000000001</v>
      </c>
      <c r="D150" s="14">
        <v>488.73239999999998</v>
      </c>
      <c r="E150" s="14">
        <v>490.238</v>
      </c>
      <c r="F150" s="14">
        <v>486.36590000000001</v>
      </c>
      <c r="G150" s="14">
        <v>488.58359999999999</v>
      </c>
      <c r="H150" s="14">
        <v>490.4674</v>
      </c>
      <c r="I150" s="14">
        <v>489.53059999999999</v>
      </c>
      <c r="J150" s="14">
        <v>494.18369999999999</v>
      </c>
      <c r="K150" s="14">
        <v>493.68869999999998</v>
      </c>
      <c r="L150" s="14">
        <v>484.70359999999999</v>
      </c>
      <c r="M150" s="14">
        <v>511.10809999999998</v>
      </c>
      <c r="N150" s="14">
        <v>521.41430000000003</v>
      </c>
    </row>
    <row r="151" spans="2:14">
      <c r="B151" t="s">
        <v>146</v>
      </c>
      <c r="C151" s="14">
        <v>788.07910000000004</v>
      </c>
      <c r="D151" s="14">
        <v>798.11069999999995</v>
      </c>
      <c r="E151" s="14">
        <v>815.51890000000003</v>
      </c>
      <c r="F151" s="14">
        <v>842.17939999999999</v>
      </c>
      <c r="G151" s="14">
        <v>843.65160000000003</v>
      </c>
      <c r="H151" s="14">
        <v>846.64710000000002</v>
      </c>
      <c r="I151" s="14">
        <v>860.25130000000001</v>
      </c>
      <c r="J151" s="14">
        <v>867.80349999999999</v>
      </c>
      <c r="K151" s="14">
        <v>848.54740000000004</v>
      </c>
      <c r="L151" s="14">
        <v>854.18870000000004</v>
      </c>
      <c r="M151" s="14">
        <v>862.1386</v>
      </c>
      <c r="N151" s="14">
        <v>879.62869999999998</v>
      </c>
    </row>
    <row r="152" spans="2:14">
      <c r="B152" t="s">
        <v>115</v>
      </c>
      <c r="C152" s="14">
        <v>234.34719999999999</v>
      </c>
      <c r="D152" s="14">
        <v>226.4425</v>
      </c>
      <c r="E152" s="14">
        <v>222.12870000000001</v>
      </c>
      <c r="F152" s="14">
        <v>226.8682</v>
      </c>
      <c r="G152" s="14">
        <v>229.91849999999999</v>
      </c>
      <c r="H152" s="14">
        <v>226.07509999999999</v>
      </c>
      <c r="I152" s="14">
        <v>225.2979</v>
      </c>
      <c r="J152" s="14">
        <v>232.72239999999999</v>
      </c>
      <c r="K152" s="14">
        <v>233.1858</v>
      </c>
      <c r="L152" s="14">
        <v>227.26990000000001</v>
      </c>
      <c r="M152" s="14">
        <v>236.19569999999999</v>
      </c>
      <c r="N152" s="14">
        <v>242.1985</v>
      </c>
    </row>
    <row r="153" spans="2:14">
      <c r="B153" t="s">
        <v>90</v>
      </c>
      <c r="C153" s="14">
        <v>10.9201</v>
      </c>
      <c r="D153" s="14">
        <v>11.3337</v>
      </c>
      <c r="E153" s="14">
        <v>11.3392</v>
      </c>
      <c r="F153" s="14">
        <v>12.749000000000001</v>
      </c>
      <c r="G153" s="14">
        <v>12.242599999999999</v>
      </c>
      <c r="H153" s="14">
        <v>12.4452</v>
      </c>
      <c r="I153" s="14">
        <v>13.071300000000001</v>
      </c>
      <c r="J153" s="14">
        <v>13.446400000000001</v>
      </c>
      <c r="K153" s="14">
        <v>12.8744</v>
      </c>
      <c r="L153" s="14">
        <v>13.214700000000001</v>
      </c>
      <c r="M153" s="14">
        <v>13.7531</v>
      </c>
      <c r="N153" s="14">
        <v>12.9329</v>
      </c>
    </row>
    <row r="154" spans="2:14">
      <c r="B154" t="s">
        <v>129</v>
      </c>
      <c r="C154" s="14">
        <v>40.169600000000003</v>
      </c>
      <c r="D154" s="14">
        <v>38.261600000000001</v>
      </c>
      <c r="E154" s="14">
        <v>37.4056</v>
      </c>
      <c r="F154" s="14">
        <v>34.476599999999998</v>
      </c>
      <c r="G154" s="14">
        <v>33.420299999999997</v>
      </c>
      <c r="H154" s="14">
        <v>38.432200000000002</v>
      </c>
      <c r="I154" s="14">
        <v>41.446599999999997</v>
      </c>
      <c r="J154" s="14">
        <v>49.263399999999997</v>
      </c>
      <c r="K154" s="14">
        <v>56.819400000000002</v>
      </c>
      <c r="L154" s="14">
        <v>59.875300000000003</v>
      </c>
      <c r="M154" s="14">
        <v>56.710599999999999</v>
      </c>
      <c r="N154" s="14">
        <v>59.229300000000002</v>
      </c>
    </row>
    <row r="155" spans="2:14">
      <c r="B155" t="s">
        <v>133</v>
      </c>
      <c r="C155" s="14">
        <v>236.8734</v>
      </c>
      <c r="D155" s="14">
        <v>240.84200000000001</v>
      </c>
      <c r="E155" s="14">
        <v>239.93129999999999</v>
      </c>
      <c r="F155" s="14">
        <v>245.2764</v>
      </c>
      <c r="G155" s="14">
        <v>255.4761</v>
      </c>
      <c r="H155" s="14">
        <v>257.08069999999998</v>
      </c>
      <c r="I155" s="14">
        <v>252.3954</v>
      </c>
      <c r="J155" s="14">
        <v>255.2131</v>
      </c>
      <c r="K155" s="14">
        <v>251.2587</v>
      </c>
      <c r="L155" s="14">
        <v>252.00700000000001</v>
      </c>
      <c r="M155" s="14">
        <v>261.64670000000001</v>
      </c>
      <c r="N155" s="14">
        <v>260.5539</v>
      </c>
    </row>
    <row r="156" spans="2:14">
      <c r="B156" t="s">
        <v>118</v>
      </c>
      <c r="C156" s="14">
        <v>278.55650000000003</v>
      </c>
      <c r="D156" s="14">
        <v>275.63470000000001</v>
      </c>
      <c r="E156" s="14">
        <v>276.56939999999997</v>
      </c>
      <c r="F156" s="14">
        <v>276.62139999999999</v>
      </c>
      <c r="G156" s="14">
        <v>275.73079999999999</v>
      </c>
      <c r="H156" s="14">
        <v>270.90530000000001</v>
      </c>
      <c r="I156" s="14">
        <v>280.66149999999999</v>
      </c>
      <c r="J156" s="14">
        <v>286.33960000000002</v>
      </c>
      <c r="K156" s="14">
        <v>285.10759999999999</v>
      </c>
      <c r="L156" s="14">
        <v>283.84289999999999</v>
      </c>
      <c r="M156" s="14">
        <v>283.15710000000001</v>
      </c>
      <c r="N156" s="14">
        <v>295.39370000000002</v>
      </c>
    </row>
    <row r="157" spans="2:14">
      <c r="B157" t="s">
        <v>114</v>
      </c>
      <c r="C157" s="14">
        <v>175.86619999999999</v>
      </c>
      <c r="D157" s="14">
        <v>177.59620000000001</v>
      </c>
      <c r="E157" s="14">
        <v>174.8655</v>
      </c>
      <c r="F157" s="14">
        <v>174.65199999999999</v>
      </c>
      <c r="G157" s="14">
        <v>176.92009999999999</v>
      </c>
      <c r="H157" s="14">
        <v>185.46719999999999</v>
      </c>
      <c r="I157" s="14">
        <v>197.49090000000001</v>
      </c>
      <c r="J157" s="14">
        <v>202.3458</v>
      </c>
      <c r="K157" s="14">
        <v>201.6447</v>
      </c>
      <c r="L157" s="14">
        <v>204.1601</v>
      </c>
      <c r="M157" s="14">
        <v>207.74279999999999</v>
      </c>
      <c r="N157" s="14">
        <v>210.37389999999999</v>
      </c>
    </row>
    <row r="158" spans="2:14">
      <c r="B158" t="s">
        <v>107</v>
      </c>
      <c r="C158" s="14">
        <v>24.5793</v>
      </c>
      <c r="D158" s="14">
        <v>22.256699999999999</v>
      </c>
      <c r="E158" s="14">
        <v>21.580100000000002</v>
      </c>
      <c r="F158" s="14">
        <v>23.2014</v>
      </c>
      <c r="G158" s="14">
        <v>22.602799999999998</v>
      </c>
      <c r="H158" s="14">
        <v>24.119499999999999</v>
      </c>
      <c r="I158" s="14">
        <v>25.468499999999999</v>
      </c>
      <c r="J158" s="14">
        <v>24.945499999999999</v>
      </c>
      <c r="K158" s="14">
        <v>24.878699999999998</v>
      </c>
      <c r="L158" s="14">
        <v>23.999199999999998</v>
      </c>
      <c r="M158" s="14">
        <v>24.973099999999999</v>
      </c>
      <c r="N158" s="14">
        <v>23.8383</v>
      </c>
    </row>
    <row r="159" spans="2:14">
      <c r="B159" t="s">
        <v>89</v>
      </c>
      <c r="C159" s="14">
        <v>64.063800000000001</v>
      </c>
      <c r="D159" s="14">
        <v>60.808</v>
      </c>
      <c r="E159" s="14">
        <v>58.508499999999998</v>
      </c>
      <c r="F159" s="14">
        <v>55.986899999999999</v>
      </c>
      <c r="G159" s="14">
        <v>57.868699999999997</v>
      </c>
      <c r="H159" s="14">
        <v>57.176699999999997</v>
      </c>
      <c r="I159" s="14">
        <v>57.411900000000003</v>
      </c>
      <c r="J159" s="14">
        <v>58.489899999999999</v>
      </c>
      <c r="K159" s="14">
        <v>57.666800000000002</v>
      </c>
      <c r="L159" s="14">
        <v>59.016399999999997</v>
      </c>
      <c r="M159" s="14">
        <v>56.826799999999999</v>
      </c>
      <c r="N159" s="14">
        <v>59.803400000000003</v>
      </c>
    </row>
    <row r="160" spans="2:14">
      <c r="B160" t="s">
        <v>100</v>
      </c>
      <c r="C160" s="14">
        <v>67.810100000000006</v>
      </c>
      <c r="D160" s="14">
        <v>65.792100000000005</v>
      </c>
      <c r="E160" s="14">
        <v>65.337000000000003</v>
      </c>
      <c r="F160" s="14">
        <v>64.654300000000006</v>
      </c>
      <c r="G160" s="14">
        <v>63.564100000000003</v>
      </c>
      <c r="H160" s="14">
        <v>61.479100000000003</v>
      </c>
      <c r="I160" s="14">
        <v>66.323999999999998</v>
      </c>
      <c r="J160" s="14">
        <v>68.889700000000005</v>
      </c>
      <c r="K160" s="14">
        <v>67.545400000000001</v>
      </c>
      <c r="L160" s="14">
        <v>66.724599999999995</v>
      </c>
      <c r="M160" s="14">
        <v>68.021699999999996</v>
      </c>
      <c r="N160" s="14">
        <v>65.244100000000003</v>
      </c>
    </row>
    <row r="161" spans="2:14">
      <c r="B161" t="s">
        <v>148</v>
      </c>
      <c r="C161" s="14">
        <v>48.841900000000003</v>
      </c>
      <c r="D161" s="14">
        <v>48.043799999999997</v>
      </c>
      <c r="E161" s="14">
        <v>45.738199999999999</v>
      </c>
      <c r="F161" s="14">
        <v>45.322200000000002</v>
      </c>
      <c r="G161" s="14">
        <v>45.236800000000002</v>
      </c>
      <c r="H161" s="14">
        <v>42.346899999999998</v>
      </c>
      <c r="I161" s="14">
        <v>46.102899999999998</v>
      </c>
      <c r="J161" s="14">
        <v>48.463500000000003</v>
      </c>
      <c r="K161" s="14">
        <v>49.455100000000002</v>
      </c>
      <c r="L161" s="14">
        <v>47.236400000000003</v>
      </c>
      <c r="M161" s="14">
        <v>47.837299999999999</v>
      </c>
      <c r="N161" s="14">
        <v>54.103000000000002</v>
      </c>
    </row>
    <row r="162" spans="2:14">
      <c r="B162" t="s">
        <v>105</v>
      </c>
      <c r="C162" s="14">
        <v>65.088700000000003</v>
      </c>
      <c r="D162" s="14">
        <v>66.385199999999998</v>
      </c>
      <c r="E162" s="14">
        <v>69.088999999999999</v>
      </c>
      <c r="F162" s="14">
        <v>70.894900000000007</v>
      </c>
      <c r="G162" s="14">
        <v>72.146199999999993</v>
      </c>
      <c r="H162" s="14">
        <v>71.691800000000001</v>
      </c>
      <c r="I162" s="14">
        <v>72.0077</v>
      </c>
      <c r="J162" s="14">
        <v>71.437899999999999</v>
      </c>
      <c r="K162" s="14">
        <v>71.9435</v>
      </c>
      <c r="L162" s="14">
        <v>69.003799999999998</v>
      </c>
      <c r="M162" s="14">
        <v>71.112899999999996</v>
      </c>
      <c r="N162" s="14">
        <v>74.808899999999994</v>
      </c>
    </row>
    <row r="163" spans="2:14">
      <c r="B163" t="s">
        <v>140</v>
      </c>
      <c r="C163" s="14">
        <v>244.65600000000001</v>
      </c>
      <c r="D163" s="14">
        <v>246.93819999999999</v>
      </c>
      <c r="E163" s="14">
        <v>241.7859</v>
      </c>
      <c r="F163" s="14">
        <v>245.1722</v>
      </c>
      <c r="G163" s="14">
        <v>249.91739999999999</v>
      </c>
      <c r="H163" s="14">
        <v>249.57089999999999</v>
      </c>
      <c r="I163" s="14">
        <v>259.19009999999997</v>
      </c>
      <c r="J163" s="14">
        <v>263.137</v>
      </c>
      <c r="K163" s="14">
        <v>266.35449999999997</v>
      </c>
      <c r="L163" s="14">
        <v>266.3252</v>
      </c>
      <c r="M163" s="14">
        <v>274.59829999999999</v>
      </c>
      <c r="N163" s="14">
        <v>282.0924</v>
      </c>
    </row>
    <row r="164" spans="2:14">
      <c r="B164" t="s">
        <v>94</v>
      </c>
      <c r="C164" s="14">
        <v>1652.5251000000001</v>
      </c>
      <c r="D164" s="14">
        <v>1661.7061000000001</v>
      </c>
      <c r="E164" s="14">
        <v>1668.0266999999999</v>
      </c>
      <c r="F164" s="14">
        <v>1732.7647999999999</v>
      </c>
      <c r="G164" s="14">
        <v>1782.3822</v>
      </c>
      <c r="H164" s="14">
        <v>1819.0907999999999</v>
      </c>
      <c r="I164" s="14">
        <v>1820.8503000000001</v>
      </c>
      <c r="J164" s="14">
        <v>1833.3643</v>
      </c>
      <c r="K164" s="14">
        <v>1855.6551999999999</v>
      </c>
      <c r="L164" s="14">
        <v>1887.0971999999999</v>
      </c>
      <c r="M164" s="14">
        <v>1941.9575</v>
      </c>
      <c r="N164" s="14">
        <v>2007.3171</v>
      </c>
    </row>
    <row r="165" spans="2:14">
      <c r="B165" t="s">
        <v>126</v>
      </c>
      <c r="C165" s="14">
        <v>197.56739999999999</v>
      </c>
      <c r="D165" s="14">
        <v>200.68090000000001</v>
      </c>
      <c r="E165" s="14">
        <v>220.71209999999999</v>
      </c>
      <c r="F165" s="14">
        <v>240.5368</v>
      </c>
      <c r="G165" s="14">
        <v>247.36930000000001</v>
      </c>
      <c r="H165" s="14">
        <v>259.92599999999999</v>
      </c>
      <c r="I165" s="14">
        <v>258.34309999999999</v>
      </c>
      <c r="J165" s="14">
        <v>278.37310000000002</v>
      </c>
      <c r="K165" s="14">
        <v>291.5573</v>
      </c>
      <c r="L165" s="14">
        <v>298.23689999999999</v>
      </c>
      <c r="M165" s="14">
        <v>317.33359999999999</v>
      </c>
      <c r="N165" s="14">
        <v>333.35390000000001</v>
      </c>
    </row>
    <row r="166" spans="2:14">
      <c r="B166" t="s">
        <v>76</v>
      </c>
      <c r="C166" s="14">
        <v>128.2003</v>
      </c>
      <c r="D166" s="14">
        <v>132.18700000000001</v>
      </c>
      <c r="E166" s="14">
        <v>123.19289999999999</v>
      </c>
      <c r="F166" s="14">
        <v>130.41</v>
      </c>
      <c r="G166" s="14">
        <v>129.18549999999999</v>
      </c>
      <c r="H166" s="14">
        <v>129.3663</v>
      </c>
      <c r="I166" s="14">
        <v>136.4111</v>
      </c>
      <c r="J166" s="14">
        <v>144.16409999999999</v>
      </c>
      <c r="K166" s="14">
        <v>147.8048</v>
      </c>
      <c r="L166" s="14">
        <v>156.03550000000001</v>
      </c>
      <c r="M166" s="14">
        <v>162.92760000000001</v>
      </c>
      <c r="N166" s="14">
        <v>172.25139999999999</v>
      </c>
    </row>
    <row r="167" spans="2:14">
      <c r="B167" t="s">
        <v>137</v>
      </c>
      <c r="C167" s="14">
        <v>280.68090000000001</v>
      </c>
      <c r="D167" s="14">
        <v>276.30770000000001</v>
      </c>
      <c r="E167" s="14">
        <v>286.02699999999999</v>
      </c>
      <c r="F167" s="14">
        <v>279.2509</v>
      </c>
      <c r="G167" s="14">
        <v>280.6465</v>
      </c>
      <c r="H167" s="14">
        <v>285.0326</v>
      </c>
      <c r="I167" s="14">
        <v>286.33620000000002</v>
      </c>
      <c r="J167" s="14">
        <v>288.96129999999999</v>
      </c>
      <c r="K167" s="14">
        <v>289.77370000000002</v>
      </c>
      <c r="L167" s="14">
        <v>287.8236</v>
      </c>
      <c r="M167" s="14">
        <v>304.69080000000002</v>
      </c>
      <c r="N167" s="14">
        <v>312.29919999999998</v>
      </c>
    </row>
    <row r="168" spans="2:14">
      <c r="B168" t="s">
        <v>112</v>
      </c>
      <c r="C168" s="14">
        <v>36.708100000000002</v>
      </c>
      <c r="D168" s="14">
        <v>37.601199999999999</v>
      </c>
      <c r="E168" s="14">
        <v>38.679699999999997</v>
      </c>
      <c r="F168" s="14">
        <v>37.843499999999999</v>
      </c>
      <c r="G168" s="14">
        <v>37.418500000000002</v>
      </c>
      <c r="H168" s="14">
        <v>41.050699999999999</v>
      </c>
      <c r="I168" s="14">
        <v>41.8917</v>
      </c>
      <c r="J168" s="14">
        <v>44.333500000000001</v>
      </c>
      <c r="K168" s="14">
        <v>44.390099999999997</v>
      </c>
      <c r="L168" s="14">
        <v>41.9221</v>
      </c>
      <c r="M168" s="14">
        <v>40.542700000000004</v>
      </c>
      <c r="N168" s="14">
        <v>42.9983</v>
      </c>
    </row>
    <row r="169" spans="2:14">
      <c r="B169" t="s">
        <v>141</v>
      </c>
      <c r="C169" s="14">
        <v>28.111000000000001</v>
      </c>
      <c r="D169" s="14">
        <v>28.293299999999999</v>
      </c>
      <c r="E169" s="14">
        <v>27.951000000000001</v>
      </c>
      <c r="F169" s="14">
        <v>27.450700000000001</v>
      </c>
      <c r="G169" s="14">
        <v>27.412099999999999</v>
      </c>
      <c r="H169" s="14">
        <v>25.989799999999999</v>
      </c>
      <c r="I169" s="14">
        <v>23.666899999999998</v>
      </c>
      <c r="J169" s="14">
        <v>25.3415</v>
      </c>
      <c r="K169" s="14">
        <v>27.716100000000001</v>
      </c>
      <c r="L169" s="14">
        <v>26.789899999999999</v>
      </c>
      <c r="M169" s="14">
        <v>28.0261</v>
      </c>
      <c r="N169" s="14">
        <v>29.761500000000002</v>
      </c>
    </row>
    <row r="170" spans="2:14">
      <c r="B170" t="s">
        <v>144</v>
      </c>
      <c r="C170" s="14">
        <v>126.3433</v>
      </c>
      <c r="D170" s="14">
        <v>123.5018</v>
      </c>
      <c r="E170" s="14">
        <v>122.9177</v>
      </c>
      <c r="F170" s="14">
        <v>117.1066</v>
      </c>
      <c r="G170" s="14">
        <v>117.93859999999999</v>
      </c>
      <c r="H170" s="14">
        <v>119.1048</v>
      </c>
      <c r="I170" s="14">
        <v>118.18470000000001</v>
      </c>
      <c r="J170" s="14">
        <v>117.08329999999999</v>
      </c>
      <c r="K170" s="14">
        <v>119.3135</v>
      </c>
      <c r="L170" s="14">
        <v>116.59480000000001</v>
      </c>
      <c r="M170" s="14">
        <v>120.82080000000001</v>
      </c>
      <c r="N170" s="14">
        <v>126.8659</v>
      </c>
    </row>
    <row r="171" spans="2:14">
      <c r="B171" t="s">
        <v>92</v>
      </c>
      <c r="C171" s="14">
        <v>121.9748</v>
      </c>
      <c r="D171" s="14">
        <v>125.22190000000001</v>
      </c>
      <c r="E171" s="14">
        <v>119.379</v>
      </c>
      <c r="F171" s="14">
        <v>127.9928</v>
      </c>
      <c r="G171" s="14">
        <v>130.19909999999999</v>
      </c>
      <c r="H171" s="14">
        <v>132.82</v>
      </c>
      <c r="I171" s="14">
        <v>135.4803</v>
      </c>
      <c r="J171" s="14">
        <v>140.40100000000001</v>
      </c>
      <c r="K171" s="14">
        <v>138.77170000000001</v>
      </c>
      <c r="L171" s="14">
        <v>133.11969999999999</v>
      </c>
      <c r="M171" s="14">
        <v>136.08019999999999</v>
      </c>
      <c r="N171" s="14">
        <v>143.15049999999999</v>
      </c>
    </row>
    <row r="172" spans="2:14">
      <c r="B172" t="s">
        <v>122</v>
      </c>
      <c r="C172" s="14">
        <v>110.8518</v>
      </c>
      <c r="D172" s="14">
        <v>116.22969999999999</v>
      </c>
      <c r="E172" s="14">
        <v>123.0153</v>
      </c>
      <c r="F172" s="14">
        <v>133.172</v>
      </c>
      <c r="G172" s="14">
        <v>145.48259999999999</v>
      </c>
      <c r="H172" s="14">
        <v>155.7405</v>
      </c>
      <c r="I172" s="14">
        <v>156.9091</v>
      </c>
      <c r="J172" s="14">
        <v>162.47030000000001</v>
      </c>
      <c r="K172" s="14">
        <v>178.85140000000001</v>
      </c>
      <c r="L172" s="14">
        <v>182.852</v>
      </c>
      <c r="M172" s="14">
        <v>190.4323</v>
      </c>
      <c r="N172" s="14">
        <v>200.6345</v>
      </c>
    </row>
    <row r="173" spans="2:14">
      <c r="B173" t="s">
        <v>96</v>
      </c>
      <c r="C173" s="14">
        <v>606.57730000000004</v>
      </c>
      <c r="D173" s="14">
        <v>605.90239999999994</v>
      </c>
      <c r="E173" s="14">
        <v>603.7373</v>
      </c>
      <c r="F173" s="14">
        <v>609.50009999999997</v>
      </c>
      <c r="G173" s="14">
        <v>617.84799999999996</v>
      </c>
      <c r="H173" s="14">
        <v>622.89250000000004</v>
      </c>
      <c r="I173" s="14">
        <v>623.7989</v>
      </c>
      <c r="J173" s="14">
        <v>625.61130000000003</v>
      </c>
      <c r="K173" s="14">
        <v>635.07839999999999</v>
      </c>
      <c r="L173" s="14">
        <v>634.90689999999995</v>
      </c>
      <c r="M173" s="14">
        <v>669.6001</v>
      </c>
      <c r="N173" s="14">
        <v>691.20119999999997</v>
      </c>
    </row>
    <row r="174" spans="2:14">
      <c r="B174" t="s">
        <v>95</v>
      </c>
      <c r="C174" s="14">
        <v>123.4495</v>
      </c>
      <c r="D174" s="14">
        <v>120.80629999999999</v>
      </c>
      <c r="E174" s="14">
        <v>120.3173</v>
      </c>
      <c r="F174" s="14">
        <v>120.6773</v>
      </c>
      <c r="G174" s="14">
        <v>118.1452</v>
      </c>
      <c r="H174" s="14">
        <v>113.43819999999999</v>
      </c>
      <c r="I174" s="14">
        <v>119.4331</v>
      </c>
      <c r="J174" s="14">
        <v>122.7598</v>
      </c>
      <c r="K174" s="14">
        <v>121.557</v>
      </c>
      <c r="L174" s="14">
        <v>115.96080000000001</v>
      </c>
      <c r="M174" s="14">
        <v>117.5389</v>
      </c>
      <c r="N174" s="14">
        <v>123.8918</v>
      </c>
    </row>
    <row r="175" spans="2:14">
      <c r="B175" t="s">
        <v>130</v>
      </c>
      <c r="C175" s="14">
        <v>136.02279999999999</v>
      </c>
      <c r="D175" s="14">
        <v>139.2236</v>
      </c>
      <c r="E175" s="14">
        <v>137.3075</v>
      </c>
      <c r="F175" s="14">
        <v>137.89179999999999</v>
      </c>
      <c r="G175" s="14">
        <v>141.64070000000001</v>
      </c>
      <c r="H175" s="14">
        <v>149.15729999999999</v>
      </c>
      <c r="I175" s="14">
        <v>156.8492</v>
      </c>
      <c r="J175" s="14">
        <v>156.42850000000001</v>
      </c>
      <c r="K175" s="14">
        <v>159.75389999999999</v>
      </c>
      <c r="L175" s="14">
        <v>165.7124</v>
      </c>
      <c r="M175" s="14">
        <v>167.95849999999999</v>
      </c>
      <c r="N175" s="14">
        <v>174.2655</v>
      </c>
    </row>
    <row r="176" spans="2:14">
      <c r="B176" t="s">
        <v>99</v>
      </c>
      <c r="C176" s="14">
        <v>75.993300000000005</v>
      </c>
      <c r="D176" s="14">
        <v>74.968299999999999</v>
      </c>
      <c r="E176" s="14">
        <v>71.715100000000007</v>
      </c>
      <c r="F176" s="14">
        <v>69.231499999999997</v>
      </c>
      <c r="G176" s="14">
        <v>69.399600000000007</v>
      </c>
      <c r="H176" s="14">
        <v>72.055199999999999</v>
      </c>
      <c r="I176" s="14">
        <v>71.971299999999999</v>
      </c>
      <c r="J176" s="14">
        <v>75.4422</v>
      </c>
      <c r="K176" s="14">
        <v>75.682900000000004</v>
      </c>
      <c r="L176" s="14">
        <v>75.471299999999999</v>
      </c>
      <c r="M176" s="14">
        <v>86.320099999999996</v>
      </c>
      <c r="N176" s="14">
        <v>82.7607</v>
      </c>
    </row>
    <row r="177" spans="1:14">
      <c r="B177" t="s">
        <v>106</v>
      </c>
      <c r="C177" s="14">
        <v>400.38010000000003</v>
      </c>
      <c r="D177" s="14">
        <v>397.19369999999998</v>
      </c>
      <c r="E177" s="14">
        <v>402.46480000000003</v>
      </c>
      <c r="F177" s="14">
        <v>395.16910000000001</v>
      </c>
      <c r="G177" s="14">
        <v>390.6096</v>
      </c>
      <c r="H177" s="14">
        <v>398.79539999999997</v>
      </c>
      <c r="I177" s="14">
        <v>405.58620000000002</v>
      </c>
      <c r="J177" s="14">
        <v>417.39210000000003</v>
      </c>
      <c r="K177" s="14">
        <v>420.68790000000001</v>
      </c>
      <c r="L177" s="14">
        <v>413.56509999999997</v>
      </c>
      <c r="M177" s="14">
        <v>426.2527</v>
      </c>
      <c r="N177" s="14">
        <v>439.05779999999999</v>
      </c>
    </row>
    <row r="178" spans="1:14">
      <c r="B178" t="s">
        <v>43</v>
      </c>
      <c r="C178" s="14">
        <v>294.72809999999998</v>
      </c>
      <c r="D178" s="14">
        <v>289.36380000000003</v>
      </c>
      <c r="E178" s="14">
        <v>278.73649999999998</v>
      </c>
      <c r="F178" s="14">
        <v>285.77530000000002</v>
      </c>
      <c r="G178" s="14">
        <v>285.25920000000002</v>
      </c>
      <c r="H178" s="14">
        <v>290.09829999999999</v>
      </c>
      <c r="I178" s="14">
        <v>306.40210000000002</v>
      </c>
      <c r="J178" s="14">
        <v>330.84730000000002</v>
      </c>
      <c r="K178" s="14">
        <v>388.68740000000003</v>
      </c>
      <c r="L178" s="14">
        <v>418.67630000000003</v>
      </c>
      <c r="M178" s="14">
        <v>434.08969999999999</v>
      </c>
      <c r="N178" s="14">
        <v>474.15039999999999</v>
      </c>
    </row>
    <row r="179" spans="1:14">
      <c r="A179" t="s">
        <v>37</v>
      </c>
      <c r="B179" t="s">
        <v>97</v>
      </c>
      <c r="C179" s="14">
        <v>893.8723</v>
      </c>
      <c r="D179" s="14">
        <v>896.62210000000005</v>
      </c>
      <c r="E179" s="14">
        <v>894.67809999999997</v>
      </c>
      <c r="F179" s="14">
        <v>911.08130000000006</v>
      </c>
      <c r="G179" s="14">
        <v>911.69470000000001</v>
      </c>
      <c r="H179" s="14">
        <v>893.971</v>
      </c>
      <c r="I179" s="14">
        <v>915.02869999999996</v>
      </c>
      <c r="J179" s="14">
        <v>921.90930000000003</v>
      </c>
      <c r="K179" s="14">
        <v>942.55039999999997</v>
      </c>
      <c r="L179" s="14">
        <v>939.48910000000001</v>
      </c>
      <c r="M179" s="14">
        <v>970.04809999999998</v>
      </c>
      <c r="N179" s="14">
        <v>991.9846</v>
      </c>
    </row>
    <row r="180" spans="1:14">
      <c r="B180" t="s">
        <v>151</v>
      </c>
      <c r="C180" s="14">
        <v>1052.4802999999999</v>
      </c>
      <c r="D180" s="14">
        <v>1056.6666</v>
      </c>
      <c r="E180" s="14">
        <v>1079.0933</v>
      </c>
      <c r="F180" s="14">
        <v>1096.9635000000001</v>
      </c>
      <c r="G180" s="14">
        <v>1092.8986</v>
      </c>
      <c r="H180" s="14">
        <v>1143.2248999999999</v>
      </c>
      <c r="I180" s="14">
        <v>1174.6057000000001</v>
      </c>
      <c r="J180" s="14">
        <v>1203.5598</v>
      </c>
      <c r="K180" s="14">
        <v>1194.1777999999999</v>
      </c>
      <c r="L180" s="14">
        <v>1188.7284999999999</v>
      </c>
      <c r="M180" s="14">
        <v>1227.3045999999999</v>
      </c>
      <c r="N180" s="14">
        <v>1269.4970000000001</v>
      </c>
    </row>
    <row r="181" spans="1:14">
      <c r="B181" t="s">
        <v>108</v>
      </c>
      <c r="C181" s="14">
        <v>222.5547</v>
      </c>
      <c r="D181" s="14">
        <v>224.4171</v>
      </c>
      <c r="E181" s="14">
        <v>222.50450000000001</v>
      </c>
      <c r="F181" s="14">
        <v>223.65809999999999</v>
      </c>
      <c r="G181" s="14">
        <v>229.22540000000001</v>
      </c>
      <c r="H181" s="14">
        <v>232.36359999999999</v>
      </c>
      <c r="I181" s="14">
        <v>238.8937</v>
      </c>
      <c r="J181" s="14">
        <v>250.2259</v>
      </c>
      <c r="K181" s="14">
        <v>250.05760000000001</v>
      </c>
      <c r="L181" s="14">
        <v>261.19369999999998</v>
      </c>
      <c r="M181" s="14">
        <v>282.93400000000003</v>
      </c>
      <c r="N181" s="14">
        <v>288.41500000000002</v>
      </c>
    </row>
    <row r="182" spans="1:14">
      <c r="B182" t="s">
        <v>87</v>
      </c>
      <c r="C182" s="14">
        <v>78.892600000000002</v>
      </c>
      <c r="D182" s="14">
        <v>80.747</v>
      </c>
      <c r="E182" s="14">
        <v>81.851900000000001</v>
      </c>
      <c r="F182" s="14">
        <v>80.972499999999997</v>
      </c>
      <c r="G182" s="14">
        <v>80.195800000000006</v>
      </c>
      <c r="H182" s="14">
        <v>77.143100000000004</v>
      </c>
      <c r="I182" s="14">
        <v>72.782799999999995</v>
      </c>
      <c r="J182" s="14">
        <v>70.918300000000002</v>
      </c>
      <c r="K182" s="14">
        <v>71.067700000000002</v>
      </c>
      <c r="L182" s="14">
        <v>69.3994</v>
      </c>
      <c r="M182" s="14">
        <v>69.750299999999996</v>
      </c>
      <c r="N182" s="14">
        <v>71.283500000000004</v>
      </c>
    </row>
    <row r="183" spans="1:14">
      <c r="B183" t="s">
        <v>77</v>
      </c>
      <c r="C183" s="14">
        <v>1082.1980000000001</v>
      </c>
      <c r="D183" s="14">
        <v>1112.5392999999999</v>
      </c>
      <c r="E183" s="14">
        <v>1124.6113</v>
      </c>
      <c r="F183" s="14">
        <v>1138.941</v>
      </c>
      <c r="G183" s="14">
        <v>1151.67</v>
      </c>
      <c r="H183" s="14">
        <v>1160.2817</v>
      </c>
      <c r="I183" s="14">
        <v>1158.2968000000001</v>
      </c>
      <c r="J183" s="14">
        <v>1156.0954999999999</v>
      </c>
      <c r="K183" s="14">
        <v>1152.5039999999999</v>
      </c>
      <c r="L183" s="14">
        <v>1143.6831999999999</v>
      </c>
      <c r="M183" s="14">
        <v>1215.8664000000001</v>
      </c>
      <c r="N183" s="14">
        <v>1254.1214</v>
      </c>
    </row>
    <row r="184" spans="1:14">
      <c r="B184" t="s">
        <v>254</v>
      </c>
      <c r="C184" s="14">
        <v>356.82909999999998</v>
      </c>
      <c r="D184" s="14">
        <v>352.24360000000001</v>
      </c>
      <c r="E184" s="14">
        <v>355.11369999999999</v>
      </c>
      <c r="F184" s="14">
        <v>363.9676</v>
      </c>
      <c r="G184" s="14">
        <v>359.0385</v>
      </c>
      <c r="H184" s="14">
        <v>358.6223</v>
      </c>
      <c r="I184" s="14">
        <v>377.22820000000002</v>
      </c>
      <c r="J184" s="14">
        <v>402.52420000000001</v>
      </c>
      <c r="K184" s="14">
        <v>406.86399999999998</v>
      </c>
      <c r="L184" s="14">
        <v>396.63990000000001</v>
      </c>
      <c r="M184" s="14">
        <v>395.88459999999998</v>
      </c>
      <c r="N184" s="14">
        <v>412.1035</v>
      </c>
    </row>
    <row r="185" spans="1:14">
      <c r="B185" t="s">
        <v>253</v>
      </c>
      <c r="C185" s="14">
        <v>1044.6424999999999</v>
      </c>
      <c r="D185" s="14">
        <v>1044.4872</v>
      </c>
      <c r="E185" s="14">
        <v>1037.7467999999999</v>
      </c>
      <c r="F185" s="14">
        <v>1013.8069</v>
      </c>
      <c r="G185" s="14">
        <v>1009.307</v>
      </c>
      <c r="H185" s="14">
        <v>1066.4929</v>
      </c>
      <c r="I185" s="14">
        <v>1055.3107</v>
      </c>
      <c r="J185" s="14">
        <v>1062.9219000000001</v>
      </c>
      <c r="K185" s="14">
        <v>1079.3078</v>
      </c>
      <c r="L185" s="14">
        <v>1077.3023000000001</v>
      </c>
      <c r="M185" s="14">
        <v>1100.8624</v>
      </c>
      <c r="N185" s="14">
        <v>1153.3862999999999</v>
      </c>
    </row>
    <row r="186" spans="1:14">
      <c r="B186" t="s">
        <v>78</v>
      </c>
      <c r="C186" s="14">
        <v>982.68420000000003</v>
      </c>
      <c r="D186" s="14">
        <v>992.01400000000001</v>
      </c>
      <c r="E186" s="14">
        <v>997.67259999999999</v>
      </c>
      <c r="F186" s="14">
        <v>1016.3184</v>
      </c>
      <c r="G186" s="14">
        <v>1036.4262000000001</v>
      </c>
      <c r="H186" s="14">
        <v>1038.422</v>
      </c>
      <c r="I186" s="14">
        <v>999.38589999999999</v>
      </c>
      <c r="J186" s="14">
        <v>971.16589999999997</v>
      </c>
      <c r="K186" s="14">
        <v>977.62570000000005</v>
      </c>
      <c r="L186" s="14">
        <v>996.74509999999998</v>
      </c>
      <c r="M186" s="14">
        <v>1044.2378000000001</v>
      </c>
      <c r="N186" s="14">
        <v>1068.5146</v>
      </c>
    </row>
    <row r="187" spans="1:14">
      <c r="B187" t="s">
        <v>258</v>
      </c>
      <c r="C187" s="14">
        <v>806.81590000000006</v>
      </c>
      <c r="D187" s="14">
        <v>815.0566</v>
      </c>
      <c r="E187" s="14">
        <v>836.88850000000002</v>
      </c>
      <c r="F187" s="14">
        <v>867.64089999999999</v>
      </c>
      <c r="G187" s="14">
        <v>872.16769999999997</v>
      </c>
      <c r="H187" s="14">
        <v>889.80060000000003</v>
      </c>
      <c r="I187" s="14">
        <v>893.65440000000001</v>
      </c>
      <c r="J187" s="14">
        <v>892.58370000000002</v>
      </c>
      <c r="K187" s="14">
        <v>887.35220000000004</v>
      </c>
      <c r="L187" s="14">
        <v>886.45680000000004</v>
      </c>
      <c r="M187" s="14">
        <v>909.89499999999998</v>
      </c>
      <c r="N187" s="14">
        <v>924.10519999999997</v>
      </c>
    </row>
    <row r="188" spans="1:14">
      <c r="B188" t="s">
        <v>79</v>
      </c>
      <c r="C188" s="14">
        <v>742.38369999999998</v>
      </c>
      <c r="D188" s="14">
        <v>746.13630000000001</v>
      </c>
      <c r="E188" s="14">
        <v>750.76110000000006</v>
      </c>
      <c r="F188" s="14">
        <v>761.59410000000003</v>
      </c>
      <c r="G188" s="14">
        <v>787.31150000000002</v>
      </c>
      <c r="H188" s="14">
        <v>808.17909999999995</v>
      </c>
      <c r="I188" s="14">
        <v>836.94420000000002</v>
      </c>
      <c r="J188" s="14">
        <v>867.46289999999999</v>
      </c>
      <c r="K188" s="14">
        <v>877.29250000000002</v>
      </c>
      <c r="L188" s="14">
        <v>887.3578</v>
      </c>
      <c r="M188" s="14">
        <v>900.68359999999996</v>
      </c>
      <c r="N188" s="14">
        <v>954.79309999999998</v>
      </c>
    </row>
    <row r="189" spans="1:14">
      <c r="B189" t="s">
        <v>86</v>
      </c>
      <c r="C189" s="14">
        <v>623.97230000000002</v>
      </c>
      <c r="D189" s="14">
        <v>641.995</v>
      </c>
      <c r="E189" s="14">
        <v>672.91579999999999</v>
      </c>
      <c r="F189" s="14">
        <v>705.29819999999995</v>
      </c>
      <c r="G189" s="14">
        <v>734.33529999999996</v>
      </c>
      <c r="H189" s="14">
        <v>763.76599999999996</v>
      </c>
      <c r="I189" s="14">
        <v>799.29920000000004</v>
      </c>
      <c r="J189" s="14">
        <v>818.59640000000002</v>
      </c>
      <c r="K189" s="14">
        <v>813.6413</v>
      </c>
      <c r="L189" s="14">
        <v>832.2835</v>
      </c>
      <c r="M189" s="14">
        <v>887.56889999999999</v>
      </c>
      <c r="N189" s="14">
        <v>912.39909999999998</v>
      </c>
    </row>
    <row r="190" spans="1:14">
      <c r="B190" t="s">
        <v>82</v>
      </c>
      <c r="C190" s="14">
        <v>1657.3072999999999</v>
      </c>
      <c r="D190" s="14">
        <v>1694.6223</v>
      </c>
      <c r="E190" s="14">
        <v>1735.1614</v>
      </c>
      <c r="F190" s="14">
        <v>1782.1566</v>
      </c>
      <c r="G190" s="14">
        <v>1823.5971999999999</v>
      </c>
      <c r="H190" s="14">
        <v>1881.9386999999999</v>
      </c>
      <c r="I190" s="14">
        <v>1891.9145000000001</v>
      </c>
      <c r="J190" s="14">
        <v>1906.2795000000001</v>
      </c>
      <c r="K190" s="14">
        <v>1949.2391</v>
      </c>
      <c r="L190" s="14">
        <v>1971.7547999999999</v>
      </c>
      <c r="M190" s="14">
        <v>2074.9276</v>
      </c>
      <c r="N190" s="14">
        <v>2142.002</v>
      </c>
    </row>
    <row r="191" spans="1:14">
      <c r="B191" t="s">
        <v>252</v>
      </c>
      <c r="C191" s="14">
        <v>646.45129999999995</v>
      </c>
      <c r="D191" s="14">
        <v>646.97659999999996</v>
      </c>
      <c r="E191" s="14">
        <v>634.34839999999997</v>
      </c>
      <c r="F191" s="14">
        <v>636.18520000000001</v>
      </c>
      <c r="G191" s="14">
        <v>657.3451</v>
      </c>
      <c r="H191" s="14">
        <v>666.34630000000004</v>
      </c>
      <c r="I191" s="14">
        <v>716.69140000000004</v>
      </c>
      <c r="J191" s="14">
        <v>715.471</v>
      </c>
      <c r="K191" s="14">
        <v>723.22389999999996</v>
      </c>
      <c r="L191" s="14">
        <v>711.99810000000002</v>
      </c>
      <c r="M191" s="14">
        <v>754.33429999999998</v>
      </c>
      <c r="N191" s="14">
        <v>782.37519999999995</v>
      </c>
    </row>
    <row r="192" spans="1:14">
      <c r="B192" t="s">
        <v>83</v>
      </c>
      <c r="C192" s="14">
        <v>1148.1234999999999</v>
      </c>
      <c r="D192" s="14">
        <v>1173.171</v>
      </c>
      <c r="E192" s="14">
        <v>1164.4716000000001</v>
      </c>
      <c r="F192" s="14">
        <v>1182.7557999999999</v>
      </c>
      <c r="G192" s="14">
        <v>1162.6582000000001</v>
      </c>
      <c r="H192" s="14">
        <v>1181.7235000000001</v>
      </c>
      <c r="I192" s="14">
        <v>1198.6297</v>
      </c>
      <c r="J192" s="14">
        <v>1233.6359</v>
      </c>
      <c r="K192" s="14">
        <v>1216.373</v>
      </c>
      <c r="L192" s="14">
        <v>1198.6624999999999</v>
      </c>
      <c r="M192" s="14">
        <v>1209.2322999999999</v>
      </c>
      <c r="N192" s="14">
        <v>1286.4784999999999</v>
      </c>
    </row>
    <row r="193" spans="2:14">
      <c r="B193" t="s">
        <v>255</v>
      </c>
      <c r="C193" s="14">
        <v>669.15530000000001</v>
      </c>
      <c r="D193" s="14">
        <v>671.14559999999994</v>
      </c>
      <c r="E193" s="14">
        <v>692.92489999999998</v>
      </c>
      <c r="F193" s="14">
        <v>689.12710000000004</v>
      </c>
      <c r="G193" s="14">
        <v>685.73670000000004</v>
      </c>
      <c r="H193" s="14">
        <v>684.36890000000005</v>
      </c>
      <c r="I193" s="14">
        <v>719.29250000000002</v>
      </c>
      <c r="J193" s="14">
        <v>722.50779999999997</v>
      </c>
      <c r="K193" s="14">
        <v>735.22450000000003</v>
      </c>
      <c r="L193" s="14">
        <v>732.70060000000001</v>
      </c>
      <c r="M193" s="14">
        <v>741.60260000000005</v>
      </c>
      <c r="N193" s="14">
        <v>765.20140000000004</v>
      </c>
    </row>
    <row r="194" spans="2:14">
      <c r="B194" t="s">
        <v>259</v>
      </c>
      <c r="C194" s="14">
        <v>1080.2974999999999</v>
      </c>
      <c r="D194" s="14">
        <v>1084.2139</v>
      </c>
      <c r="E194" s="14">
        <v>1077.2427</v>
      </c>
      <c r="F194" s="14">
        <v>1079.3895</v>
      </c>
      <c r="G194" s="14">
        <v>1074.5005000000001</v>
      </c>
      <c r="H194" s="14">
        <v>1070.7311</v>
      </c>
      <c r="I194" s="14">
        <v>1069.9956</v>
      </c>
      <c r="J194" s="14">
        <v>1063.5763999999999</v>
      </c>
      <c r="K194" s="14">
        <v>1062.7466999999999</v>
      </c>
      <c r="L194" s="14">
        <v>1043.6321</v>
      </c>
      <c r="M194" s="14">
        <v>1099.1139000000001</v>
      </c>
      <c r="N194" s="14">
        <v>1168.8898999999999</v>
      </c>
    </row>
    <row r="195" spans="2:14">
      <c r="B195" t="s">
        <v>80</v>
      </c>
      <c r="C195" s="14">
        <v>1268.5636</v>
      </c>
      <c r="D195" s="14">
        <v>1272.3978</v>
      </c>
      <c r="E195" s="14">
        <v>1261.1096</v>
      </c>
      <c r="F195" s="14">
        <v>1256.9402</v>
      </c>
      <c r="G195" s="14">
        <v>1283.3761999999999</v>
      </c>
      <c r="H195" s="14">
        <v>1323.4226000000001</v>
      </c>
      <c r="I195" s="14">
        <v>1317.4585999999999</v>
      </c>
      <c r="J195" s="14">
        <v>1318.7384</v>
      </c>
      <c r="K195" s="14">
        <v>1330.2629999999999</v>
      </c>
      <c r="L195" s="14">
        <v>1314.4191000000001</v>
      </c>
      <c r="M195" s="14">
        <v>1373.8485000000001</v>
      </c>
      <c r="N195" s="14">
        <v>1456.2918</v>
      </c>
    </row>
    <row r="196" spans="2:14">
      <c r="B196" t="s">
        <v>88</v>
      </c>
      <c r="C196" s="14">
        <v>935.47709999999995</v>
      </c>
      <c r="D196" s="14">
        <v>947.01250000000005</v>
      </c>
      <c r="E196" s="14">
        <v>965.4751</v>
      </c>
      <c r="F196" s="14">
        <v>962.01900000000001</v>
      </c>
      <c r="G196" s="14">
        <v>944.32870000000003</v>
      </c>
      <c r="H196" s="14">
        <v>960.97720000000004</v>
      </c>
      <c r="I196" s="14">
        <v>961.98149999999998</v>
      </c>
      <c r="J196" s="14">
        <v>898.05179999999996</v>
      </c>
      <c r="K196" s="14">
        <v>905.37289999999996</v>
      </c>
      <c r="L196" s="14">
        <v>912.03499999999997</v>
      </c>
      <c r="M196" s="14">
        <v>937.9982</v>
      </c>
      <c r="N196" s="14">
        <v>965.43309999999997</v>
      </c>
    </row>
    <row r="197" spans="2:14">
      <c r="B197" t="s">
        <v>260</v>
      </c>
      <c r="C197" s="14">
        <v>760.34040000000005</v>
      </c>
      <c r="D197" s="14">
        <v>755.73620000000005</v>
      </c>
      <c r="E197" s="14">
        <v>756.0557</v>
      </c>
      <c r="F197" s="14">
        <v>758.29089999999997</v>
      </c>
      <c r="G197" s="14">
        <v>745.40750000000003</v>
      </c>
      <c r="H197" s="14">
        <v>747.4298</v>
      </c>
      <c r="I197" s="14">
        <v>738.33150000000001</v>
      </c>
      <c r="J197" s="14">
        <v>736.01149999999996</v>
      </c>
      <c r="K197" s="14">
        <v>740.20889999999997</v>
      </c>
      <c r="L197" s="14">
        <v>732.65650000000005</v>
      </c>
      <c r="M197" s="14">
        <v>752.56700000000001</v>
      </c>
      <c r="N197" s="14">
        <v>754.00260000000003</v>
      </c>
    </row>
    <row r="198" spans="2:14">
      <c r="B198" t="s">
        <v>84</v>
      </c>
      <c r="C198" s="14">
        <v>559.90840000000003</v>
      </c>
      <c r="D198" s="14">
        <v>559.17380000000003</v>
      </c>
      <c r="E198" s="14">
        <v>562.5557</v>
      </c>
      <c r="F198" s="14">
        <v>569.46820000000002</v>
      </c>
      <c r="G198" s="14">
        <v>577.07749999999999</v>
      </c>
      <c r="H198" s="14">
        <v>598.78390000000002</v>
      </c>
      <c r="I198" s="14">
        <v>611.73009999999999</v>
      </c>
      <c r="J198" s="14">
        <v>633.08929999999998</v>
      </c>
      <c r="K198" s="14">
        <v>654.05359999999996</v>
      </c>
      <c r="L198" s="14">
        <v>670.87699999999995</v>
      </c>
      <c r="M198" s="14">
        <v>720.77470000000005</v>
      </c>
      <c r="N198" s="14">
        <v>774.08950000000004</v>
      </c>
    </row>
    <row r="199" spans="2:14">
      <c r="B199" t="s">
        <v>85</v>
      </c>
      <c r="C199" s="14">
        <v>504.87540000000001</v>
      </c>
      <c r="D199" s="14">
        <v>513.90060000000005</v>
      </c>
      <c r="E199" s="14">
        <v>526.6309</v>
      </c>
      <c r="F199" s="14">
        <v>542.10670000000005</v>
      </c>
      <c r="G199" s="14">
        <v>564.80820000000006</v>
      </c>
      <c r="H199" s="14">
        <v>597.40970000000004</v>
      </c>
      <c r="I199" s="14">
        <v>618.39390000000003</v>
      </c>
      <c r="J199" s="14">
        <v>631.31489999999997</v>
      </c>
      <c r="K199" s="14">
        <v>647.03620000000001</v>
      </c>
      <c r="L199" s="14">
        <v>655.96500000000003</v>
      </c>
      <c r="M199" s="14">
        <v>681.01120000000003</v>
      </c>
      <c r="N199" s="14">
        <v>709.33950000000004</v>
      </c>
    </row>
    <row r="200" spans="2:14">
      <c r="B200" t="s">
        <v>256</v>
      </c>
      <c r="C200" s="14">
        <v>769.53570000000002</v>
      </c>
      <c r="D200" s="14">
        <v>775.65570000000002</v>
      </c>
      <c r="E200" s="14">
        <v>767.40549999999996</v>
      </c>
      <c r="F200" s="14">
        <v>774.822</v>
      </c>
      <c r="G200" s="14">
        <v>769.81060000000002</v>
      </c>
      <c r="H200" s="14">
        <v>793.31299999999999</v>
      </c>
      <c r="I200" s="14">
        <v>803.73950000000002</v>
      </c>
      <c r="J200" s="14">
        <v>835.14279999999997</v>
      </c>
      <c r="K200" s="14">
        <v>841.31200000000001</v>
      </c>
      <c r="L200" s="14">
        <v>857.09870000000001</v>
      </c>
      <c r="M200" s="14">
        <v>894.59820000000002</v>
      </c>
      <c r="N200" s="14">
        <v>912.43579999999997</v>
      </c>
    </row>
    <row r="201" spans="2:14">
      <c r="B201" t="s">
        <v>257</v>
      </c>
      <c r="C201" s="14">
        <v>9.5769000000000002</v>
      </c>
      <c r="D201" s="14">
        <v>9.3794000000000004</v>
      </c>
      <c r="E201" s="14">
        <v>9.0439000000000007</v>
      </c>
      <c r="F201" s="14">
        <v>8.3950999999999993</v>
      </c>
      <c r="G201" s="14">
        <v>8.0733999999999995</v>
      </c>
      <c r="H201" s="14">
        <v>9.4514999999999993</v>
      </c>
      <c r="I201" s="14">
        <v>10.2521</v>
      </c>
      <c r="J201" s="14">
        <v>9.0655999999999999</v>
      </c>
      <c r="K201" s="14">
        <v>9.2189999999999994</v>
      </c>
      <c r="L201" s="14">
        <v>10.394299999999999</v>
      </c>
      <c r="M201" s="14">
        <v>10.4208</v>
      </c>
      <c r="N201" s="14">
        <v>9.7555999999999994</v>
      </c>
    </row>
    <row r="202" spans="2:14">
      <c r="B202" t="s">
        <v>81</v>
      </c>
      <c r="C202" s="14">
        <v>967.10509999999999</v>
      </c>
      <c r="D202" s="14">
        <v>970.17269999999996</v>
      </c>
      <c r="E202" s="14">
        <v>990.27509999999995</v>
      </c>
      <c r="F202" s="14">
        <v>1019.5026</v>
      </c>
      <c r="G202" s="14">
        <v>1024.7166</v>
      </c>
      <c r="H202" s="14">
        <v>1053.6053999999999</v>
      </c>
      <c r="I202" s="14">
        <v>1078.1626000000001</v>
      </c>
      <c r="J202" s="14">
        <v>1107.6147000000001</v>
      </c>
      <c r="K202" s="14">
        <v>1130.7736</v>
      </c>
      <c r="L202" s="14">
        <v>1154.1342999999999</v>
      </c>
      <c r="M202" s="14">
        <v>1199.1677999999999</v>
      </c>
      <c r="N202" s="14">
        <v>1249.0289</v>
      </c>
    </row>
    <row r="203" spans="2:14">
      <c r="B203" t="s">
        <v>136</v>
      </c>
      <c r="C203" s="14">
        <v>283.85289999999998</v>
      </c>
      <c r="D203" s="14">
        <v>284.036</v>
      </c>
      <c r="E203" s="14">
        <v>288.66469999999998</v>
      </c>
      <c r="F203" s="14">
        <v>292.4658</v>
      </c>
      <c r="G203" s="14">
        <v>298.39909999999998</v>
      </c>
      <c r="H203" s="14">
        <v>306.02210000000002</v>
      </c>
      <c r="I203" s="14">
        <v>303.58069999999998</v>
      </c>
      <c r="J203" s="14">
        <v>306.5838</v>
      </c>
      <c r="K203" s="14">
        <v>306.8972</v>
      </c>
      <c r="L203" s="14">
        <v>297.1644</v>
      </c>
      <c r="M203" s="14">
        <v>307.23489999999998</v>
      </c>
      <c r="N203" s="14">
        <v>310.49799999999999</v>
      </c>
    </row>
    <row r="204" spans="2:14">
      <c r="B204" t="s">
        <v>103</v>
      </c>
      <c r="C204" s="14">
        <v>278.62540000000001</v>
      </c>
      <c r="D204" s="14">
        <v>275.31810000000002</v>
      </c>
      <c r="E204" s="14">
        <v>273.69560000000001</v>
      </c>
      <c r="F204" s="14">
        <v>279.96629999999999</v>
      </c>
      <c r="G204" s="14">
        <v>280.44830000000002</v>
      </c>
      <c r="H204" s="14">
        <v>285.95940000000002</v>
      </c>
      <c r="I204" s="14">
        <v>291.81459999999998</v>
      </c>
      <c r="J204" s="14">
        <v>292.22840000000002</v>
      </c>
      <c r="K204" s="14">
        <v>296.71679999999998</v>
      </c>
      <c r="L204" s="14">
        <v>301.31049999999999</v>
      </c>
      <c r="M204" s="14">
        <v>313.95620000000002</v>
      </c>
      <c r="N204" s="14">
        <v>321.57729999999998</v>
      </c>
    </row>
    <row r="205" spans="2:14">
      <c r="B205" t="s">
        <v>139</v>
      </c>
      <c r="C205" s="14">
        <v>689.11130000000003</v>
      </c>
      <c r="D205" s="14">
        <v>698.35209999999995</v>
      </c>
      <c r="E205" s="14">
        <v>704.10979999999995</v>
      </c>
      <c r="F205" s="14">
        <v>720.68399999999997</v>
      </c>
      <c r="G205" s="14">
        <v>730.29510000000005</v>
      </c>
      <c r="H205" s="14">
        <v>739.59270000000004</v>
      </c>
      <c r="I205" s="14">
        <v>747.59910000000002</v>
      </c>
      <c r="J205" s="14">
        <v>773.83410000000003</v>
      </c>
      <c r="K205" s="14">
        <v>781.93399999999997</v>
      </c>
      <c r="L205" s="14">
        <v>773.83619999999996</v>
      </c>
      <c r="M205" s="14">
        <v>814.59140000000002</v>
      </c>
      <c r="N205" s="14">
        <v>859.80050000000006</v>
      </c>
    </row>
    <row r="206" spans="2:14">
      <c r="B206" t="s">
        <v>116</v>
      </c>
      <c r="C206" s="14">
        <v>390.24860000000001</v>
      </c>
      <c r="D206" s="14">
        <v>410.22899999999998</v>
      </c>
      <c r="E206" s="14">
        <v>409.34219999999999</v>
      </c>
      <c r="F206" s="14">
        <v>410.6232</v>
      </c>
      <c r="G206" s="14">
        <v>411.35919999999999</v>
      </c>
      <c r="H206" s="14">
        <v>411.81459999999998</v>
      </c>
      <c r="I206" s="14">
        <v>425.46199999999999</v>
      </c>
      <c r="J206" s="14">
        <v>432.78809999999999</v>
      </c>
      <c r="K206" s="14">
        <v>427.29809999999998</v>
      </c>
      <c r="L206" s="14">
        <v>424.61669999999998</v>
      </c>
      <c r="M206" s="14">
        <v>455.27379999999999</v>
      </c>
      <c r="N206" s="14">
        <v>471.31189999999998</v>
      </c>
    </row>
    <row r="207" spans="2:14">
      <c r="B207" t="s">
        <v>101</v>
      </c>
      <c r="C207" s="14">
        <v>1846.0120999999999</v>
      </c>
      <c r="D207" s="14">
        <v>1897.0659000000001</v>
      </c>
      <c r="E207" s="14">
        <v>1969.5183999999999</v>
      </c>
      <c r="F207" s="14">
        <v>2018.2301</v>
      </c>
      <c r="G207" s="14">
        <v>2066.3739</v>
      </c>
      <c r="H207" s="14">
        <v>2151.5729999999999</v>
      </c>
      <c r="I207" s="14">
        <v>2220.8197</v>
      </c>
      <c r="J207" s="14">
        <v>2261.3229000000001</v>
      </c>
      <c r="K207" s="14">
        <v>2297.2685999999999</v>
      </c>
      <c r="L207" s="14">
        <v>2357.9018000000001</v>
      </c>
      <c r="M207" s="14">
        <v>2476.8337000000001</v>
      </c>
      <c r="N207" s="14">
        <v>2531.9679999999998</v>
      </c>
    </row>
    <row r="208" spans="2:14">
      <c r="B208" t="s">
        <v>142</v>
      </c>
      <c r="C208" s="14">
        <v>534.32479999999998</v>
      </c>
      <c r="D208" s="14">
        <v>547.60950000000003</v>
      </c>
      <c r="E208" s="14">
        <v>557.55849999999998</v>
      </c>
      <c r="F208" s="14">
        <v>581.21789999999999</v>
      </c>
      <c r="G208" s="14">
        <v>592.43870000000004</v>
      </c>
      <c r="H208" s="14">
        <v>597.69929999999999</v>
      </c>
      <c r="I208" s="14">
        <v>625.6825</v>
      </c>
      <c r="J208" s="14">
        <v>646.60040000000004</v>
      </c>
      <c r="K208" s="14">
        <v>656.53549999999996</v>
      </c>
      <c r="L208" s="14">
        <v>655.75139999999999</v>
      </c>
      <c r="M208" s="14">
        <v>686.34820000000002</v>
      </c>
      <c r="N208" s="14">
        <v>697.34760000000006</v>
      </c>
    </row>
    <row r="209" spans="2:14">
      <c r="B209" t="s">
        <v>261</v>
      </c>
      <c r="C209" s="14">
        <v>102.81399999999999</v>
      </c>
      <c r="D209" s="14">
        <v>99.416300000000007</v>
      </c>
      <c r="E209" s="14">
        <v>105.2937</v>
      </c>
      <c r="F209" s="14">
        <v>101.48350000000001</v>
      </c>
      <c r="G209" s="14">
        <v>97.784899999999993</v>
      </c>
      <c r="H209" s="14">
        <v>98.895799999999994</v>
      </c>
      <c r="I209" s="14">
        <v>102.4828</v>
      </c>
      <c r="J209" s="14">
        <v>101.0318</v>
      </c>
      <c r="K209" s="14">
        <v>98.631900000000002</v>
      </c>
      <c r="L209" s="14">
        <v>96.097300000000004</v>
      </c>
      <c r="M209" s="14">
        <v>105.34650000000001</v>
      </c>
      <c r="N209" s="14">
        <v>109.4008</v>
      </c>
    </row>
    <row r="210" spans="2:14">
      <c r="B210" t="s">
        <v>128</v>
      </c>
      <c r="C210" s="14">
        <v>322.1422</v>
      </c>
      <c r="D210" s="14">
        <v>301.24079999999998</v>
      </c>
      <c r="E210" s="14">
        <v>300.90359999999998</v>
      </c>
      <c r="F210" s="14">
        <v>297.97140000000002</v>
      </c>
      <c r="G210" s="14">
        <v>302.68689999999998</v>
      </c>
      <c r="H210" s="14">
        <v>304.39749999999998</v>
      </c>
      <c r="I210" s="14">
        <v>305.4579</v>
      </c>
      <c r="J210" s="14">
        <v>314.053</v>
      </c>
      <c r="K210" s="14">
        <v>318.2647</v>
      </c>
      <c r="L210" s="14">
        <v>316.21179999999998</v>
      </c>
      <c r="M210" s="14">
        <v>337.33150000000001</v>
      </c>
      <c r="N210" s="14">
        <v>345.74340000000001</v>
      </c>
    </row>
    <row r="211" spans="2:14">
      <c r="B211" t="s">
        <v>145</v>
      </c>
      <c r="C211" s="14">
        <v>145.81960000000001</v>
      </c>
      <c r="D211" s="14">
        <v>143.01939999999999</v>
      </c>
      <c r="E211" s="14">
        <v>137.666</v>
      </c>
      <c r="F211" s="14">
        <v>136.6293</v>
      </c>
      <c r="G211" s="14">
        <v>129.81370000000001</v>
      </c>
      <c r="H211" s="14">
        <v>129.5196</v>
      </c>
      <c r="I211" s="14">
        <v>132.6114</v>
      </c>
      <c r="J211" s="14">
        <v>135.2441</v>
      </c>
      <c r="K211" s="14">
        <v>132.45820000000001</v>
      </c>
      <c r="L211" s="14">
        <v>134.00739999999999</v>
      </c>
      <c r="M211" s="14">
        <v>138.87950000000001</v>
      </c>
      <c r="N211" s="14">
        <v>141.0488</v>
      </c>
    </row>
    <row r="212" spans="2:14">
      <c r="B212" t="s">
        <v>134</v>
      </c>
      <c r="C212" s="14">
        <v>412.10879999999997</v>
      </c>
      <c r="D212" s="14">
        <v>408.44740000000002</v>
      </c>
      <c r="E212" s="14">
        <v>413.9853</v>
      </c>
      <c r="F212" s="14">
        <v>423.4024</v>
      </c>
      <c r="G212" s="14">
        <v>418.39920000000001</v>
      </c>
      <c r="H212" s="14">
        <v>425.07499999999999</v>
      </c>
      <c r="I212" s="14">
        <v>434.96359999999999</v>
      </c>
      <c r="J212" s="14">
        <v>437.86520000000002</v>
      </c>
      <c r="K212" s="14">
        <v>442.27190000000002</v>
      </c>
      <c r="L212" s="14">
        <v>442.87830000000002</v>
      </c>
      <c r="M212" s="14">
        <v>456.77409999999998</v>
      </c>
      <c r="N212" s="14">
        <v>476.86540000000002</v>
      </c>
    </row>
    <row r="213" spans="2:14">
      <c r="B213" t="s">
        <v>147</v>
      </c>
      <c r="C213" s="14">
        <v>373.69450000000001</v>
      </c>
      <c r="D213" s="14">
        <v>382.23570000000001</v>
      </c>
      <c r="E213" s="14">
        <v>395.60860000000002</v>
      </c>
      <c r="F213" s="14">
        <v>408.03390000000002</v>
      </c>
      <c r="G213" s="14">
        <v>417.15710000000001</v>
      </c>
      <c r="H213" s="14">
        <v>423.92070000000001</v>
      </c>
      <c r="I213" s="14">
        <v>420.15980000000002</v>
      </c>
      <c r="J213" s="14">
        <v>430.97129999999999</v>
      </c>
      <c r="K213" s="14">
        <v>441.22250000000003</v>
      </c>
      <c r="L213" s="14">
        <v>431.69690000000003</v>
      </c>
      <c r="M213" s="14">
        <v>461.3263</v>
      </c>
      <c r="N213" s="14">
        <v>478.13139999999999</v>
      </c>
    </row>
    <row r="214" spans="2:14">
      <c r="B214" t="s">
        <v>135</v>
      </c>
      <c r="C214" s="14">
        <v>1495.4245000000001</v>
      </c>
      <c r="D214" s="14">
        <v>1538.9131</v>
      </c>
      <c r="E214" s="14">
        <v>1578.001</v>
      </c>
      <c r="F214" s="14">
        <v>1628.7281</v>
      </c>
      <c r="G214" s="14">
        <v>1658.6983</v>
      </c>
      <c r="H214" s="14">
        <v>1698.9770000000001</v>
      </c>
      <c r="I214" s="14">
        <v>1740.1387999999999</v>
      </c>
      <c r="J214" s="14">
        <v>1802.6670999999999</v>
      </c>
      <c r="K214" s="14">
        <v>1820.5995</v>
      </c>
      <c r="L214" s="14">
        <v>1834.9811</v>
      </c>
      <c r="M214" s="14">
        <v>1907.9911</v>
      </c>
      <c r="N214" s="14">
        <v>1966.1473000000001</v>
      </c>
    </row>
    <row r="215" spans="2:14">
      <c r="B215" t="s">
        <v>124</v>
      </c>
      <c r="C215" s="14">
        <v>939.12490000000003</v>
      </c>
      <c r="D215" s="14">
        <v>942.59360000000004</v>
      </c>
      <c r="E215" s="14">
        <v>949.95050000000003</v>
      </c>
      <c r="F215" s="14">
        <v>959.27729999999997</v>
      </c>
      <c r="G215" s="14">
        <v>959.78539999999998</v>
      </c>
      <c r="H215" s="14">
        <v>968.07489999999996</v>
      </c>
      <c r="I215" s="14">
        <v>987.32370000000003</v>
      </c>
      <c r="J215" s="14">
        <v>1017.7426</v>
      </c>
      <c r="K215" s="14">
        <v>1028.5694000000001</v>
      </c>
      <c r="L215" s="14">
        <v>1041.2478000000001</v>
      </c>
      <c r="M215" s="14">
        <v>1064.0989</v>
      </c>
      <c r="N215" s="14">
        <v>1104.2795000000001</v>
      </c>
    </row>
    <row r="216" spans="2:14">
      <c r="B216" t="s">
        <v>149</v>
      </c>
      <c r="C216" s="14">
        <v>528.46609999999998</v>
      </c>
      <c r="D216" s="14">
        <v>525.30939999999998</v>
      </c>
      <c r="E216" s="14">
        <v>532.65300000000002</v>
      </c>
      <c r="F216" s="14">
        <v>526.86360000000002</v>
      </c>
      <c r="G216" s="14">
        <v>533.38530000000003</v>
      </c>
      <c r="H216" s="14">
        <v>528.23119999999994</v>
      </c>
      <c r="I216" s="14">
        <v>543.45749999999998</v>
      </c>
      <c r="J216" s="14">
        <v>542.00779999999997</v>
      </c>
      <c r="K216" s="14">
        <v>542.95979999999997</v>
      </c>
      <c r="L216" s="14">
        <v>538.72670000000005</v>
      </c>
      <c r="M216" s="14">
        <v>553.67439999999999</v>
      </c>
      <c r="N216" s="14">
        <v>562.95259999999996</v>
      </c>
    </row>
    <row r="217" spans="2:14">
      <c r="B217" t="s">
        <v>110</v>
      </c>
      <c r="C217" s="14">
        <v>88.384600000000006</v>
      </c>
      <c r="D217" s="14">
        <v>83.793199999999999</v>
      </c>
      <c r="E217" s="14">
        <v>86.508700000000005</v>
      </c>
      <c r="F217" s="14">
        <v>86.407200000000003</v>
      </c>
      <c r="G217" s="14">
        <v>93.242900000000006</v>
      </c>
      <c r="H217" s="14">
        <v>86.606800000000007</v>
      </c>
      <c r="I217" s="14">
        <v>90.818399999999997</v>
      </c>
      <c r="J217" s="14">
        <v>91.594499999999996</v>
      </c>
      <c r="K217" s="14">
        <v>87.915700000000001</v>
      </c>
      <c r="L217" s="14">
        <v>86.686400000000006</v>
      </c>
      <c r="M217" s="14">
        <v>89.361400000000003</v>
      </c>
      <c r="N217" s="14">
        <v>93.797899999999998</v>
      </c>
    </row>
    <row r="218" spans="2:14">
      <c r="B218" t="s">
        <v>262</v>
      </c>
      <c r="C218" s="14">
        <v>149.71080000000001</v>
      </c>
      <c r="D218" s="14">
        <v>142.8235</v>
      </c>
      <c r="E218" s="14">
        <v>135.81100000000001</v>
      </c>
      <c r="F218" s="14">
        <v>133.36600000000001</v>
      </c>
      <c r="G218" s="14">
        <v>127.14360000000001</v>
      </c>
      <c r="H218" s="14">
        <v>130.7236</v>
      </c>
      <c r="I218" s="14">
        <v>127.7484</v>
      </c>
      <c r="J218" s="14">
        <v>131.24430000000001</v>
      </c>
      <c r="K218" s="14">
        <v>132.96899999999999</v>
      </c>
      <c r="L218" s="14">
        <v>131.1713</v>
      </c>
      <c r="M218" s="14">
        <v>139.73589999999999</v>
      </c>
      <c r="N218" s="14">
        <v>139.8939</v>
      </c>
    </row>
    <row r="219" spans="2:14">
      <c r="B219" t="s">
        <v>98</v>
      </c>
      <c r="C219" s="14">
        <v>718.95029999999997</v>
      </c>
      <c r="D219" s="14">
        <v>727.44849999999997</v>
      </c>
      <c r="E219" s="14">
        <v>721.05340000000001</v>
      </c>
      <c r="F219" s="14">
        <v>732.06859999999995</v>
      </c>
      <c r="G219" s="14">
        <v>731.1748</v>
      </c>
      <c r="H219" s="14">
        <v>737.63199999999995</v>
      </c>
      <c r="I219" s="14">
        <v>751.13279999999997</v>
      </c>
      <c r="J219" s="14">
        <v>762.20039999999995</v>
      </c>
      <c r="K219" s="14">
        <v>763.78719999999998</v>
      </c>
      <c r="L219" s="14">
        <v>773.76220000000001</v>
      </c>
      <c r="M219" s="14">
        <v>804.85270000000003</v>
      </c>
      <c r="N219" s="14">
        <v>823.39829999999995</v>
      </c>
    </row>
    <row r="220" spans="2:14">
      <c r="B220" t="s">
        <v>143</v>
      </c>
      <c r="C220" s="14">
        <v>116.58199999999999</v>
      </c>
      <c r="D220" s="14">
        <v>116.0197</v>
      </c>
      <c r="E220" s="14">
        <v>116.3968</v>
      </c>
      <c r="F220" s="14">
        <v>119.33110000000001</v>
      </c>
      <c r="G220" s="14">
        <v>117.80589999999999</v>
      </c>
      <c r="H220" s="14">
        <v>117.6254</v>
      </c>
      <c r="I220" s="14">
        <v>119.8094</v>
      </c>
      <c r="J220" s="14">
        <v>121.95699999999999</v>
      </c>
      <c r="K220" s="14">
        <v>130.10499999999999</v>
      </c>
      <c r="L220" s="14">
        <v>130.03380000000001</v>
      </c>
      <c r="M220" s="14">
        <v>131.2218</v>
      </c>
      <c r="N220" s="14">
        <v>131.99180000000001</v>
      </c>
    </row>
    <row r="221" spans="2:14">
      <c r="B221" t="s">
        <v>102</v>
      </c>
      <c r="C221" s="14">
        <v>1051.6772000000001</v>
      </c>
      <c r="D221" s="14">
        <v>1048.4643000000001</v>
      </c>
      <c r="E221" s="14">
        <v>1063.4038</v>
      </c>
      <c r="F221" s="14">
        <v>1081.4321</v>
      </c>
      <c r="G221" s="14">
        <v>1084.3804</v>
      </c>
      <c r="H221" s="14">
        <v>1110.9319</v>
      </c>
      <c r="I221" s="14">
        <v>1117.4860000000001</v>
      </c>
      <c r="J221" s="14">
        <v>1134.6855</v>
      </c>
      <c r="K221" s="14">
        <v>1151.7027</v>
      </c>
      <c r="L221" s="14">
        <v>1144.1692</v>
      </c>
      <c r="M221" s="14">
        <v>1166.9128000000001</v>
      </c>
      <c r="N221" s="14">
        <v>1192.3335</v>
      </c>
    </row>
    <row r="222" spans="2:14">
      <c r="B222" t="s">
        <v>117</v>
      </c>
      <c r="C222" s="14">
        <v>761.7251</v>
      </c>
      <c r="D222" s="14">
        <v>755.79390000000001</v>
      </c>
      <c r="E222" s="14">
        <v>768.48199999999997</v>
      </c>
      <c r="F222" s="14">
        <v>780.30899999999997</v>
      </c>
      <c r="G222" s="14">
        <v>791.52779999999996</v>
      </c>
      <c r="H222" s="14">
        <v>794.31759999999997</v>
      </c>
      <c r="I222" s="14">
        <v>791.14729999999997</v>
      </c>
      <c r="J222" s="14">
        <v>802.70180000000005</v>
      </c>
      <c r="K222" s="14">
        <v>820.08870000000002</v>
      </c>
      <c r="L222" s="14">
        <v>811.11450000000002</v>
      </c>
      <c r="M222" s="14">
        <v>816.70450000000005</v>
      </c>
      <c r="N222" s="14">
        <v>830.28779999999995</v>
      </c>
    </row>
    <row r="223" spans="2:14">
      <c r="B223" t="s">
        <v>91</v>
      </c>
      <c r="C223" s="14">
        <v>153.93979999999999</v>
      </c>
      <c r="D223" s="14">
        <v>155.87540000000001</v>
      </c>
      <c r="E223" s="14">
        <v>158.71889999999999</v>
      </c>
      <c r="F223" s="14">
        <v>160.26240000000001</v>
      </c>
      <c r="G223" s="14">
        <v>164.3407</v>
      </c>
      <c r="H223" s="14">
        <v>168.69300000000001</v>
      </c>
      <c r="I223" s="14">
        <v>171.1772</v>
      </c>
      <c r="J223" s="14">
        <v>178.9435</v>
      </c>
      <c r="K223" s="14">
        <v>179.38900000000001</v>
      </c>
      <c r="L223" s="14">
        <v>176.57329999999999</v>
      </c>
      <c r="M223" s="14">
        <v>182.32740000000001</v>
      </c>
      <c r="N223" s="14">
        <v>187.02029999999999</v>
      </c>
    </row>
    <row r="224" spans="2:14">
      <c r="B224" t="s">
        <v>119</v>
      </c>
      <c r="C224" s="14">
        <v>954.80889999999999</v>
      </c>
      <c r="D224" s="14">
        <v>961.048</v>
      </c>
      <c r="E224" s="14">
        <v>977.8646</v>
      </c>
      <c r="F224" s="14">
        <v>967.54409999999996</v>
      </c>
      <c r="G224" s="14">
        <v>978.96230000000003</v>
      </c>
      <c r="H224" s="14">
        <v>1006.8943</v>
      </c>
      <c r="I224" s="14">
        <v>1029.6213</v>
      </c>
      <c r="J224" s="14">
        <v>1055.1179999999999</v>
      </c>
      <c r="K224" s="14">
        <v>1053.4294</v>
      </c>
      <c r="L224" s="14">
        <v>1061.2871</v>
      </c>
      <c r="M224" s="14">
        <v>1091.2636</v>
      </c>
      <c r="N224" s="14">
        <v>1111.0704000000001</v>
      </c>
    </row>
    <row r="225" spans="2:14">
      <c r="B225" t="s">
        <v>131</v>
      </c>
      <c r="C225" s="14">
        <v>132.49780000000001</v>
      </c>
      <c r="D225" s="14">
        <v>136.7407</v>
      </c>
      <c r="E225" s="14">
        <v>130.30699999999999</v>
      </c>
      <c r="F225" s="14">
        <v>138.44290000000001</v>
      </c>
      <c r="G225" s="14">
        <v>140.65270000000001</v>
      </c>
      <c r="H225" s="14">
        <v>141.35220000000001</v>
      </c>
      <c r="I225" s="14">
        <v>142.00460000000001</v>
      </c>
      <c r="J225" s="14">
        <v>149.2261</v>
      </c>
      <c r="K225" s="14">
        <v>150.9838</v>
      </c>
      <c r="L225" s="14">
        <v>149.60740000000001</v>
      </c>
      <c r="M225" s="14">
        <v>148.24600000000001</v>
      </c>
      <c r="N225" s="14">
        <v>152.24959999999999</v>
      </c>
    </row>
    <row r="226" spans="2:14">
      <c r="B226" t="s">
        <v>127</v>
      </c>
      <c r="C226" s="14">
        <v>305.88630000000001</v>
      </c>
      <c r="D226" s="14">
        <v>307.06049999999999</v>
      </c>
      <c r="E226" s="14">
        <v>319.82940000000002</v>
      </c>
      <c r="F226" s="14">
        <v>317.19639999999998</v>
      </c>
      <c r="G226" s="14">
        <v>315.09829999999999</v>
      </c>
      <c r="H226" s="14">
        <v>313.41449999999998</v>
      </c>
      <c r="I226" s="14">
        <v>316.01830000000001</v>
      </c>
      <c r="J226" s="14">
        <v>325.75510000000003</v>
      </c>
      <c r="K226" s="14">
        <v>332.28339999999997</v>
      </c>
      <c r="L226" s="14">
        <v>333.24250000000001</v>
      </c>
      <c r="M226" s="14">
        <v>330.07990000000001</v>
      </c>
      <c r="N226" s="14">
        <v>338.14679999999998</v>
      </c>
    </row>
    <row r="227" spans="2:14">
      <c r="B227" t="s">
        <v>125</v>
      </c>
      <c r="C227" s="14">
        <v>183.0284</v>
      </c>
      <c r="D227" s="14">
        <v>174.16720000000001</v>
      </c>
      <c r="E227" s="14">
        <v>176.4075</v>
      </c>
      <c r="F227" s="14">
        <v>175.74340000000001</v>
      </c>
      <c r="G227" s="14">
        <v>171.3965</v>
      </c>
      <c r="H227" s="14">
        <v>181.49789999999999</v>
      </c>
      <c r="I227" s="14">
        <v>180.2303</v>
      </c>
      <c r="J227" s="14">
        <v>181.86420000000001</v>
      </c>
      <c r="K227" s="14">
        <v>185.36259999999999</v>
      </c>
      <c r="L227" s="14">
        <v>182.13499999999999</v>
      </c>
      <c r="M227" s="14">
        <v>188.17189999999999</v>
      </c>
      <c r="N227" s="14">
        <v>188.96960000000001</v>
      </c>
    </row>
    <row r="228" spans="2:14">
      <c r="B228" t="s">
        <v>150</v>
      </c>
      <c r="C228" s="14">
        <v>591.19529999999997</v>
      </c>
      <c r="D228" s="14">
        <v>590.3818</v>
      </c>
      <c r="E228" s="14">
        <v>601.03129999999999</v>
      </c>
      <c r="F228" s="14">
        <v>603.36519999999996</v>
      </c>
      <c r="G228" s="14">
        <v>603.6825</v>
      </c>
      <c r="H228" s="14">
        <v>615.01210000000003</v>
      </c>
      <c r="I228" s="14">
        <v>625.97180000000003</v>
      </c>
      <c r="J228" s="14">
        <v>625.0335</v>
      </c>
      <c r="K228" s="14">
        <v>626.3501</v>
      </c>
      <c r="L228" s="14">
        <v>633.01959999999997</v>
      </c>
      <c r="M228" s="14">
        <v>650.98929999999996</v>
      </c>
      <c r="N228" s="14">
        <v>669.94970000000001</v>
      </c>
    </row>
    <row r="229" spans="2:14">
      <c r="B229" t="s">
        <v>123</v>
      </c>
      <c r="C229" s="14">
        <v>191.0539</v>
      </c>
      <c r="D229" s="14">
        <v>187.69</v>
      </c>
      <c r="E229" s="14">
        <v>178.4442</v>
      </c>
      <c r="F229" s="14">
        <v>179.00479999999999</v>
      </c>
      <c r="G229" s="14">
        <v>184.21879999999999</v>
      </c>
      <c r="H229" s="14">
        <v>182.4016</v>
      </c>
      <c r="I229" s="14">
        <v>179.07429999999999</v>
      </c>
      <c r="J229" s="14">
        <v>181.6927</v>
      </c>
      <c r="K229" s="14">
        <v>175.23410000000001</v>
      </c>
      <c r="L229" s="14">
        <v>177.6414</v>
      </c>
      <c r="M229" s="14">
        <v>179.06370000000001</v>
      </c>
      <c r="N229" s="14">
        <v>185.20869999999999</v>
      </c>
    </row>
    <row r="230" spans="2:14">
      <c r="B230" t="s">
        <v>113</v>
      </c>
      <c r="C230" s="14">
        <v>284.70030000000003</v>
      </c>
      <c r="D230" s="14">
        <v>293.26659999999998</v>
      </c>
      <c r="E230" s="14">
        <v>290.11399999999998</v>
      </c>
      <c r="F230" s="14">
        <v>297.74970000000002</v>
      </c>
      <c r="G230" s="14">
        <v>303.03019999999998</v>
      </c>
      <c r="H230" s="14">
        <v>306.06369999999998</v>
      </c>
      <c r="I230" s="14">
        <v>318.60230000000001</v>
      </c>
      <c r="J230" s="14">
        <v>333.56420000000003</v>
      </c>
      <c r="K230" s="14">
        <v>342.93189999999998</v>
      </c>
      <c r="L230" s="14">
        <v>342.55149999999998</v>
      </c>
      <c r="M230" s="14">
        <v>359.16570000000002</v>
      </c>
      <c r="N230" s="14">
        <v>365.13589999999999</v>
      </c>
    </row>
    <row r="231" spans="2:14">
      <c r="B231" t="s">
        <v>120</v>
      </c>
      <c r="C231" s="14">
        <v>1027.9019000000001</v>
      </c>
      <c r="D231" s="14">
        <v>1031.8478</v>
      </c>
      <c r="E231" s="14">
        <v>1064.059</v>
      </c>
      <c r="F231" s="14">
        <v>1085.3054</v>
      </c>
      <c r="G231" s="14">
        <v>1100.7674</v>
      </c>
      <c r="H231" s="14">
        <v>1124.6364000000001</v>
      </c>
      <c r="I231" s="14">
        <v>1143.0361</v>
      </c>
      <c r="J231" s="14">
        <v>1148.4547</v>
      </c>
      <c r="K231" s="14">
        <v>1161.1284000000001</v>
      </c>
      <c r="L231" s="14">
        <v>1158.5455999999999</v>
      </c>
      <c r="M231" s="14">
        <v>1198.9967999999999</v>
      </c>
      <c r="N231" s="14">
        <v>1216.8729000000001</v>
      </c>
    </row>
    <row r="232" spans="2:14">
      <c r="B232" t="s">
        <v>132</v>
      </c>
      <c r="C232" s="14">
        <v>213.5694</v>
      </c>
      <c r="D232" s="14">
        <v>211.8039</v>
      </c>
      <c r="E232" s="14">
        <v>211.90479999999999</v>
      </c>
      <c r="F232" s="14">
        <v>217.40129999999999</v>
      </c>
      <c r="G232" s="14">
        <v>214.46289999999999</v>
      </c>
      <c r="H232" s="14">
        <v>216.6095</v>
      </c>
      <c r="I232" s="14">
        <v>217.35300000000001</v>
      </c>
      <c r="J232" s="14">
        <v>224.36590000000001</v>
      </c>
      <c r="K232" s="14">
        <v>218.81489999999999</v>
      </c>
      <c r="L232" s="14">
        <v>218.69929999999999</v>
      </c>
      <c r="M232" s="14">
        <v>224.91739999999999</v>
      </c>
      <c r="N232" s="14">
        <v>227.50819999999999</v>
      </c>
    </row>
    <row r="233" spans="2:14">
      <c r="B233" t="s">
        <v>104</v>
      </c>
      <c r="C233" s="14">
        <v>333.57549999999998</v>
      </c>
      <c r="D233" s="14">
        <v>332.43509999999998</v>
      </c>
      <c r="E233" s="14">
        <v>327.93549999999999</v>
      </c>
      <c r="F233" s="14">
        <v>331.72750000000002</v>
      </c>
      <c r="G233" s="14">
        <v>333.18619999999999</v>
      </c>
      <c r="H233" s="14">
        <v>336.1293</v>
      </c>
      <c r="I233" s="14">
        <v>348.73770000000002</v>
      </c>
      <c r="J233" s="14">
        <v>359.42750000000001</v>
      </c>
      <c r="K233" s="14">
        <v>364.10950000000003</v>
      </c>
      <c r="L233" s="14">
        <v>362.71589999999998</v>
      </c>
      <c r="M233" s="14">
        <v>374.12040000000002</v>
      </c>
      <c r="N233" s="14">
        <v>390.6542</v>
      </c>
    </row>
    <row r="234" spans="2:14">
      <c r="B234" t="s">
        <v>109</v>
      </c>
      <c r="C234" s="14">
        <v>524.31949999999995</v>
      </c>
      <c r="D234" s="14">
        <v>536.77589999999998</v>
      </c>
      <c r="E234" s="14">
        <v>528.1789</v>
      </c>
      <c r="F234" s="14">
        <v>540.56380000000001</v>
      </c>
      <c r="G234" s="14">
        <v>539.16890000000001</v>
      </c>
      <c r="H234" s="14">
        <v>547.26210000000003</v>
      </c>
      <c r="I234" s="14">
        <v>543.90229999999997</v>
      </c>
      <c r="J234" s="14">
        <v>549.65089999999998</v>
      </c>
      <c r="K234" s="14">
        <v>553.53060000000005</v>
      </c>
      <c r="L234" s="14">
        <v>540.05380000000002</v>
      </c>
      <c r="M234" s="14">
        <v>559.21609999999998</v>
      </c>
      <c r="N234" s="14">
        <v>571.77629999999999</v>
      </c>
    </row>
    <row r="235" spans="2:14">
      <c r="B235" t="s">
        <v>121</v>
      </c>
      <c r="C235" s="14">
        <v>624.70529999999997</v>
      </c>
      <c r="D235" s="14">
        <v>628.08079999999995</v>
      </c>
      <c r="E235" s="14">
        <v>620.82989999999995</v>
      </c>
      <c r="F235" s="14">
        <v>623.05029999999999</v>
      </c>
      <c r="G235" s="14">
        <v>644.67859999999996</v>
      </c>
      <c r="H235" s="14">
        <v>662.32569999999998</v>
      </c>
      <c r="I235" s="14">
        <v>665.34939999999995</v>
      </c>
      <c r="J235" s="14">
        <v>690.14369999999997</v>
      </c>
      <c r="K235" s="14">
        <v>685.98009999999999</v>
      </c>
      <c r="L235" s="14">
        <v>718.22040000000004</v>
      </c>
      <c r="M235" s="14">
        <v>740.88379999999995</v>
      </c>
      <c r="N235" s="14">
        <v>765.44169999999997</v>
      </c>
    </row>
    <row r="236" spans="2:14">
      <c r="B236" t="s">
        <v>138</v>
      </c>
      <c r="C236" s="14">
        <v>497.97250000000003</v>
      </c>
      <c r="D236" s="14">
        <v>500.43889999999999</v>
      </c>
      <c r="E236" s="14">
        <v>501.11750000000001</v>
      </c>
      <c r="F236" s="14">
        <v>509.56180000000001</v>
      </c>
      <c r="G236" s="14">
        <v>506.97410000000002</v>
      </c>
      <c r="H236" s="14">
        <v>496.22230000000002</v>
      </c>
      <c r="I236" s="14">
        <v>519.36580000000004</v>
      </c>
      <c r="J236" s="14">
        <v>531.69439999999997</v>
      </c>
      <c r="K236" s="14">
        <v>535.23969999999997</v>
      </c>
      <c r="L236" s="14">
        <v>533.54859999999996</v>
      </c>
      <c r="M236" s="14">
        <v>548.98919999999998</v>
      </c>
      <c r="N236" s="14">
        <v>561.57169999999996</v>
      </c>
    </row>
    <row r="237" spans="2:14">
      <c r="B237" t="s">
        <v>111</v>
      </c>
      <c r="C237" s="14">
        <v>1158.5314000000001</v>
      </c>
      <c r="D237" s="14">
        <v>1167.0356999999999</v>
      </c>
      <c r="E237" s="14">
        <v>1178.3525999999999</v>
      </c>
      <c r="F237" s="14">
        <v>1169.4119000000001</v>
      </c>
      <c r="G237" s="14">
        <v>1173.3510000000001</v>
      </c>
      <c r="H237" s="14">
        <v>1184.3898999999999</v>
      </c>
      <c r="I237" s="14">
        <v>1188.2806</v>
      </c>
      <c r="J237" s="14">
        <v>1199.6643999999999</v>
      </c>
      <c r="K237" s="14">
        <v>1191.9992</v>
      </c>
      <c r="L237" s="14">
        <v>1181.6592000000001</v>
      </c>
      <c r="M237" s="14">
        <v>1226.6658</v>
      </c>
      <c r="N237" s="14">
        <v>1267.2925</v>
      </c>
    </row>
    <row r="238" spans="2:14">
      <c r="B238" t="s">
        <v>146</v>
      </c>
      <c r="C238" s="14">
        <v>1885.4637</v>
      </c>
      <c r="D238" s="14">
        <v>1908.4268999999999</v>
      </c>
      <c r="E238" s="14">
        <v>1957.0682999999999</v>
      </c>
      <c r="F238" s="14">
        <v>1987.1760999999999</v>
      </c>
      <c r="G238" s="14">
        <v>2006.2628</v>
      </c>
      <c r="H238" s="14">
        <v>2022.2212999999999</v>
      </c>
      <c r="I238" s="14">
        <v>2027.5282999999999</v>
      </c>
      <c r="J238" s="14">
        <v>2030.3777</v>
      </c>
      <c r="K238" s="14">
        <v>1942.307</v>
      </c>
      <c r="L238" s="14">
        <v>1919.2998</v>
      </c>
      <c r="M238" s="14">
        <v>1946.1880000000001</v>
      </c>
      <c r="N238" s="14">
        <v>1973.6116</v>
      </c>
    </row>
    <row r="239" spans="2:14">
      <c r="B239" t="s">
        <v>115</v>
      </c>
      <c r="C239" s="14">
        <v>408.9973</v>
      </c>
      <c r="D239" s="14">
        <v>403.9862</v>
      </c>
      <c r="E239" s="14">
        <v>402.63679999999999</v>
      </c>
      <c r="F239" s="14">
        <v>411.75959999999998</v>
      </c>
      <c r="G239" s="14">
        <v>416.82740000000001</v>
      </c>
      <c r="H239" s="14">
        <v>413.76710000000003</v>
      </c>
      <c r="I239" s="14">
        <v>418.9796</v>
      </c>
      <c r="J239" s="14">
        <v>428.61840000000001</v>
      </c>
      <c r="K239" s="14">
        <v>433.76819999999998</v>
      </c>
      <c r="L239" s="14">
        <v>428.25049999999999</v>
      </c>
      <c r="M239" s="14">
        <v>445.0342</v>
      </c>
      <c r="N239" s="14">
        <v>458.29649999999998</v>
      </c>
    </row>
    <row r="240" spans="2:14">
      <c r="B240" t="s">
        <v>90</v>
      </c>
      <c r="C240" s="14">
        <v>55.976700000000001</v>
      </c>
      <c r="D240" s="14">
        <v>57.6312</v>
      </c>
      <c r="E240" s="14">
        <v>61.080599999999997</v>
      </c>
      <c r="F240" s="14">
        <v>58.596699999999998</v>
      </c>
      <c r="G240" s="14">
        <v>60.126899999999999</v>
      </c>
      <c r="H240" s="14">
        <v>61.782800000000002</v>
      </c>
      <c r="I240" s="14">
        <v>58.866199999999999</v>
      </c>
      <c r="J240" s="14">
        <v>60.598700000000001</v>
      </c>
      <c r="K240" s="14">
        <v>63.773400000000002</v>
      </c>
      <c r="L240" s="14">
        <v>65.089299999999994</v>
      </c>
      <c r="M240" s="14">
        <v>68.643100000000004</v>
      </c>
      <c r="N240" s="14">
        <v>66.008399999999995</v>
      </c>
    </row>
    <row r="241" spans="2:14">
      <c r="B241" t="s">
        <v>129</v>
      </c>
      <c r="C241" s="14">
        <v>103.5309</v>
      </c>
      <c r="D241" s="14">
        <v>100.66930000000001</v>
      </c>
      <c r="E241" s="14">
        <v>99.944500000000005</v>
      </c>
      <c r="F241" s="14">
        <v>96.503</v>
      </c>
      <c r="G241" s="14">
        <v>99.042000000000002</v>
      </c>
      <c r="H241" s="14">
        <v>106.02809999999999</v>
      </c>
      <c r="I241" s="14">
        <v>108.8977</v>
      </c>
      <c r="J241" s="14">
        <v>117.83620000000001</v>
      </c>
      <c r="K241" s="14">
        <v>126.4104</v>
      </c>
      <c r="L241" s="14">
        <v>126.70180000000001</v>
      </c>
      <c r="M241" s="14">
        <v>123.2508</v>
      </c>
      <c r="N241" s="14">
        <v>129.07490000000001</v>
      </c>
    </row>
    <row r="242" spans="2:14">
      <c r="B242" t="s">
        <v>133</v>
      </c>
      <c r="C242" s="14">
        <v>559.3134</v>
      </c>
      <c r="D242" s="14">
        <v>566.58219999999994</v>
      </c>
      <c r="E242" s="14">
        <v>552.25639999999999</v>
      </c>
      <c r="F242" s="14">
        <v>569.59090000000003</v>
      </c>
      <c r="G242" s="14">
        <v>581.22199999999998</v>
      </c>
      <c r="H242" s="14">
        <v>584.88639999999998</v>
      </c>
      <c r="I242" s="14">
        <v>592.28489999999999</v>
      </c>
      <c r="J242" s="14">
        <v>600.74009999999998</v>
      </c>
      <c r="K242" s="14">
        <v>604.3297</v>
      </c>
      <c r="L242" s="14">
        <v>596.14210000000003</v>
      </c>
      <c r="M242" s="14">
        <v>590.34699999999998</v>
      </c>
      <c r="N242" s="14">
        <v>593.40300000000002</v>
      </c>
    </row>
    <row r="243" spans="2:14">
      <c r="B243" t="s">
        <v>118</v>
      </c>
      <c r="C243" s="14">
        <v>568.24590000000001</v>
      </c>
      <c r="D243" s="14">
        <v>563.94259999999997</v>
      </c>
      <c r="E243" s="14">
        <v>573.03250000000003</v>
      </c>
      <c r="F243" s="14">
        <v>581.99749999999995</v>
      </c>
      <c r="G243" s="14">
        <v>583.48699999999997</v>
      </c>
      <c r="H243" s="14">
        <v>585.38980000000004</v>
      </c>
      <c r="I243" s="14">
        <v>597.91219999999998</v>
      </c>
      <c r="J243" s="14">
        <v>602.2482</v>
      </c>
      <c r="K243" s="14">
        <v>591.74210000000005</v>
      </c>
      <c r="L243" s="14">
        <v>592.93110000000001</v>
      </c>
      <c r="M243" s="14">
        <v>626.23389999999995</v>
      </c>
      <c r="N243" s="14">
        <v>651.78309999999999</v>
      </c>
    </row>
    <row r="244" spans="2:14">
      <c r="B244" t="s">
        <v>114</v>
      </c>
      <c r="C244" s="14">
        <v>446.43049999999999</v>
      </c>
      <c r="D244" s="14">
        <v>449.69990000000001</v>
      </c>
      <c r="E244" s="14">
        <v>453.77449999999999</v>
      </c>
      <c r="F244" s="14">
        <v>465.20949999999999</v>
      </c>
      <c r="G244" s="14">
        <v>459.99590000000001</v>
      </c>
      <c r="H244" s="14">
        <v>470.42669999999998</v>
      </c>
      <c r="I244" s="14">
        <v>483.47399999999999</v>
      </c>
      <c r="J244" s="14">
        <v>486.58080000000001</v>
      </c>
      <c r="K244" s="14">
        <v>490.9957</v>
      </c>
      <c r="L244" s="14">
        <v>485.89060000000001</v>
      </c>
      <c r="M244" s="14">
        <v>496.37439999999998</v>
      </c>
      <c r="N244" s="14">
        <v>509.45089999999999</v>
      </c>
    </row>
    <row r="245" spans="2:14">
      <c r="B245" t="s">
        <v>107</v>
      </c>
      <c r="C245" s="14">
        <v>47.118400000000001</v>
      </c>
      <c r="D245" s="14">
        <v>43.729900000000001</v>
      </c>
      <c r="E245" s="14">
        <v>43.117199999999997</v>
      </c>
      <c r="F245" s="14">
        <v>46.6021</v>
      </c>
      <c r="G245" s="14">
        <v>46.594999999999999</v>
      </c>
      <c r="H245" s="14">
        <v>49.072600000000001</v>
      </c>
      <c r="I245" s="14">
        <v>49.962600000000002</v>
      </c>
      <c r="J245" s="14">
        <v>48.226399999999998</v>
      </c>
      <c r="K245" s="14">
        <v>46.405999999999999</v>
      </c>
      <c r="L245" s="14">
        <v>46.229199999999999</v>
      </c>
      <c r="M245" s="14">
        <v>49.192399999999999</v>
      </c>
      <c r="N245" s="14">
        <v>49.126300000000001</v>
      </c>
    </row>
    <row r="246" spans="2:14">
      <c r="B246" t="s">
        <v>89</v>
      </c>
      <c r="C246" s="14">
        <v>119.0266</v>
      </c>
      <c r="D246" s="14">
        <v>110.16840000000001</v>
      </c>
      <c r="E246" s="14">
        <v>104.9588</v>
      </c>
      <c r="F246" s="14">
        <v>103.8625</v>
      </c>
      <c r="G246" s="14">
        <v>106.50109999999999</v>
      </c>
      <c r="H246" s="14">
        <v>104.1387</v>
      </c>
      <c r="I246" s="14">
        <v>102.2251</v>
      </c>
      <c r="J246" s="14">
        <v>106.2167</v>
      </c>
      <c r="K246" s="14">
        <v>107.2937</v>
      </c>
      <c r="L246" s="14">
        <v>107.9969</v>
      </c>
      <c r="M246" s="14">
        <v>104.6473</v>
      </c>
      <c r="N246" s="14">
        <v>108.5898</v>
      </c>
    </row>
    <row r="247" spans="2:14">
      <c r="B247" t="s">
        <v>100</v>
      </c>
      <c r="C247" s="14">
        <v>167.39619999999999</v>
      </c>
      <c r="D247" s="14">
        <v>164.76820000000001</v>
      </c>
      <c r="E247" s="14">
        <v>160.61709999999999</v>
      </c>
      <c r="F247" s="14">
        <v>160.98920000000001</v>
      </c>
      <c r="G247" s="14">
        <v>159.32849999999999</v>
      </c>
      <c r="H247" s="14">
        <v>156.47229999999999</v>
      </c>
      <c r="I247" s="14">
        <v>165.6138</v>
      </c>
      <c r="J247" s="14">
        <v>167.1183</v>
      </c>
      <c r="K247" s="14">
        <v>165.41560000000001</v>
      </c>
      <c r="L247" s="14">
        <v>163.01519999999999</v>
      </c>
      <c r="M247" s="14">
        <v>166.9068</v>
      </c>
      <c r="N247" s="14">
        <v>162.90170000000001</v>
      </c>
    </row>
    <row r="248" spans="2:14">
      <c r="B248" t="s">
        <v>148</v>
      </c>
      <c r="C248" s="14">
        <v>96.449299999999994</v>
      </c>
      <c r="D248" s="14">
        <v>97.543300000000002</v>
      </c>
      <c r="E248" s="14">
        <v>94.329400000000007</v>
      </c>
      <c r="F248" s="14">
        <v>92.485799999999998</v>
      </c>
      <c r="G248" s="14">
        <v>93.181600000000003</v>
      </c>
      <c r="H248" s="14">
        <v>90.662599999999998</v>
      </c>
      <c r="I248" s="14">
        <v>96.302499999999995</v>
      </c>
      <c r="J248" s="14">
        <v>97.372</v>
      </c>
      <c r="K248" s="14">
        <v>97.196399999999997</v>
      </c>
      <c r="L248" s="14">
        <v>97.442700000000002</v>
      </c>
      <c r="M248" s="14">
        <v>101.502</v>
      </c>
      <c r="N248" s="14">
        <v>107.36199999999999</v>
      </c>
    </row>
    <row r="249" spans="2:14">
      <c r="B249" t="s">
        <v>105</v>
      </c>
      <c r="C249" s="14">
        <v>120.69280000000001</v>
      </c>
      <c r="D249" s="14">
        <v>124.8977</v>
      </c>
      <c r="E249" s="14">
        <v>127.14619999999999</v>
      </c>
      <c r="F249" s="14">
        <v>129.90690000000001</v>
      </c>
      <c r="G249" s="14">
        <v>132.47919999999999</v>
      </c>
      <c r="H249" s="14">
        <v>127.48860000000001</v>
      </c>
      <c r="I249" s="14">
        <v>128.92949999999999</v>
      </c>
      <c r="J249" s="14">
        <v>130.19030000000001</v>
      </c>
      <c r="K249" s="14">
        <v>128.6765</v>
      </c>
      <c r="L249" s="14">
        <v>124.73090000000001</v>
      </c>
      <c r="M249" s="14">
        <v>129.74</v>
      </c>
      <c r="N249" s="14">
        <v>136.95050000000001</v>
      </c>
    </row>
    <row r="250" spans="2:14">
      <c r="B250" t="s">
        <v>140</v>
      </c>
      <c r="C250" s="14">
        <v>570.67589999999996</v>
      </c>
      <c r="D250" s="14">
        <v>579.8075</v>
      </c>
      <c r="E250" s="14">
        <v>580.75120000000004</v>
      </c>
      <c r="F250" s="14">
        <v>587.37490000000003</v>
      </c>
      <c r="G250" s="14">
        <v>588.35640000000001</v>
      </c>
      <c r="H250" s="14">
        <v>591.87699999999995</v>
      </c>
      <c r="I250" s="14">
        <v>617.09519999999998</v>
      </c>
      <c r="J250" s="14">
        <v>627.53819999999996</v>
      </c>
      <c r="K250" s="14">
        <v>637.95519999999999</v>
      </c>
      <c r="L250" s="14">
        <v>637.02639999999997</v>
      </c>
      <c r="M250" s="14">
        <v>655.36670000000004</v>
      </c>
      <c r="N250" s="14">
        <v>685.06389999999999</v>
      </c>
    </row>
    <row r="251" spans="2:14">
      <c r="B251" t="s">
        <v>94</v>
      </c>
      <c r="C251" s="14">
        <v>3748.7069999999999</v>
      </c>
      <c r="D251" s="14">
        <v>3772.9789000000001</v>
      </c>
      <c r="E251" s="14">
        <v>3800.4297000000001</v>
      </c>
      <c r="F251" s="14">
        <v>3858.4456</v>
      </c>
      <c r="G251" s="14">
        <v>3908.2530000000002</v>
      </c>
      <c r="H251" s="14">
        <v>4017.1356999999998</v>
      </c>
      <c r="I251" s="14">
        <v>4033.5976999999998</v>
      </c>
      <c r="J251" s="14">
        <v>4143.8918999999996</v>
      </c>
      <c r="K251" s="14">
        <v>4198.6219000000001</v>
      </c>
      <c r="L251" s="14">
        <v>4191.2588999999998</v>
      </c>
      <c r="M251" s="14">
        <v>4332.4263000000001</v>
      </c>
      <c r="N251" s="14">
        <v>4472.2260999999999</v>
      </c>
    </row>
    <row r="252" spans="2:14">
      <c r="B252" t="s">
        <v>126</v>
      </c>
      <c r="C252" s="14">
        <v>534.46510000000001</v>
      </c>
      <c r="D252" s="14">
        <v>559.96849999999995</v>
      </c>
      <c r="E252" s="14">
        <v>604.81989999999996</v>
      </c>
      <c r="F252" s="14">
        <v>648.69159999999999</v>
      </c>
      <c r="G252" s="14">
        <v>672.32939999999996</v>
      </c>
      <c r="H252" s="14">
        <v>715.10360000000003</v>
      </c>
      <c r="I252" s="14">
        <v>724.29690000000005</v>
      </c>
      <c r="J252" s="14">
        <v>774.89080000000001</v>
      </c>
      <c r="K252" s="14">
        <v>827.66920000000005</v>
      </c>
      <c r="L252" s="14">
        <v>843.21510000000001</v>
      </c>
      <c r="M252" s="14">
        <v>905.76459999999997</v>
      </c>
      <c r="N252" s="14">
        <v>976.01260000000002</v>
      </c>
    </row>
    <row r="253" spans="2:14">
      <c r="B253" t="s">
        <v>76</v>
      </c>
      <c r="C253" s="14">
        <v>335.54849999999999</v>
      </c>
      <c r="D253" s="14">
        <v>349.31349999999998</v>
      </c>
      <c r="E253" s="14">
        <v>342.68889999999999</v>
      </c>
      <c r="F253" s="14">
        <v>351.64440000000002</v>
      </c>
      <c r="G253" s="14">
        <v>352.89659999999998</v>
      </c>
      <c r="H253" s="14">
        <v>355.40699999999998</v>
      </c>
      <c r="I253" s="14">
        <v>366.1216</v>
      </c>
      <c r="J253" s="14">
        <v>378.47070000000002</v>
      </c>
      <c r="K253" s="14">
        <v>386.93430000000001</v>
      </c>
      <c r="L253" s="14">
        <v>392.07580000000002</v>
      </c>
      <c r="M253" s="14">
        <v>403.2543</v>
      </c>
      <c r="N253" s="14">
        <v>418.18180000000001</v>
      </c>
    </row>
    <row r="254" spans="2:14">
      <c r="B254" t="s">
        <v>137</v>
      </c>
      <c r="C254" s="14">
        <v>549.38879999999995</v>
      </c>
      <c r="D254" s="14">
        <v>542.17409999999995</v>
      </c>
      <c r="E254" s="14">
        <v>549.8981</v>
      </c>
      <c r="F254" s="14">
        <v>546.06719999999996</v>
      </c>
      <c r="G254" s="14">
        <v>550.15239999999994</v>
      </c>
      <c r="H254" s="14">
        <v>556.3338</v>
      </c>
      <c r="I254" s="14">
        <v>558.0231</v>
      </c>
      <c r="J254" s="14">
        <v>559.37469999999996</v>
      </c>
      <c r="K254" s="14">
        <v>564.49360000000001</v>
      </c>
      <c r="L254" s="14">
        <v>561.68320000000006</v>
      </c>
      <c r="M254" s="14">
        <v>595.3623</v>
      </c>
      <c r="N254" s="14">
        <v>611.65030000000002</v>
      </c>
    </row>
    <row r="255" spans="2:14">
      <c r="B255" t="s">
        <v>112</v>
      </c>
      <c r="C255" s="14">
        <v>56.032600000000002</v>
      </c>
      <c r="D255" s="14">
        <v>57.251800000000003</v>
      </c>
      <c r="E255" s="14">
        <v>56.839199999999998</v>
      </c>
      <c r="F255" s="14">
        <v>56.073900000000002</v>
      </c>
      <c r="G255" s="14">
        <v>56.138399999999997</v>
      </c>
      <c r="H255" s="14">
        <v>62.700400000000002</v>
      </c>
      <c r="I255" s="14">
        <v>61.093800000000002</v>
      </c>
      <c r="J255" s="14">
        <v>63.531199999999998</v>
      </c>
      <c r="K255" s="14">
        <v>62.902900000000002</v>
      </c>
      <c r="L255" s="14">
        <v>61.803100000000001</v>
      </c>
      <c r="M255" s="14">
        <v>61.488</v>
      </c>
      <c r="N255" s="14">
        <v>63.008899999999997</v>
      </c>
    </row>
    <row r="256" spans="2:14">
      <c r="B256" t="s">
        <v>141</v>
      </c>
      <c r="C256" s="14">
        <v>68.697199999999995</v>
      </c>
      <c r="D256" s="14">
        <v>72.327799999999996</v>
      </c>
      <c r="E256" s="14">
        <v>72.259299999999996</v>
      </c>
      <c r="F256" s="14">
        <v>70.271000000000001</v>
      </c>
      <c r="G256" s="14">
        <v>67.988299999999995</v>
      </c>
      <c r="H256" s="14">
        <v>67.2834</v>
      </c>
      <c r="I256" s="14">
        <v>66.830399999999997</v>
      </c>
      <c r="J256" s="14">
        <v>68.354900000000001</v>
      </c>
      <c r="K256" s="14">
        <v>73.181799999999996</v>
      </c>
      <c r="L256" s="14">
        <v>71.330699999999993</v>
      </c>
      <c r="M256" s="14">
        <v>71.624899999999997</v>
      </c>
      <c r="N256" s="14">
        <v>76.0214</v>
      </c>
    </row>
    <row r="257" spans="2:14">
      <c r="B257" t="s">
        <v>93</v>
      </c>
      <c r="C257" s="14">
        <v>8.0488999999999997</v>
      </c>
      <c r="D257" s="14">
        <v>8.2098999999999993</v>
      </c>
      <c r="E257" s="14">
        <v>8.1491000000000007</v>
      </c>
      <c r="F257" s="14">
        <v>7.8798000000000004</v>
      </c>
      <c r="G257" s="14">
        <v>7.7214999999999998</v>
      </c>
      <c r="H257" s="14">
        <v>7.2858000000000001</v>
      </c>
      <c r="I257" s="14">
        <v>7.0446999999999997</v>
      </c>
      <c r="J257" s="14">
        <v>7.3292999999999999</v>
      </c>
      <c r="K257" s="14">
        <v>7.1825999999999999</v>
      </c>
      <c r="L257" s="14">
        <v>7.9557000000000002</v>
      </c>
      <c r="M257" s="14">
        <v>7.1917</v>
      </c>
      <c r="N257" s="14">
        <v>7.8754999999999997</v>
      </c>
    </row>
    <row r="258" spans="2:14">
      <c r="B258" t="s">
        <v>144</v>
      </c>
      <c r="C258" s="14">
        <v>265.21030000000002</v>
      </c>
      <c r="D258" s="14">
        <v>269.9151</v>
      </c>
      <c r="E258" s="14">
        <v>266.3159</v>
      </c>
      <c r="F258" s="14">
        <v>260.75819999999999</v>
      </c>
      <c r="G258" s="14">
        <v>262.34859999999998</v>
      </c>
      <c r="H258" s="14">
        <v>267.78480000000002</v>
      </c>
      <c r="I258" s="14">
        <v>271.48700000000002</v>
      </c>
      <c r="J258" s="14">
        <v>267.86439999999999</v>
      </c>
      <c r="K258" s="14">
        <v>274.10899999999998</v>
      </c>
      <c r="L258" s="14">
        <v>264.11619999999999</v>
      </c>
      <c r="M258" s="14">
        <v>276.64949999999999</v>
      </c>
      <c r="N258" s="14">
        <v>288.05770000000001</v>
      </c>
    </row>
    <row r="259" spans="2:14">
      <c r="B259" t="s">
        <v>92</v>
      </c>
      <c r="C259" s="14">
        <v>213.4153</v>
      </c>
      <c r="D259" s="14">
        <v>221.238</v>
      </c>
      <c r="E259" s="14">
        <v>217.56710000000001</v>
      </c>
      <c r="F259" s="14">
        <v>234.9599</v>
      </c>
      <c r="G259" s="14">
        <v>235.86279999999999</v>
      </c>
      <c r="H259" s="14">
        <v>239.51439999999999</v>
      </c>
      <c r="I259" s="14">
        <v>246.0898</v>
      </c>
      <c r="J259" s="14">
        <v>251.505</v>
      </c>
      <c r="K259" s="14">
        <v>252.59899999999999</v>
      </c>
      <c r="L259" s="14">
        <v>249.71799999999999</v>
      </c>
      <c r="M259" s="14">
        <v>258.14249999999998</v>
      </c>
      <c r="N259" s="14">
        <v>267.5104</v>
      </c>
    </row>
    <row r="260" spans="2:14">
      <c r="B260" t="s">
        <v>122</v>
      </c>
      <c r="C260" s="14">
        <v>273.0711</v>
      </c>
      <c r="D260" s="14">
        <v>303.18959999999998</v>
      </c>
      <c r="E260" s="14">
        <v>328.83870000000002</v>
      </c>
      <c r="F260" s="14">
        <v>341.72300000000001</v>
      </c>
      <c r="G260" s="14">
        <v>360.67919999999998</v>
      </c>
      <c r="H260" s="14">
        <v>383.3972</v>
      </c>
      <c r="I260" s="14">
        <v>388.29930000000002</v>
      </c>
      <c r="J260" s="14">
        <v>399.6925</v>
      </c>
      <c r="K260" s="14">
        <v>424.00470000000001</v>
      </c>
      <c r="L260" s="14">
        <v>423.99540000000002</v>
      </c>
      <c r="M260" s="14">
        <v>445.25990000000002</v>
      </c>
      <c r="N260" s="14">
        <v>469.93540000000002</v>
      </c>
    </row>
    <row r="261" spans="2:14">
      <c r="B261" t="s">
        <v>96</v>
      </c>
      <c r="C261" s="14">
        <v>1240.4054000000001</v>
      </c>
      <c r="D261" s="14">
        <v>1242.4146000000001</v>
      </c>
      <c r="E261" s="14">
        <v>1248.7089000000001</v>
      </c>
      <c r="F261" s="14">
        <v>1267.0527</v>
      </c>
      <c r="G261" s="14">
        <v>1281.4956999999999</v>
      </c>
      <c r="H261" s="14">
        <v>1303.7268999999999</v>
      </c>
      <c r="I261" s="14">
        <v>1311.0550000000001</v>
      </c>
      <c r="J261" s="14">
        <v>1315.0009</v>
      </c>
      <c r="K261" s="14">
        <v>1316.6051</v>
      </c>
      <c r="L261" s="14">
        <v>1307.5543</v>
      </c>
      <c r="M261" s="14">
        <v>1357.7128</v>
      </c>
      <c r="N261" s="14">
        <v>1396.6226999999999</v>
      </c>
    </row>
    <row r="262" spans="2:14">
      <c r="B262" t="s">
        <v>95</v>
      </c>
      <c r="C262" s="14">
        <v>228.26900000000001</v>
      </c>
      <c r="D262" s="14">
        <v>229.96119999999999</v>
      </c>
      <c r="E262" s="14">
        <v>224.02889999999999</v>
      </c>
      <c r="F262" s="14">
        <v>230.7422</v>
      </c>
      <c r="G262" s="14">
        <v>225.55250000000001</v>
      </c>
      <c r="H262" s="14">
        <v>221.16569999999999</v>
      </c>
      <c r="I262" s="14">
        <v>224.79400000000001</v>
      </c>
      <c r="J262" s="14">
        <v>227.7501</v>
      </c>
      <c r="K262" s="14">
        <v>221.78530000000001</v>
      </c>
      <c r="L262" s="14">
        <v>217.89449999999999</v>
      </c>
      <c r="M262" s="14">
        <v>223.94730000000001</v>
      </c>
      <c r="N262" s="14">
        <v>232.7329</v>
      </c>
    </row>
    <row r="263" spans="2:14">
      <c r="B263" t="s">
        <v>130</v>
      </c>
      <c r="C263" s="14">
        <v>334.73820000000001</v>
      </c>
      <c r="D263" s="14">
        <v>343.28050000000002</v>
      </c>
      <c r="E263" s="14">
        <v>342.54329999999999</v>
      </c>
      <c r="F263" s="14">
        <v>343.12099999999998</v>
      </c>
      <c r="G263" s="14">
        <v>347.02190000000002</v>
      </c>
      <c r="H263" s="14">
        <v>355.68979999999999</v>
      </c>
      <c r="I263" s="14">
        <v>363.81830000000002</v>
      </c>
      <c r="J263" s="14">
        <v>366.28800000000001</v>
      </c>
      <c r="K263" s="14">
        <v>369.70929999999998</v>
      </c>
      <c r="L263" s="14">
        <v>372.87529999999998</v>
      </c>
      <c r="M263" s="14">
        <v>381.15780000000001</v>
      </c>
      <c r="N263" s="14">
        <v>395.80860000000001</v>
      </c>
    </row>
    <row r="264" spans="2:14">
      <c r="B264" t="s">
        <v>99</v>
      </c>
      <c r="C264" s="14">
        <v>157.88890000000001</v>
      </c>
      <c r="D264" s="14">
        <v>156.89769999999999</v>
      </c>
      <c r="E264" s="14">
        <v>155.3246</v>
      </c>
      <c r="F264" s="14">
        <v>153.2697</v>
      </c>
      <c r="G264" s="14">
        <v>149.95859999999999</v>
      </c>
      <c r="H264" s="14">
        <v>155.38800000000001</v>
      </c>
      <c r="I264" s="14">
        <v>157.5943</v>
      </c>
      <c r="J264" s="14">
        <v>159.03749999999999</v>
      </c>
      <c r="K264" s="14">
        <v>158.42750000000001</v>
      </c>
      <c r="L264" s="14">
        <v>159.21530000000001</v>
      </c>
      <c r="M264" s="14">
        <v>159.33500000000001</v>
      </c>
      <c r="N264" s="14">
        <v>154.0917</v>
      </c>
    </row>
    <row r="265" spans="2:14">
      <c r="B265" t="s">
        <v>106</v>
      </c>
      <c r="C265" s="14">
        <v>715.6422</v>
      </c>
      <c r="D265" s="14">
        <v>715.2663</v>
      </c>
      <c r="E265" s="14">
        <v>721.56299999999999</v>
      </c>
      <c r="F265" s="14">
        <v>714.56129999999996</v>
      </c>
      <c r="G265" s="14">
        <v>712.48839999999996</v>
      </c>
      <c r="H265" s="14">
        <v>722.66719999999998</v>
      </c>
      <c r="I265" s="14">
        <v>728.18600000000004</v>
      </c>
      <c r="J265" s="14">
        <v>733.97670000000005</v>
      </c>
      <c r="K265" s="14">
        <v>743.31349999999998</v>
      </c>
      <c r="L265" s="14">
        <v>735.26289999999995</v>
      </c>
      <c r="M265" s="14">
        <v>753.48019999999997</v>
      </c>
      <c r="N265" s="14">
        <v>775.24459999999999</v>
      </c>
    </row>
    <row r="266" spans="2:14">
      <c r="B266" t="s">
        <v>43</v>
      </c>
      <c r="C266" s="14">
        <v>294.72809999999998</v>
      </c>
      <c r="D266" s="14">
        <v>289.36380000000003</v>
      </c>
      <c r="E266" s="14">
        <v>278.73649999999998</v>
      </c>
      <c r="F266" s="14">
        <v>285.77530000000002</v>
      </c>
      <c r="G266" s="14">
        <v>285.25920000000002</v>
      </c>
      <c r="H266" s="14">
        <v>290.09829999999999</v>
      </c>
      <c r="I266" s="14">
        <v>306.40210000000002</v>
      </c>
      <c r="J266" s="14">
        <v>330.84730000000002</v>
      </c>
      <c r="K266" s="14">
        <v>388.68740000000003</v>
      </c>
      <c r="L266" s="14">
        <v>418.67630000000003</v>
      </c>
      <c r="M266" s="14">
        <v>434.08969999999999</v>
      </c>
      <c r="N266" s="14">
        <v>474.15039999999999</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5E9C9-CDEA-449F-B734-BCDE63E80687}">
  <dimension ref="A1:T14"/>
  <sheetViews>
    <sheetView showGridLines="0" workbookViewId="0">
      <pane ySplit="5" topLeftCell="A6" activePane="bottomLeft" state="frozen"/>
      <selection pane="bottomLeft" sqref="A1:S1"/>
    </sheetView>
  </sheetViews>
  <sheetFormatPr defaultRowHeight="14.5"/>
  <cols>
    <col min="1" max="1" width="12.453125" bestFit="1" customWidth="1"/>
    <col min="2" max="2" width="22.7265625" bestFit="1" customWidth="1"/>
    <col min="3" max="21" width="6.54296875" bestFit="1" customWidth="1"/>
  </cols>
  <sheetData>
    <row r="1" spans="1:20" ht="23.5">
      <c r="A1" s="100" t="s">
        <v>239</v>
      </c>
      <c r="B1" s="100"/>
      <c r="C1" s="100"/>
      <c r="D1" s="100"/>
      <c r="E1" s="100"/>
      <c r="F1" s="100"/>
      <c r="G1" s="100"/>
      <c r="H1" s="100"/>
      <c r="I1" s="100"/>
      <c r="J1" s="100"/>
      <c r="K1" s="100"/>
      <c r="L1" s="100"/>
      <c r="M1" s="100"/>
      <c r="N1" s="100"/>
      <c r="O1" s="100"/>
      <c r="P1" s="100"/>
      <c r="Q1" s="100"/>
      <c r="R1" s="100"/>
      <c r="S1" s="100"/>
      <c r="T1" s="17"/>
    </row>
    <row r="4" spans="1:20">
      <c r="A4" s="10" t="s">
        <v>232</v>
      </c>
    </row>
    <row r="5" spans="1:20">
      <c r="C5">
        <v>2014</v>
      </c>
      <c r="D5">
        <v>2015</v>
      </c>
      <c r="E5">
        <v>2016</v>
      </c>
      <c r="F5">
        <v>2017</v>
      </c>
      <c r="G5">
        <v>2018</v>
      </c>
      <c r="H5">
        <v>2019</v>
      </c>
      <c r="I5">
        <v>2020</v>
      </c>
      <c r="J5">
        <v>2021</v>
      </c>
      <c r="K5">
        <v>2022</v>
      </c>
      <c r="L5">
        <v>2023</v>
      </c>
      <c r="M5">
        <v>2024</v>
      </c>
      <c r="N5">
        <v>2025</v>
      </c>
    </row>
    <row r="6" spans="1:20">
      <c r="A6" t="s">
        <v>207</v>
      </c>
      <c r="B6" t="s">
        <v>188</v>
      </c>
      <c r="C6" s="14">
        <v>11007.241400000001</v>
      </c>
      <c r="D6" s="14">
        <v>11144.134899999999</v>
      </c>
      <c r="E6" s="14">
        <v>11279.375599999999</v>
      </c>
      <c r="F6" s="14">
        <v>11454.1108</v>
      </c>
      <c r="G6" s="14">
        <v>11609.2505</v>
      </c>
      <c r="H6" s="14">
        <v>11917.9475</v>
      </c>
      <c r="I6" s="14">
        <v>12110.9843</v>
      </c>
      <c r="J6" s="14">
        <v>12343.893700000001</v>
      </c>
      <c r="K6" s="14">
        <v>12418.152599999999</v>
      </c>
      <c r="L6" s="14">
        <v>12388.5038</v>
      </c>
      <c r="M6" s="14">
        <v>12832.2358</v>
      </c>
      <c r="N6" s="14">
        <v>13297.774299999999</v>
      </c>
    </row>
    <row r="7" spans="1:20">
      <c r="B7" t="s">
        <v>190</v>
      </c>
      <c r="C7" s="14">
        <v>8141.3752000000004</v>
      </c>
      <c r="D7" s="14">
        <v>8249.7777000000006</v>
      </c>
      <c r="E7" s="14">
        <v>8376.0745000000006</v>
      </c>
      <c r="F7" s="14">
        <v>8532.2800000000007</v>
      </c>
      <c r="G7" s="14">
        <v>8601.6442000000006</v>
      </c>
      <c r="H7" s="14">
        <v>8795.3618999999999</v>
      </c>
      <c r="I7" s="14">
        <v>8951.6731</v>
      </c>
      <c r="J7" s="14">
        <v>9083.8912999999993</v>
      </c>
      <c r="K7" s="14">
        <v>9102.8165000000008</v>
      </c>
      <c r="L7" s="14">
        <v>9114.3096000000005</v>
      </c>
      <c r="M7" s="14">
        <v>9372.8385999999991</v>
      </c>
      <c r="N7" s="14">
        <v>9628.4115000000002</v>
      </c>
    </row>
    <row r="8" spans="1:20">
      <c r="B8" t="s">
        <v>189</v>
      </c>
      <c r="C8" s="14">
        <v>9512.5205999999998</v>
      </c>
      <c r="D8" s="14">
        <v>9640.8279999999995</v>
      </c>
      <c r="E8" s="14">
        <v>9759.3837000000003</v>
      </c>
      <c r="F8" s="14">
        <v>9868.6432999999997</v>
      </c>
      <c r="G8" s="14">
        <v>9935.3209999999999</v>
      </c>
      <c r="H8" s="14">
        <v>10130.9391</v>
      </c>
      <c r="I8" s="14">
        <v>10210.281800000001</v>
      </c>
      <c r="J8" s="14">
        <v>10207.9889</v>
      </c>
      <c r="K8" s="14">
        <v>10243.737499999999</v>
      </c>
      <c r="L8" s="14">
        <v>10160.7374</v>
      </c>
      <c r="M8" s="14">
        <v>10483.989</v>
      </c>
      <c r="N8" s="14">
        <v>10841.0337</v>
      </c>
    </row>
    <row r="9" spans="1:20">
      <c r="A9" t="s">
        <v>208</v>
      </c>
      <c r="B9" t="s">
        <v>188</v>
      </c>
      <c r="C9" s="14">
        <v>8021.6295</v>
      </c>
      <c r="D9" s="14">
        <v>8059.9506000000001</v>
      </c>
      <c r="E9" s="14">
        <v>8088.2248</v>
      </c>
      <c r="F9" s="14">
        <v>8161.6792999999998</v>
      </c>
      <c r="G9" s="14">
        <v>8155.6089000000002</v>
      </c>
      <c r="H9" s="14">
        <v>8264.9362000000001</v>
      </c>
      <c r="I9" s="14">
        <v>8357.2047000000002</v>
      </c>
      <c r="J9" s="14">
        <v>8484.3554999999997</v>
      </c>
      <c r="K9" s="14">
        <v>8579.6252000000004</v>
      </c>
      <c r="L9" s="14">
        <v>8664.3300999999992</v>
      </c>
      <c r="M9" s="14">
        <v>9058.4187999999995</v>
      </c>
      <c r="N9" s="14">
        <v>9421.6195000000007</v>
      </c>
    </row>
    <row r="10" spans="1:20">
      <c r="B10" t="s">
        <v>190</v>
      </c>
      <c r="C10" s="14">
        <v>6757.8702999999996</v>
      </c>
      <c r="D10" s="14">
        <v>6759.4323000000004</v>
      </c>
      <c r="E10" s="14">
        <v>6869.6962999999996</v>
      </c>
      <c r="F10" s="14">
        <v>6949.3135000000002</v>
      </c>
      <c r="G10" s="14">
        <v>7038.8263999999999</v>
      </c>
      <c r="H10" s="14">
        <v>7126.9935999999998</v>
      </c>
      <c r="I10" s="14">
        <v>7267.0814</v>
      </c>
      <c r="J10" s="14">
        <v>7452.2070999999996</v>
      </c>
      <c r="K10" s="14">
        <v>7593.5578999999998</v>
      </c>
      <c r="L10" s="14">
        <v>7632.2165999999997</v>
      </c>
      <c r="M10" s="14">
        <v>7966.3968000000004</v>
      </c>
      <c r="N10" s="14">
        <v>8144.0793000000003</v>
      </c>
    </row>
    <row r="11" spans="1:20">
      <c r="B11" t="s">
        <v>189</v>
      </c>
      <c r="C11" s="14">
        <v>8003.4661999999998</v>
      </c>
      <c r="D11" s="14">
        <v>8030.7416999999996</v>
      </c>
      <c r="E11" s="14">
        <v>8026.9094999999998</v>
      </c>
      <c r="F11" s="14">
        <v>8173.2876999999999</v>
      </c>
      <c r="G11" s="14">
        <v>8270.8799999999992</v>
      </c>
      <c r="H11" s="14">
        <v>8380.9811000000009</v>
      </c>
      <c r="I11" s="14">
        <v>8492.0054999999993</v>
      </c>
      <c r="J11" s="14">
        <v>8681.5177000000003</v>
      </c>
      <c r="K11" s="14">
        <v>8801.0578000000005</v>
      </c>
      <c r="L11" s="14">
        <v>8847.7533000000003</v>
      </c>
      <c r="M11" s="14">
        <v>9142.6137999999992</v>
      </c>
      <c r="N11" s="14">
        <v>9441.4066000000003</v>
      </c>
    </row>
    <row r="12" spans="1:20">
      <c r="A12" t="s">
        <v>37</v>
      </c>
      <c r="B12" t="s">
        <v>188</v>
      </c>
      <c r="C12" s="14">
        <v>19028.870900000002</v>
      </c>
      <c r="D12" s="14">
        <v>19204.085500000001</v>
      </c>
      <c r="E12" s="14">
        <v>19367.600399999999</v>
      </c>
      <c r="F12" s="14">
        <v>19615.790099999998</v>
      </c>
      <c r="G12" s="14">
        <v>19764.859400000001</v>
      </c>
      <c r="H12" s="14">
        <v>20182.883699999998</v>
      </c>
      <c r="I12" s="14">
        <v>20468.188999999998</v>
      </c>
      <c r="J12" s="14">
        <v>20828.249199999998</v>
      </c>
      <c r="K12" s="14">
        <v>20997.7778</v>
      </c>
      <c r="L12" s="14">
        <v>21052.833900000001</v>
      </c>
      <c r="M12" s="14">
        <v>21890.654600000002</v>
      </c>
      <c r="N12" s="14">
        <v>22719.393800000002</v>
      </c>
    </row>
    <row r="13" spans="1:20">
      <c r="B13" t="s">
        <v>190</v>
      </c>
      <c r="C13" s="14">
        <v>14899.245500000001</v>
      </c>
      <c r="D13" s="14">
        <v>15009.21</v>
      </c>
      <c r="E13" s="14">
        <v>15245.7708</v>
      </c>
      <c r="F13" s="14">
        <v>15481.593500000001</v>
      </c>
      <c r="G13" s="14">
        <v>15640.470600000001</v>
      </c>
      <c r="H13" s="14">
        <v>15922.3555</v>
      </c>
      <c r="I13" s="14">
        <v>16218.754499999999</v>
      </c>
      <c r="J13" s="14">
        <v>16536.098399999999</v>
      </c>
      <c r="K13" s="14">
        <v>16696.374400000001</v>
      </c>
      <c r="L13" s="14">
        <v>16746.5262</v>
      </c>
      <c r="M13" s="14">
        <v>17339.235400000001</v>
      </c>
      <c r="N13" s="14">
        <v>17772.4908</v>
      </c>
    </row>
    <row r="14" spans="1:20">
      <c r="B14" t="s">
        <v>189</v>
      </c>
      <c r="C14" s="14">
        <v>17515.986799999999</v>
      </c>
      <c r="D14" s="14">
        <v>17671.5697</v>
      </c>
      <c r="E14" s="14">
        <v>17786.2932</v>
      </c>
      <c r="F14" s="14">
        <v>18041.931</v>
      </c>
      <c r="G14" s="14">
        <v>18206.201000000001</v>
      </c>
      <c r="H14" s="14">
        <v>18511.9202</v>
      </c>
      <c r="I14" s="14">
        <v>18702.2873</v>
      </c>
      <c r="J14" s="14">
        <v>18889.506600000001</v>
      </c>
      <c r="K14" s="14">
        <v>19044.795300000002</v>
      </c>
      <c r="L14" s="14">
        <v>19008.490699999998</v>
      </c>
      <c r="M14" s="14">
        <v>19626.602800000001</v>
      </c>
      <c r="N14" s="14">
        <v>20282.440299999998</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69f59752-6d77-46ee-9843-1f05f25eb4ed">MoEd-1249934966-5289</_dlc_DocId>
    <_dlc_DocIdUrl xmlns="69f59752-6d77-46ee-9843-1f05f25eb4ed">
      <Url>https://educationgovtnz.sharepoint.com/sites/GRPMoEEDKEvidenceSynthesisandReporting/_layouts/15/DocIdRedir.aspx?ID=MoEd-1249934966-5289</Url>
      <Description>MoEd-1249934966-5289</Description>
    </_dlc_DocIdUrl>
  </documentManagement>
</p:properties>
</file>

<file path=customXml/item5.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188d6538661ab1d8c636962af2cd3c4b">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71f30cd19e90fa3180ad272dc81cdcea"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9F0E8D-0377-4466-A026-BFEE791D3AA7}">
  <ds:schemaRefs>
    <ds:schemaRef ds:uri="http://schemas.microsoft.com/sharepoint/v3/contenttype/forms"/>
  </ds:schemaRefs>
</ds:datastoreItem>
</file>

<file path=customXml/itemProps2.xml><?xml version="1.0" encoding="utf-8"?>
<ds:datastoreItem xmlns:ds="http://schemas.openxmlformats.org/officeDocument/2006/customXml" ds:itemID="{AF875BC4-D668-434A-B7D4-15F2ABC5F7AA}">
  <ds:schemaRefs>
    <ds:schemaRef ds:uri="Microsoft.SharePoint.Taxonomy.ContentTypeSync"/>
  </ds:schemaRefs>
</ds:datastoreItem>
</file>

<file path=customXml/itemProps3.xml><?xml version="1.0" encoding="utf-8"?>
<ds:datastoreItem xmlns:ds="http://schemas.openxmlformats.org/officeDocument/2006/customXml" ds:itemID="{B00C94B3-8626-4630-967F-4BFF15A53BC6}">
  <ds:schemaRefs>
    <ds:schemaRef ds:uri="http://schemas.microsoft.com/sharepoint/events"/>
  </ds:schemaRefs>
</ds:datastoreItem>
</file>

<file path=customXml/itemProps4.xml><?xml version="1.0" encoding="utf-8"?>
<ds:datastoreItem xmlns:ds="http://schemas.openxmlformats.org/officeDocument/2006/customXml" ds:itemID="{3AE31365-D493-4DD1-A30D-845DC89684DC}">
  <ds:schemaRefs>
    <ds:schemaRef ds:uri="http://schemas.microsoft.com/office/2006/metadata/properties"/>
    <ds:schemaRef ds:uri="http://schemas.microsoft.com/office/infopath/2007/PartnerControls"/>
    <ds:schemaRef ds:uri="d267a1a7-8edd-4111-a118-4a206d87cecc"/>
    <ds:schemaRef ds:uri="69f59752-6d77-46ee-9843-1f05f25eb4ed"/>
  </ds:schemaRefs>
</ds:datastoreItem>
</file>

<file path=customXml/itemProps5.xml><?xml version="1.0" encoding="utf-8"?>
<ds:datastoreItem xmlns:ds="http://schemas.openxmlformats.org/officeDocument/2006/customXml" ds:itemID="{69728305-A66A-4327-8EF5-E3659A9A67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Technical Notes</vt:lpstr>
      <vt:lpstr>Sector</vt:lpstr>
      <vt:lpstr>Designation</vt:lpstr>
      <vt:lpstr>Employment Type</vt:lpstr>
      <vt:lpstr>Full Part Time</vt:lpstr>
      <vt:lpstr>Ethnic Group</vt:lpstr>
      <vt:lpstr>Age Group</vt:lpstr>
      <vt:lpstr>Gender</vt:lpstr>
      <vt:lpstr>School Gender</vt:lpstr>
      <vt:lpstr>School Type</vt:lpstr>
      <vt:lpstr>Equity Index Band</vt:lpstr>
      <vt:lpstr>Equity Index Group</vt:lpstr>
      <vt:lpstr>Decile</vt:lpstr>
      <vt:lpstr>Grouped Decile</vt:lpstr>
      <vt:lpstr>Urban Rural</vt:lpstr>
      <vt:lpstr>Education Region</vt:lpstr>
      <vt:lpstr>Regional Council</vt:lpstr>
      <vt:lpstr>Territorial Authority</vt:lpstr>
      <vt:lpstr>Te Mahau Takiwā</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Malley</dc:creator>
  <cp:lastModifiedBy>Kathy Taylor</cp:lastModifiedBy>
  <dcterms:created xsi:type="dcterms:W3CDTF">2022-09-12T01:41:28Z</dcterms:created>
  <dcterms:modified xsi:type="dcterms:W3CDTF">2026-05-21T03:52:46Z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MSIP_Label_4009eddf-846d-46a2-8a8f-ad982b694053_Enabled">
    <vt:lpwstr>true</vt:lpwstr>
  </property>
  <property fmtid="{D5CDD505-2E9C-101B-9397-08002B2CF9AE}" pid="4" name="MSIP_Label_4009eddf-846d-46a2-8a8f-ad982b694053_SetDate">
    <vt:lpwstr>2026-03-05T01:56:49Z</vt:lpwstr>
  </property>
  <property fmtid="{D5CDD505-2E9C-101B-9397-08002B2CF9AE}" pid="5" name="MSIP_Label_4009eddf-846d-46a2-8a8f-ad982b694053_Method">
    <vt:lpwstr>Privileged</vt:lpwstr>
  </property>
  <property fmtid="{D5CDD505-2E9C-101B-9397-08002B2CF9AE}" pid="6" name="MSIP_Label_4009eddf-846d-46a2-8a8f-ad982b694053_Name">
    <vt:lpwstr>UNCLASSIFIED</vt:lpwstr>
  </property>
  <property fmtid="{D5CDD505-2E9C-101B-9397-08002B2CF9AE}" pid="7" name="MSIP_Label_4009eddf-846d-46a2-8a8f-ad982b694053_SiteId">
    <vt:lpwstr>e6d2d4cc-b762-486e-8894-4f5f440d5f31</vt:lpwstr>
  </property>
  <property fmtid="{D5CDD505-2E9C-101B-9397-08002B2CF9AE}" pid="8" name="MSIP_Label_4009eddf-846d-46a2-8a8f-ad982b694053_ActionId">
    <vt:lpwstr>c0378cc5-4434-40e9-8ca2-c0afd0613285</vt:lpwstr>
  </property>
  <property fmtid="{D5CDD505-2E9C-101B-9397-08002B2CF9AE}" pid="9" name="MSIP_Label_4009eddf-846d-46a2-8a8f-ad982b694053_ContentBits">
    <vt:lpwstr>3</vt:lpwstr>
  </property>
  <property fmtid="{D5CDD505-2E9C-101B-9397-08002B2CF9AE}" pid="10" name="MSIP_Label_4009eddf-846d-46a2-8a8f-ad982b694053_Tag">
    <vt:lpwstr>10, 0, 1, 1</vt:lpwstr>
  </property>
  <property fmtid="{D5CDD505-2E9C-101B-9397-08002B2CF9AE}" pid="11" name="_dlc_DocIdItemGuid">
    <vt:lpwstr>38827f05-1fd8-49c4-ad4a-7b4a8205d110</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Property Management Activity">
    <vt:lpwstr/>
  </property>
  <property fmtid="{D5CDD505-2E9C-101B-9397-08002B2CF9AE}" pid="22" name="Ministerial Type">
    <vt:lpwstr/>
  </property>
  <property fmtid="{D5CDD505-2E9C-101B-9397-08002B2CF9AE}" pid="23" name="Record Activity">
    <vt:lpwstr/>
  </property>
</Properties>
</file>