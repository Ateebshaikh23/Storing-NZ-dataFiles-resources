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educationgovtnz-my.sharepoint.com/personal/taylork_moe_govt_nz/Documents/Desktop/"/>
    </mc:Choice>
  </mc:AlternateContent>
  <xr:revisionPtr revIDLastSave="0" documentId="8_{A7A74BA2-1909-477D-923F-289067678067}" xr6:coauthVersionLast="47" xr6:coauthVersionMax="47" xr10:uidLastSave="{00000000-0000-0000-0000-000000000000}"/>
  <bookViews>
    <workbookView xWindow="-110" yWindow="-110" windowWidth="19420" windowHeight="11500" tabRatio="908" xr2:uid="{EC25A04D-8DB4-4A69-898A-DC4085974F33}"/>
  </bookViews>
  <sheets>
    <sheet name="Index" sheetId="1" r:id="rId1"/>
    <sheet name="Technical Notes" sheetId="105" r:id="rId2"/>
    <sheet name="Sector" sheetId="83" r:id="rId3"/>
    <sheet name="Designation" sheetId="103" r:id="rId4"/>
    <sheet name="Employment Type" sheetId="86" r:id="rId5"/>
    <sheet name="Full Part Time" sheetId="87" r:id="rId6"/>
    <sheet name="Ethnic Group" sheetId="102" r:id="rId7"/>
    <sheet name="Age Group" sheetId="89" r:id="rId8"/>
    <sheet name="Gender" sheetId="90" r:id="rId9"/>
    <sheet name="School Gender" sheetId="92" r:id="rId10"/>
    <sheet name="Equity Index Band" sheetId="101" r:id="rId11"/>
    <sheet name="Equity Index Group" sheetId="104" r:id="rId12"/>
    <sheet name="Decile" sheetId="95" r:id="rId13"/>
    <sheet name="Grouped Decile" sheetId="96" r:id="rId14"/>
    <sheet name="Urban Rural" sheetId="94" r:id="rId15"/>
    <sheet name="Education Region" sheetId="99" r:id="rId16"/>
    <sheet name="Regional Council" sheetId="98" r:id="rId17"/>
    <sheet name="Territorial Authority" sheetId="97" r:id="rId18"/>
    <sheet name="Te Mahau Takiwā" sheetId="100" r:id="rId19"/>
  </sheets>
  <definedNames>
    <definedName name="_AMO_RefreshMultipleList" hidden="1">"'&lt;Items&gt;_x000D_
  &lt;Item Id=""564313111"" Checked=""False"" /&gt;_x000D_
&lt;/Items&gt;'"</definedName>
    <definedName name="_AMO_XmlVersion" hidden="1">"'1'"</definedName>
    <definedName name="data">#REF!</definedName>
    <definedName name="data1">#REF!</definedName>
    <definedName name="data2">#REF!</definedName>
    <definedName name="data3">#REF!</definedName>
    <definedName name="x">#REF!</definedName>
  </definedNames>
  <calcPr calcId="191029"/>
  <pivotCaches>
    <pivotCache cacheId="0" r:id="rId20"/>
    <pivotCache cacheId="1" r:id="rId21"/>
    <pivotCache cacheId="2" r:id="rId22"/>
    <pivotCache cacheId="3" r:id="rId23"/>
    <pivotCache cacheId="4" r:id="rId24"/>
    <pivotCache cacheId="5" r:id="rId25"/>
    <pivotCache cacheId="6" r:id="rId26"/>
    <pivotCache cacheId="7" r:id="rId27"/>
    <pivotCache cacheId="8" r:id="rId28"/>
    <pivotCache cacheId="9" r:id="rId29"/>
    <pivotCache cacheId="10" r:id="rId30"/>
    <pivotCache cacheId="11" r:id="rId31"/>
    <pivotCache cacheId="12" r:id="rId32"/>
    <pivotCache cacheId="13" r:id="rId33"/>
    <pivotCache cacheId="14" r:id="rId34"/>
    <pivotCache cacheId="15" r:id="rId3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3F2D11-5A77-4502-8562-20D90A6397DF}" name="Query - EducationRegion_Sort_Order" description="Connection to the 'EducationRegion_Sort_Order' query in the workbook." type="100" refreshedVersion="8" minRefreshableVersion="5">
    <extLst>
      <ext xmlns:x15="http://schemas.microsoft.com/office/spreadsheetml/2010/11/main" uri="{DE250136-89BD-433C-8126-D09CA5730AF9}">
        <x15:connection id="ea57c4d1-a8a3-4b0f-915d-9bde6bd9af6d"/>
      </ext>
    </extLst>
  </connection>
  <connection id="2" xr16:uid="{80D75794-510A-4695-854F-A44068852736}" name="Query - EQI_Sort_Order" description="Connection to the 'EQI_Sort_Order' query in the workbook." type="100" refreshedVersion="8" minRefreshableVersion="5">
    <extLst>
      <ext xmlns:x15="http://schemas.microsoft.com/office/spreadsheetml/2010/11/main" uri="{DE250136-89BD-433C-8126-D09CA5730AF9}">
        <x15:connection id="d7a05ae1-1338-45c8-b508-369c73d5c595"/>
      </ext>
    </extLst>
  </connection>
  <connection id="3" xr16:uid="{DA16A62F-15FF-42BF-A0DB-6831AD1835C5}" name="Query - Regional_Sort_Order" description="Connection to the 'Regional_Sort_Order' query in the workbook." type="100" refreshedVersion="8" minRefreshableVersion="5">
    <extLst>
      <ext xmlns:x15="http://schemas.microsoft.com/office/spreadsheetml/2010/11/main" uri="{DE250136-89BD-433C-8126-D09CA5730AF9}">
        <x15:connection id="7b01e2f8-3604-4ff9-9b0b-deb27368067f"/>
      </ext>
    </extLst>
  </connection>
  <connection id="4" xr16:uid="{73853098-040C-444C-86C0-264D2D81DC30}" name="Query - Teacher_Numbers" description="Connection to the 'Teacher_Numbers' query in the workbook." type="100" refreshedVersion="8" minRefreshableVersion="5">
    <extLst>
      <ext xmlns:x15="http://schemas.microsoft.com/office/spreadsheetml/2010/11/main" uri="{DE250136-89BD-433C-8126-D09CA5730AF9}">
        <x15:connection id="e63b709c-b3e8-4536-9e52-fb5e9a07825c"/>
      </ext>
    </extLst>
  </connection>
  <connection id="5" xr16:uid="{6F521885-A043-4BE3-83F1-0428D0970742}" name="Query - Teacher_Numbers_EG" description="Connection to the 'Teacher_Numbers_EG' query in the workbook." type="100" refreshedVersion="8" minRefreshableVersion="5">
    <extLst>
      <ext xmlns:x15="http://schemas.microsoft.com/office/spreadsheetml/2010/11/main" uri="{DE250136-89BD-433C-8126-D09CA5730AF9}">
        <x15:connection id="42af0385-98ef-4966-aacd-41da651ca82b"/>
      </ext>
    </extLst>
  </connection>
  <connection id="6" xr16:uid="{A2821CD2-8C8C-4834-A967-33FD770EAB6D}" name="Query - TLA_Sort_Order" description="Connection to the 'TLA_Sort_Order' query in the workbook." type="100" refreshedVersion="8" minRefreshableVersion="5">
    <extLst>
      <ext xmlns:x15="http://schemas.microsoft.com/office/spreadsheetml/2010/11/main" uri="{DE250136-89BD-433C-8126-D09CA5730AF9}">
        <x15:connection id="d030604d-6b4e-44f5-b583-14d101f22703"/>
      </ext>
    </extLst>
  </connection>
  <connection id="7" xr16:uid="{FD8BDD79-C4E3-4994-BAB8-51599C5B5D7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<sst xmlns="http://schemas.openxmlformats.org/spreadsheetml/2006/main" count="721" uniqueCount="275">
  <si>
    <t>Sector</t>
  </si>
  <si>
    <t>Employment Type</t>
  </si>
  <si>
    <t>Full/Part Time</t>
  </si>
  <si>
    <t>Ethnic Group</t>
  </si>
  <si>
    <t>Age Group</t>
  </si>
  <si>
    <t>Teacher Gender</t>
  </si>
  <si>
    <t>School Gender</t>
  </si>
  <si>
    <t>Urban/Rural</t>
  </si>
  <si>
    <t>Decile</t>
  </si>
  <si>
    <t>Grouped Decile</t>
  </si>
  <si>
    <t>Territorial Authority</t>
  </si>
  <si>
    <t>Regional Council</t>
  </si>
  <si>
    <t>Education Region</t>
  </si>
  <si>
    <t>Technical Notes</t>
  </si>
  <si>
    <t>Dimension</t>
  </si>
  <si>
    <t>Teacher: Ethnic Group</t>
  </si>
  <si>
    <t>Teacher: Age 10yr Group</t>
  </si>
  <si>
    <t>The age of the teacher, in ten year age-groups. Age is calculated as at 1 July for each year.</t>
  </si>
  <si>
    <t>Teacher: Gender</t>
  </si>
  <si>
    <t>The gender of the teacher.</t>
  </si>
  <si>
    <t>The type of contract a teacher is on - Fixed Term or Permanent</t>
  </si>
  <si>
    <t>Teacher: Full/Part Time</t>
  </si>
  <si>
    <t>The type of contract a teacher is on - Full Time or Part Time</t>
  </si>
  <si>
    <t>School: Gender</t>
  </si>
  <si>
    <t>School: Decile</t>
  </si>
  <si>
    <t>School: Decile Grouped</t>
  </si>
  <si>
    <t>School: Sector</t>
  </si>
  <si>
    <t>School: Urban/Rural</t>
  </si>
  <si>
    <t>Main urban</t>
  </si>
  <si>
    <t>Main urban areas are very large urban areas centred on a city or major urban centre. Main urban areas have a minimum population of 30,000.</t>
  </si>
  <si>
    <t>Secondary urban</t>
  </si>
  <si>
    <t>Secondary urban areas have a population between 10,000 and 29,999 and are centred on the larger regional centres.</t>
  </si>
  <si>
    <t>Minor urban</t>
  </si>
  <si>
    <t>Minor urban areas are urbanised settlements (outside main and secondary urban areas), centred around smaller towns with a population between 1,000 and 9,999.</t>
  </si>
  <si>
    <t>Those living in rural settlements or townships, also includes areas with a population between 300 and 999.</t>
  </si>
  <si>
    <t>Region: Regional Council</t>
  </si>
  <si>
    <t>Region: Education Region</t>
  </si>
  <si>
    <t>Total</t>
  </si>
  <si>
    <t>Co-Educational</t>
  </si>
  <si>
    <t>Single Sex-Girls</t>
  </si>
  <si>
    <t>Single Sex-Boys</t>
  </si>
  <si>
    <t>Not Applicable/Unknown</t>
  </si>
  <si>
    <t>Not Applicable</t>
  </si>
  <si>
    <t>Decile 01</t>
  </si>
  <si>
    <t>Decile 02</t>
  </si>
  <si>
    <t>Decile 03</t>
  </si>
  <si>
    <t>Decile 04</t>
  </si>
  <si>
    <t>Decile 05</t>
  </si>
  <si>
    <t>Decile 06</t>
  </si>
  <si>
    <t>Decile 07</t>
  </si>
  <si>
    <t>Decile 08</t>
  </si>
  <si>
    <t>Decile 09</t>
  </si>
  <si>
    <t>Decile 10</t>
  </si>
  <si>
    <t>Low</t>
  </si>
  <si>
    <t>Medium</t>
  </si>
  <si>
    <t>High</t>
  </si>
  <si>
    <t>Te Mahau Takiwā</t>
  </si>
  <si>
    <t xml:space="preserve">The Ministry uses Statistics New Zealand's definition of ethnicity: ethnicity is the ethnic group or groups that people identify with or feel they belong to. Ethnicity is a measure of cultural affiliation, as opposed to race, ancestry, nationality or citizenship.
Total response ethnicity is used here. This means that teachers can identify with up to 3 different ethnic groups, and have been counted in each ethnic group they belong to and once in "Total" Ethnic Group. </t>
  </si>
  <si>
    <t>Teacher: Employment Type</t>
  </si>
  <si>
    <t xml:space="preserve">
Rural
</t>
  </si>
  <si>
    <t>The Regional Council linked to the school where the teacher is employed. Regional council boundaries are defined by Statistics New Zealand.</t>
  </si>
  <si>
    <t>Region: Territorial Authority</t>
  </si>
  <si>
    <t>Fixed</t>
  </si>
  <si>
    <t>Permanent</t>
  </si>
  <si>
    <t>Note: Total response ethnicity is used here. This means teachers are counted under each ethnic group they identfy with, and only once under 'Total'. This means that the different ethnic groups will not sum to the total.</t>
  </si>
  <si>
    <t>20-24</t>
  </si>
  <si>
    <t>25-34</t>
  </si>
  <si>
    <t>35-44</t>
  </si>
  <si>
    <t>45-54</t>
  </si>
  <si>
    <t>55-64</t>
  </si>
  <si>
    <t>65-74</t>
  </si>
  <si>
    <t>75-84</t>
  </si>
  <si>
    <t>Unknown</t>
  </si>
  <si>
    <t>Female</t>
  </si>
  <si>
    <t>Male</t>
  </si>
  <si>
    <t>Ashburton District</t>
  </si>
  <si>
    <t>Auckland - Albert-Eden</t>
  </si>
  <si>
    <t>Auckland - Devonport-Takapuna</t>
  </si>
  <si>
    <t>Auckland - Franklin</t>
  </si>
  <si>
    <t>Auckland - Henderson-Massey</t>
  </si>
  <si>
    <t>Auckland - Hibiscus and Bays</t>
  </si>
  <si>
    <t>Auckland - Howick</t>
  </si>
  <si>
    <t>Auckland - Manurewa</t>
  </si>
  <si>
    <t>Auckland - Papakura</t>
  </si>
  <si>
    <t>Auckland - Rodney</t>
  </si>
  <si>
    <t>Auckland - Upper Harbour</t>
  </si>
  <si>
    <t>Auckland - Waiheke</t>
  </si>
  <si>
    <t>Auckland - Whau</t>
  </si>
  <si>
    <t>Buller District</t>
  </si>
  <si>
    <t>Carterton District</t>
  </si>
  <si>
    <t>Central Hawke's Bay District</t>
  </si>
  <si>
    <t>Central Otago District</t>
  </si>
  <si>
    <t>Chatham Islands Territory</t>
  </si>
  <si>
    <t>Christchurch City</t>
  </si>
  <si>
    <t>Clutha District</t>
  </si>
  <si>
    <t>Dunedin City</t>
  </si>
  <si>
    <t>Far North District</t>
  </si>
  <si>
    <t>Gisborne District</t>
  </si>
  <si>
    <t>Gore District</t>
  </si>
  <si>
    <t>Grey District</t>
  </si>
  <si>
    <t>Hamilton City</t>
  </si>
  <si>
    <t>Hastings District</t>
  </si>
  <si>
    <t>Hauraki District</t>
  </si>
  <si>
    <t>Horowhenua District</t>
  </si>
  <si>
    <t>Hurunui District</t>
  </si>
  <si>
    <t>Invercargill City</t>
  </si>
  <si>
    <t>Kaikoura District</t>
  </si>
  <si>
    <t>Kaipara District</t>
  </si>
  <si>
    <t>Kapiti Coast District</t>
  </si>
  <si>
    <t>Kawerau District</t>
  </si>
  <si>
    <t>Lower Hutt City</t>
  </si>
  <si>
    <t>Mackenzie District</t>
  </si>
  <si>
    <t>Manawatu District</t>
  </si>
  <si>
    <t>Marlborough District</t>
  </si>
  <si>
    <t>Masterton District</t>
  </si>
  <si>
    <t>Matamata-Piako District</t>
  </si>
  <si>
    <t>Napier City</t>
  </si>
  <si>
    <t>Nelson City</t>
  </si>
  <si>
    <t>New Plymouth District</t>
  </si>
  <si>
    <t>Palmerston North City</t>
  </si>
  <si>
    <t>Porirua City</t>
  </si>
  <si>
    <t>Queenstown-Lakes District</t>
  </si>
  <si>
    <t>Rangitikei District</t>
  </si>
  <si>
    <t>Rotorua District</t>
  </si>
  <si>
    <t>Ruapehu District</t>
  </si>
  <si>
    <t>Selwyn District</t>
  </si>
  <si>
    <t>South Taranaki District</t>
  </si>
  <si>
    <t>South Waikato District</t>
  </si>
  <si>
    <t>South Wairarapa District</t>
  </si>
  <si>
    <t>Southland District</t>
  </si>
  <si>
    <t>Stratford District</t>
  </si>
  <si>
    <t>Tararua District</t>
  </si>
  <si>
    <t>Tasman District</t>
  </si>
  <si>
    <t>Taupo District</t>
  </si>
  <si>
    <t>Tauranga City</t>
  </si>
  <si>
    <t>Thames-Coromandel District</t>
  </si>
  <si>
    <t>Timaru District</t>
  </si>
  <si>
    <t>Upper Hutt City</t>
  </si>
  <si>
    <t>Waikato District</t>
  </si>
  <si>
    <t>Waimakariri District</t>
  </si>
  <si>
    <t>Waimate District</t>
  </si>
  <si>
    <t>Waipa District</t>
  </si>
  <si>
    <t>Wairoa District</t>
  </si>
  <si>
    <t>Waitaki District</t>
  </si>
  <si>
    <t>Waitomo District</t>
  </si>
  <si>
    <t>Wellington City</t>
  </si>
  <si>
    <t>Western Bay of Plenty District</t>
  </si>
  <si>
    <t>Westland District</t>
  </si>
  <si>
    <t>Whakatane District</t>
  </si>
  <si>
    <t>Whanganui District</t>
  </si>
  <si>
    <t>Whangarei District</t>
  </si>
  <si>
    <t>Region: Te Mahau Takiwā</t>
  </si>
  <si>
    <t>Asian</t>
  </si>
  <si>
    <t>European/Pākehā</t>
  </si>
  <si>
    <t>Māori</t>
  </si>
  <si>
    <t>MELAA</t>
  </si>
  <si>
    <t>No Response</t>
  </si>
  <si>
    <t>Other</t>
  </si>
  <si>
    <t>Pacific</t>
  </si>
  <si>
    <t>Full Time</t>
  </si>
  <si>
    <t>Part Time</t>
  </si>
  <si>
    <t>Not Stated/Another Gender</t>
  </si>
  <si>
    <t>Auckland Region</t>
  </si>
  <si>
    <t>Bay of Plenty Region</t>
  </si>
  <si>
    <t>Canterbury Region</t>
  </si>
  <si>
    <t>Chatham Is. County</t>
  </si>
  <si>
    <t>Gisborne Region</t>
  </si>
  <si>
    <t>Hawke's Bay Region</t>
  </si>
  <si>
    <t>Marlborough Region</t>
  </si>
  <si>
    <t>Nelson Region</t>
  </si>
  <si>
    <t>Northland Region</t>
  </si>
  <si>
    <t>Otago Region</t>
  </si>
  <si>
    <t>Southland Region</t>
  </si>
  <si>
    <t>Taranaki Region</t>
  </si>
  <si>
    <t>Tasman Region</t>
  </si>
  <si>
    <t>Waikato Region</t>
  </si>
  <si>
    <t>Wellington Region</t>
  </si>
  <si>
    <t>West Coast Region</t>
  </si>
  <si>
    <t>Bay of Plenty/Waiariki</t>
  </si>
  <si>
    <t>Canterbury/Chatham Islands</t>
  </si>
  <si>
    <t>Hawke's Bay/Tairāwhiti</t>
  </si>
  <si>
    <t>Nelson/Marlborough/West Coast</t>
  </si>
  <si>
    <t>Otago/Southland</t>
  </si>
  <si>
    <t>Tai Tokerau</t>
  </si>
  <si>
    <t>Taranaki/Whanganui/Manawatū</t>
  </si>
  <si>
    <t>Waikato</t>
  </si>
  <si>
    <t>Wellington</t>
  </si>
  <si>
    <t>Te Tai Raro (North)</t>
  </si>
  <si>
    <t>Te Tai Runga (South)</t>
  </si>
  <si>
    <t>Te Tai Whenua (Central)</t>
  </si>
  <si>
    <t>Above Average</t>
  </si>
  <si>
    <t>Average</t>
  </si>
  <si>
    <t>Below Average</t>
  </si>
  <si>
    <t>Few</t>
  </si>
  <si>
    <t>Fewest</t>
  </si>
  <si>
    <t>Many</t>
  </si>
  <si>
    <t>Most</t>
  </si>
  <si>
    <t>Unassigned</t>
  </si>
  <si>
    <t>Equity Index Band</t>
  </si>
  <si>
    <t>School: Equity Index Band</t>
  </si>
  <si>
    <t>This workbook contains data on the FTTE totals broken down by a range of selected dimensions listed below.</t>
  </si>
  <si>
    <t>FTTE measures the hours worked by a teacher across a year in relation to those worked by a full time teacher who works the whole year. In calculating the total FTTE of all teachers across the country, individual teacher FTTEs are added together to give the total FTTE.</t>
  </si>
  <si>
    <t>Designation</t>
  </si>
  <si>
    <t>Primary</t>
  </si>
  <si>
    <t>Secondary</t>
  </si>
  <si>
    <t>Cluster Manager RTLB</t>
  </si>
  <si>
    <t>Principal</t>
  </si>
  <si>
    <t>Teacher</t>
  </si>
  <si>
    <t>Teacher - Learning Support</t>
  </si>
  <si>
    <t>Teacher - Resr Hearing Imp</t>
  </si>
  <si>
    <t>Teacher - Resr Learning Behvr</t>
  </si>
  <si>
    <t>Teacher - Resr Literacy</t>
  </si>
  <si>
    <t>Teacher - Resr Maori</t>
  </si>
  <si>
    <t>Teacher - Resr Visually Imp</t>
  </si>
  <si>
    <t>Teacher - Te Atakura</t>
  </si>
  <si>
    <t>Teacher FTTE</t>
  </si>
  <si>
    <t>The type of teaching role a teacher works as their main role during the year.</t>
  </si>
  <si>
    <t xml:space="preserve">Full Time Teacher Equivalent (FTTE) Data for Regular (Permanent and Fixed Term) Teachers in State and State Integrated Schools by Sector </t>
  </si>
  <si>
    <t>Full Time Teacher Equivalent (FTTE) Data for Regular (Permanent and Fixed Term) Teachers in State and State Integrated Schools by Designation</t>
  </si>
  <si>
    <t>Full Time Teacher Equivalent (FTTE) Data for Regular (Permanent and Fixed Term) Teachers in State and State Integrated Schools by Employment Type</t>
  </si>
  <si>
    <t>Full Time Teacher Equivalent (FTTE) Data for Regular (Permanent and Fixed Term) Teachers in State and State Integrated Schools by Full/Part Time</t>
  </si>
  <si>
    <t>Full Time Teacher Equivalent (FTTE) Data for Regular (Permanent and Fixed Term) Teachers in State and State Integrated Schools by Ethnic Group</t>
  </si>
  <si>
    <t>Full Time Teacher Equivalent (FTTE) Data for Regular (Permanent and Fixed Term) Teachers in State and State Integrated Schools by Gender</t>
  </si>
  <si>
    <t>Full Time Teacher Equivalent (FTTE) Data for Regular (Permanent and Fixed Term) Teachers in State and State Integrated Schools by School Gender</t>
  </si>
  <si>
    <t>Full Time Teacher Equivalent (FTTE) Data for Regular (Permanent and Fixed Term) Teachers in State and State Integrated Schools by Urban/Rural</t>
  </si>
  <si>
    <t>Full Time Teacher Equivalent (FTTE) Data for Regular (Permanent and Fixed Term) Teachers in State and State Integrated Schools by Decile</t>
  </si>
  <si>
    <t>Full Time Teacher Equivalent (FTTE) Data for Regular (Permanent and Fixed Term) Teachers in State and State Integrated Schools by Grouped Decile</t>
  </si>
  <si>
    <t>Full Time Teacher Equivalent (FTTE) Data for Regular (Permanent and Fixed Term) Teachers in State and State Integrated Schools by Socioeconomic Barriers (School Equity Index Band)</t>
  </si>
  <si>
    <t>Full Time Teacher Equivalent (FTTE) Data for Regular (Permanent and Fixed Term) Teachers in State and State Integrated Schools by Territorial Authority</t>
  </si>
  <si>
    <t>Full Time Teacher Equivalent (FTTE) Data for Regular (Permanent and Fixed Term) Teachers in State and State Integrated Schools by Regional Council</t>
  </si>
  <si>
    <t>Full Time Teacher Equivalent (FTTE) Data for Regular (Permanent and Fixed Term) Teachers in State and State Integrated Schools</t>
  </si>
  <si>
    <t>Only regular (permanent and fixed term) teachers are included in this data - day relief teachers are not included.</t>
  </si>
  <si>
    <t>Shortcuts</t>
  </si>
  <si>
    <t>Tāmaki Herenga Manawa</t>
  </si>
  <si>
    <t>Tāmaki Herenga Tāngata</t>
  </si>
  <si>
    <t>Tāmaki Herenga Waka</t>
  </si>
  <si>
    <t>Fewer</t>
  </si>
  <si>
    <t>Moderate</t>
  </si>
  <si>
    <t>More</t>
  </si>
  <si>
    <t>Manawatū-Whanganui Region</t>
  </si>
  <si>
    <t>Auckland - Maungakiekie-Tāmaki</t>
  </si>
  <si>
    <t>Auckland - Aotea/Great Barrier</t>
  </si>
  <si>
    <t>Auckland - Kaipātiki</t>
  </si>
  <si>
    <t>Auckland - Māngere-Ōtāhuhu</t>
  </si>
  <si>
    <t>Auckland - Waitākere Ranges</t>
  </si>
  <si>
    <t>Auckland - Puketāpapa</t>
  </si>
  <si>
    <t>Auckland - Ōtara-Papatoetoe</t>
  </si>
  <si>
    <t>Auckland - Waitematā</t>
  </si>
  <si>
    <t>Auckland - Ōrākei</t>
  </si>
  <si>
    <t>Ōtorohanga District</t>
  </si>
  <si>
    <t>Ōpōtiki District</t>
  </si>
  <si>
    <t>Teachers are grouped into the primary or secondary sector depending on the type of the school they work in. The primary sector includes all primary schools, intermediates and special schools. The secondary sector includes all secondary schools and composite schools (including Te Kura, the correspondence school).</t>
  </si>
  <si>
    <t>Teacher: Designation</t>
  </si>
  <si>
    <t>The gender of the students that a school caters for, for example, co-educational, or single sex.</t>
  </si>
  <si>
    <t>The Equity Index Band of a school is an indicator of the relative degree of socioeconomic barriers to educational achievement faced by students at the school, and is intended as a tool for analysing and reporting on socioeconomic trends in education data. Equity Index Bands are derived from the Equity Index used for school funding. There are seven Equity Index Bands each containing a similar number of schools. In order of increasing socioeconomic barriers the bands are named: “Fewest”, “Few”, “Below Average”, “Average”, “Above Average”, “Many”, and “Most”.
While the equity index has been in use only since 2023, here Equity Index Bands are used from 2019 onwards. This is done using 2023 Equity index numbers in order to provide a time series for socioeconomic analysis, as 2023 EQI numbers provide a reasonable estimation of the socioeconomic circumstances of a school's learners back to 2019.
Some schools are not assigned an Equity index band and are included under "Not Applicable". This includes:
     All private schools (these schools do not have an Equity Index number)
     Te Aho o Te Kura Pounamu (the unique nature of this school means that it is inappropriate for inclusion within an Equity Index Band or Group)
     Schools which are assigned a notional Equity Index number. These include Teen Parent Units, Activity Centres, Regional Health Schools, some specialist schools, and a small 
     number of very small schools. These schools are assigned the maximum Equity Index number to reflect either the particular challenges unique to those settings, and/or limitations 
     on data availability.</t>
  </si>
  <si>
    <t>School: Equity Index Group</t>
  </si>
  <si>
    <t>There are three groups of schools formed by collapsing the seven Equity Index Bands as follows. The “Fewest” and “Few” Equity Index Bands are combined to form the “Fewer” Equity Index Group. The “Many” and “Most” Equity Index Bands are combined to form the “More” Equity Index Group. The remaining Equity Index Bands are combined to form the “Moderate” Equity Index Group.</t>
  </si>
  <si>
    <t>Relationship between the Schooling Equity Index, Equity Index bands and Equity Index Groups</t>
  </si>
  <si>
    <t>Up until 2022, decile was used by the Ministry as a mechanism for determining the level of equity funding that schools receive schools, and we have also used this as a way to understand socioeconomic trends in education data. From 2023 onward this has been replaced by the Schooling Equity Index.
Schools were assigned a socioeconomic score based on five census derived socioeconomic factors. Decile 1 schools are the 10% of schools with the greatest proportion of students from the most socioeconomically deprived areas.  Decile 10 schools are the 10% of schools with the greatest proportion of students from the least socioeconomically deprived areas.</t>
  </si>
  <si>
    <t>School decile grouped into Low (Decile 1-3), Medium (Decile 4-7), and High (Decile 8-10). Available up until 2022.</t>
  </si>
  <si>
    <t>A grouping based on the size and nature of the area of the school where the employee works their main teaching role for the year. These groupings are based on Statistics New Zealand definitions:</t>
  </si>
  <si>
    <t xml:space="preserve">The Education Region linked to the school where the teacher is employed. </t>
  </si>
  <si>
    <t>The Territorial Authority area linked to the school where the teacher is employed. Territorial Authority boundaries are defined by Statistics New Zealand.</t>
  </si>
  <si>
    <t>The Te Mahau Takiwā linked to the school where the teacher works their main teaching role for the year. Te Mahau Takiwā are Ministry of Education regional groupings used for operational purposes.</t>
  </si>
  <si>
    <t>Equity Index Group</t>
  </si>
  <si>
    <t>Full Time Teacher Equivalent (FTTE) Data for Regular (Permanent and Fixed Term) Teachers in State and State Integrated Schools by Socioeconomic Barriers (School Equity Index Group)</t>
  </si>
  <si>
    <t>Full Time Teacher Equivalent (FTTE) Data for Regular (Permanent and Fixed Term) Teachers in State and State Integrated Schools by Education Region</t>
  </si>
  <si>
    <t>Full Time Teacher Equivalent (FTTE) Data for Regular (Permanent and Fixed Term) Teachers in State and State Integrated Schools by Age Group</t>
  </si>
  <si>
    <t>Full Time Teacher Equivalent (FTTE) Data for Regular (Permanent and Fixed Term) Teachers in State and State Integrated Schools by Takiwā</t>
  </si>
  <si>
    <t>Large urban area</t>
  </si>
  <si>
    <t>Major urban area</t>
  </si>
  <si>
    <t>Medium urban area</t>
  </si>
  <si>
    <t>Rural other</t>
  </si>
  <si>
    <t>Rural settlement</t>
  </si>
  <si>
    <t>Small urban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</si>
</sst>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font>
      <sz val="11"/>
      <color theme="1"/>
      <name val="Calibri"/>
      <family val="2"/>
      <scheme val="minor"/>
    </font>
    <font>
      <u/>
      <sz val="11"/>
      <color theme="10"/>
      <name val="Calibri"/>
      <family val="2"/>
      <scheme val="minor"/>
    </font>
    <font>
      <sz val="11"/>
      <color rgb="FF000000"/>
      <name val="Calibri"/>
      <family val="2"/>
      <scheme val="minor"/>
    </font>
    <font>
      <sz val="20"/>
      <color rgb="FF000000"/>
      <name val="Calibri"/>
      <family val="2"/>
      <scheme val="minor"/>
    </font>
    <font>
      <sz val="11"/>
      <color rgb="FF000000"/>
      <name val="Courier New"/>
      <family val="2"/>
    </font>
    <font>
      <b/>
      <sz val="18"/>
      <color theme="1"/>
      <name val="Arial"/>
      <family val="2"/>
    </font>
    <font>
      <sz val="10"/>
      <color theme="1"/>
      <name val="Arial"/>
      <family val="2"/>
    </font>
    <font>
      <sz val="10"/>
      <name val="Arial"/>
      <family val="2"/>
    </font>
    <font>
      <b/>
      <sz val="10"/>
      <color theme="1"/>
      <name val="Arial"/>
      <family val="2"/>
    </font>
    <font>
      <b/>
      <sz val="10"/>
      <color rgb="FF000000"/>
      <name val="Arial"/>
      <family val="2"/>
    </font>
    <font>
      <sz val="10"/>
      <name val="MS Sans Serif"/>
      <family val="2"/>
    </font>
    <font>
      <b/>
      <sz val="10"/>
      <name val="Arial"/>
      <family val="2"/>
    </font>
    <font>
      <sz val="8"/>
      <color rgb="FF000000"/>
      <name val="ArialNarrow"/>
    </font>
    <font>
      <b/>
      <sz val="18"/>
      <color theme="1"/>
      <name val="Calibri"/>
      <family val="2"/>
      <scheme val="minor"/>
    </font>
    <font>
      <sz val="11"/>
      <color theme="1"/>
      <name val="Calibri"/>
      <family val="2"/>
      <scheme val="minor"/>
    </font>
    <font>
      <sz val="11"/>
      <color theme="1"/>
      <name val="Calibri"/>
      <family val="2"/>
    </font>
    <font>
      <b/>
      <sz val="11"/>
      <color theme="1"/>
      <name val="Calibri"/>
      <family val="2"/>
      <scheme val="minor"/>
    </font>
    <font>
      <b/>
      <sz val="11"/>
      <color theme="0"/>
      <name val="Calibri"/>
      <family val="2"/>
      <scheme val="minor"/>
    </font>
    <font>
      <sz val="11"/>
      <color theme="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indexed="65"/>
        <bgColor rgb="FF000000"/>
      </patternFill>
    </fill>
    <fill>
      <patternFill patternType="solid">
        <fgColor theme="4" tint="-0.249977111117893"/>
        <bgColor theme="4" tint="-0.249977111117893"/>
      </patternFill>
    </fill>
    <fill>
      <patternFill patternType="solid">
        <fgColor theme="4" tint="0.39997558519241921"/>
        <bgColor theme="4" tint="0.39997558519241921"/>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theme="3"/>
      </left>
      <right/>
      <top style="thin">
        <color theme="3"/>
      </top>
      <bottom style="thin">
        <color theme="4" tint="-0.249977111117893"/>
      </bottom>
      <diagonal/>
    </border>
    <border>
      <left/>
      <right/>
      <top style="thin">
        <color theme="3"/>
      </top>
      <bottom style="thin">
        <color theme="4" tint="-0.249977111117893"/>
      </bottom>
      <diagonal/>
    </border>
    <border>
      <left/>
      <right style="thin">
        <color theme="3"/>
      </right>
      <top style="thin">
        <color theme="3"/>
      </top>
      <bottom style="thin">
        <color theme="4" tint="-0.249977111117893"/>
      </bottom>
      <diagonal/>
    </border>
    <border>
      <left style="thin">
        <color theme="3"/>
      </left>
      <right/>
      <top style="thin">
        <color theme="4" tint="-0.249977111117893"/>
      </top>
      <bottom/>
      <diagonal/>
    </border>
    <border>
      <left/>
      <right/>
      <top style="thin">
        <color theme="4" tint="-0.249977111117893"/>
      </top>
      <bottom/>
      <diagonal/>
    </border>
    <border>
      <left/>
      <right/>
      <top style="thin">
        <color theme="4" tint="-0.249977111117893"/>
      </top>
      <bottom style="thin">
        <color theme="4" tint="0.59999389629810485"/>
      </bottom>
      <diagonal/>
    </border>
    <border>
      <left/>
      <right style="thin">
        <color theme="3"/>
      </right>
      <top style="thin">
        <color theme="4" tint="-0.249977111117893"/>
      </top>
      <bottom style="thin">
        <color theme="4" tint="0.59999389629810485"/>
      </bottom>
      <diagonal/>
    </border>
    <border>
      <left style="thin">
        <color theme="3"/>
      </left>
      <right/>
      <top style="thin">
        <color theme="4" tint="-0.249977111117893"/>
      </top>
      <bottom style="thin">
        <color theme="4" tint="0.39997558519241921"/>
      </bottom>
      <diagonal/>
    </border>
    <border>
      <left/>
      <right/>
      <top style="thin">
        <color theme="4" tint="-0.249977111117893"/>
      </top>
      <bottom style="thin">
        <color theme="4" tint="-0.249977111117893"/>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style="thin">
        <color theme="3"/>
      </right>
      <top style="thin">
        <color theme="4" tint="-0.249977111117893"/>
      </top>
      <bottom style="thin">
        <color theme="4" tint="-0.249977111117893"/>
      </bottom>
      <diagonal/>
    </border>
    <border>
      <left style="thin">
        <color auto="1"/>
      </left>
      <right/>
      <top style="thin">
        <color theme="4" tint="0.39997558519241921"/>
      </top>
      <bottom style="thin">
        <color theme="4" tint="0.39997558519241921"/>
      </bottom>
      <diagonal/>
    </border>
    <border>
      <left style="thin">
        <color theme="4" tint="-0.249977111117893"/>
      </left>
      <right style="thin">
        <color theme="4" tint="-0.249977111117893"/>
      </right>
      <top style="thin">
        <color auto="1"/>
      </top>
      <bottom style="thin">
        <color auto="1"/>
      </bottom>
      <diagonal/>
    </border>
    <border>
      <left style="thin">
        <color theme="3"/>
      </left>
      <right/>
      <top style="thin">
        <color theme="4" tint="0.39997558519241921"/>
      </top>
      <bottom style="thin">
        <color theme="4" tint="0.79998168889431442"/>
      </bottom>
      <diagonal/>
    </border>
    <border>
      <left style="thin">
        <color auto="1"/>
      </left>
      <right/>
      <top style="thin">
        <color auto="1"/>
      </top>
      <bottom style="thin">
        <color theme="4" tint="0.39997558519241921"/>
      </bottom>
      <diagonal/>
    </border>
    <border>
      <left style="thin">
        <color theme="3"/>
      </left>
      <right/>
      <top style="thin">
        <color theme="4" tint="0.39997558519241921"/>
      </top>
      <bottom style="thin">
        <color theme="4" tint="0.39997558519241921"/>
      </bottom>
      <diagonal/>
    </border>
    <border>
      <left style="thin">
        <color auto="1"/>
      </left>
      <right/>
      <top style="thin">
        <color theme="4" tint="0.39997558519241921"/>
      </top>
      <bottom style="thin">
        <color theme="4" tint="0.79998168889431442"/>
      </bottom>
      <diagonal/>
    </border>
  </borders>
  <cellStyleXfs count="4">
    <xf numFmtId="0" fontId="0" fillId="0" borderId="0"/>
    <xf numFmtId="0" fontId="1" fillId="0" borderId="0" applyNumberFormat="0" applyFill="0" applyBorder="0" applyAlignment="0" applyProtection="0"/>
    <xf numFmtId="0" fontId="10" fillId="0" borderId="0"/>
    <xf numFmtId="0" fontId="14" fillId="0" borderId="0"/>
  </cellStyleXfs>
  <cellXfs count="97">
    <xf numFmtId="0" fontId="0" fillId="0" borderId="0" xfId="0"/>
    <xf numFmtId="0" fontId="2" fillId="2" borderId="0" xfId="0" applyFont="1" applyFill="1"/>
    <xf numFmtId="0" fontId="1" fillId="2" borderId="0" xfId="1" applyFill="1"/>
    <xf numFmtId="0" fontId="4" fillId="2" borderId="0" xfId="0" applyFont="1" applyFill="1"/>
    <xf numFmtId="0" fontId="0" fillId="2" borderId="0" xfId="0" applyFill="1"/>
    <xf numFmtId="0" fontId="5" fillId="2" borderId="0" xfId="0" applyFont="1" applyFill="1"/>
    <xf numFmtId="0" fontId="6" fillId="2" borderId="0" xfId="0" applyFont="1" applyFill="1"/>
    <xf numFmtId="0" fontId="7" fillId="2" borderId="0" xfId="0" applyFont="1" applyFill="1"/>
    <xf numFmtId="0" fontId="8" fillId="2" borderId="0" xfId="0" applyFont="1" applyFill="1"/>
    <xf numFmtId="0" fontId="9" fillId="3" borderId="1" xfId="0" applyFont="1" applyFill="1" applyBorder="1" applyAlignment="1">
      <alignment horizontal="left" vertical="center" wrapText="1"/>
    </xf>
    <xf numFmtId="0" fontId="0" fillId="0" borderId="0" xfId="0" pivotButton="1"/>
    <xf numFmtId="14" fontId="0" fillId="2" borderId="0" xfId="0" applyNumberFormat="1" applyFill="1"/>
    <xf numFmtId="0" fontId="2" fillId="0" borderId="0" xfId="0" applyFont="1"/>
    <xf numFmtId="0" fontId="12" fillId="4" borderId="0" xfId="0" applyFont="1" applyFill="1" applyAlignment="1">
      <alignment vertical="top"/>
    </xf>
    <xf numFmtId="3" fontId="0" fillId="0" borderId="0" xfId="0" applyNumberFormat="1"/>
    <xf numFmtId="0" fontId="15" fillId="0" borderId="0" xfId="3" applyFont="1"/>
    <xf numFmtId="0" fontId="9" fillId="3" borderId="1" xfId="0" applyFont="1" applyFill="1" applyBorder="1" applyAlignment="1">
      <alignment horizontal="left" vertical="center"/>
    </xf>
    <xf numFmtId="0" fontId="11" fillId="2" borderId="13" xfId="0" applyFont="1" applyFill="1" applyBorder="1" applyAlignment="1">
      <alignment horizontal="left" vertical="center" wrapText="1"/>
    </xf>
    <xf numFmtId="0" fontId="11" fillId="2" borderId="5" xfId="0" applyFont="1" applyFill="1" applyBorder="1" applyAlignment="1">
      <alignment horizontal="left" vertical="center" wrapText="1"/>
    </xf>
    <xf numFmtId="0" fontId="17" fillId="5" borderId="17" xfId="0" applyFont="1" applyFill="1" applyBorder="1"/>
    <xf numFmtId="0" fontId="18" fillId="5" borderId="17" xfId="0" applyFont="1" applyFill="1" applyBorder="1"/>
    <xf numFmtId="0" fontId="18" fillId="5" borderId="18" xfId="0" applyFont="1" applyFill="1" applyBorder="1"/>
    <xf numFmtId="0" fontId="18" fillId="5" borderId="19" xfId="0" applyFont="1" applyFill="1" applyBorder="1"/>
    <xf numFmtId="0" fontId="18" fillId="5" borderId="20" xfId="0" applyFont="1" applyFill="1" applyBorder="1"/>
    <xf numFmtId="0" fontId="18" fillId="5" borderId="21" xfId="0" applyFont="1" applyFill="1" applyBorder="1"/>
    <xf numFmtId="0" fontId="18" fillId="5" borderId="22" xfId="0" applyFont="1" applyFill="1" applyBorder="1"/>
    <xf numFmtId="0" fontId="18" fillId="6" borderId="23" xfId="0" applyFont="1" applyFill="1" applyBorder="1"/>
    <xf numFmtId="0" fontId="0" fillId="0" borderId="24" xfId="0" applyBorder="1"/>
    <xf numFmtId="0" fontId="18" fillId="6" borderId="27" xfId="0" applyFont="1" applyFill="1" applyBorder="1"/>
    <xf numFmtId="0" fontId="0" fillId="0" borderId="3" xfId="0" applyBorder="1"/>
    <xf numFmtId="0" fontId="18" fillId="6" borderId="29" xfId="0" applyFont="1" applyFill="1" applyBorder="1"/>
    <xf numFmtId="0" fontId="18" fillId="6" borderId="30" xfId="0" applyFont="1" applyFill="1" applyBorder="1"/>
    <xf numFmtId="0" fontId="18" fillId="6" borderId="31" xfId="0" applyFont="1" applyFill="1" applyBorder="1"/>
    <xf numFmtId="0" fontId="18" fillId="6" borderId="32" xfId="0" applyFont="1" applyFill="1" applyBorder="1"/>
    <xf numFmtId="0" fontId="17" fillId="5" borderId="16" xfId="0" applyFont="1" applyFill="1" applyBorder="1"/>
    <xf numFmtId="3" fontId="0" fillId="0" borderId="25" xfId="0" applyNumberFormat="1" applyBorder="1"/>
    <xf numFmtId="3" fontId="0" fillId="0" borderId="24" xfId="0" applyNumberFormat="1" applyBorder="1"/>
    <xf numFmtId="3" fontId="0" fillId="0" borderId="26" xfId="0" applyNumberFormat="1" applyBorder="1"/>
    <xf numFmtId="3" fontId="0" fillId="0" borderId="28" xfId="0" applyNumberFormat="1" applyBorder="1"/>
    <xf numFmtId="3" fontId="0" fillId="0" borderId="3" xfId="0" applyNumberFormat="1" applyBorder="1"/>
    <xf numFmtId="3" fontId="0" fillId="0" borderId="4" xfId="0" applyNumberFormat="1" applyBorder="1"/>
    <xf numFmtId="0" fontId="2" fillId="2" borderId="0" xfId="0" applyFont="1" applyFill="1"/>
    <xf numFmtId="0" fontId="3" fillId="2" borderId="0" xfId="0" applyFont="1" applyFill="1" applyAlignment="1">
      <alignment horizontal="left"/>
    </xf>
    <xf numFmtId="0" fontId="7" fillId="2" borderId="2" xfId="0" applyFont="1" applyFill="1" applyBorder="1" applyAlignment="1">
      <alignment horizontal="left" vertical="center" wrapText="1"/>
    </xf>
    <xf numFmtId="0" fontId="7" fillId="2" borderId="3" xfId="0" applyFont="1" applyFill="1" applyBorder="1" applyAlignment="1">
      <alignment horizontal="left" vertical="center" wrapText="1"/>
    </xf>
    <xf numFmtId="0" fontId="7" fillId="2" borderId="4" xfId="0" applyFont="1" applyFill="1" applyBorder="1" applyAlignment="1">
      <alignment horizontal="left" vertical="center" wrapText="1"/>
    </xf>
    <xf numFmtId="0" fontId="9" fillId="3" borderId="8" xfId="0" applyFont="1" applyFill="1" applyBorder="1" applyAlignment="1">
      <alignment horizontal="left" vertical="center"/>
    </xf>
    <xf numFmtId="0" fontId="9" fillId="3" borderId="15" xfId="0" applyFont="1" applyFill="1" applyBorder="1" applyAlignment="1">
      <alignment horizontal="left" vertical="center"/>
    </xf>
    <xf numFmtId="0" fontId="7" fillId="2" borderId="10" xfId="0" applyFont="1" applyFill="1" applyBorder="1" applyAlignment="1">
      <alignment horizontal="left" vertical="center" wrapText="1"/>
    </xf>
    <xf numFmtId="0" fontId="7" fillId="2" borderId="11" xfId="0" applyFont="1" applyFill="1" applyBorder="1" applyAlignment="1">
      <alignment horizontal="left" vertical="center" wrapText="1"/>
    </xf>
    <xf numFmtId="0" fontId="7" fillId="2" borderId="6" xfId="0" applyFont="1" applyFill="1" applyBorder="1" applyAlignment="1">
      <alignment horizontal="left" vertical="center" wrapText="1"/>
    </xf>
    <xf numFmtId="0" fontId="7" fillId="2" borderId="7" xfId="0" applyFont="1" applyFill="1" applyBorder="1" applyAlignment="1">
      <alignment horizontal="left" vertical="center" wrapText="1"/>
    </xf>
    <xf numFmtId="0" fontId="9" fillId="3" borderId="12" xfId="0" applyFont="1" applyFill="1" applyBorder="1" applyAlignment="1">
      <alignment horizontal="left" vertical="center"/>
    </xf>
    <xf numFmtId="0" fontId="7" fillId="2" borderId="9"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7" fillId="2" borderId="0" xfId="0" applyFont="1" applyFill="1" applyAlignment="1">
      <alignment horizontal="left" vertical="center" wrapText="1"/>
    </xf>
    <xf numFmtId="0" fontId="7" fillId="2" borderId="14" xfId="0" applyFont="1" applyFill="1" applyBorder="1" applyAlignment="1">
      <alignment horizontal="left" vertical="center" wrapText="1"/>
    </xf>
    <xf numFmtId="0" fontId="11" fillId="2" borderId="13" xfId="0" applyFont="1" applyFill="1"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16" fillId="3" borderId="8" xfId="0" applyFont="1" applyFill="1" applyBorder="1" applyAlignment="1">
      <alignment horizontal="left" vertical="center"/>
    </xf>
    <xf numFmtId="0" fontId="16" fillId="3" borderId="12" xfId="0" applyFont="1" applyFill="1" applyBorder="1" applyAlignment="1">
      <alignment horizontal="left" vertical="center"/>
    </xf>
    <xf numFmtId="0" fontId="16" fillId="3" borderId="15" xfId="0" applyFont="1" applyFill="1" applyBorder="1" applyAlignment="1">
      <alignment horizontal="left" vertic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3" xfId="0" applyFont="1" applyBorder="1" applyAlignment="1">
      <alignment horizontal="left" vertical="center" wrapText="1"/>
    </xf>
    <xf numFmtId="0" fontId="6" fillId="0" borderId="0" xfId="0" applyFont="1" applyAlignment="1">
      <alignment horizontal="left" vertical="center" wrapText="1"/>
    </xf>
    <xf numFmtId="0" fontId="6" fillId="0" borderId="14" xfId="0" applyFont="1" applyBorder="1" applyAlignment="1">
      <alignment horizontal="left"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16" fillId="3" borderId="8" xfId="0" applyFont="1" applyFill="1" applyBorder="1" applyAlignment="1">
      <alignment horizontal="left" vertical="center" wrapText="1"/>
    </xf>
    <xf numFmtId="0" fontId="16" fillId="3" borderId="12" xfId="0" applyFont="1" applyFill="1" applyBorder="1" applyAlignment="1">
      <alignment horizontal="left" vertical="center" wrapText="1"/>
    </xf>
    <xf numFmtId="0" fontId="16" fillId="3" borderId="15" xfId="0" applyFont="1" applyFill="1" applyBorder="1" applyAlignment="1">
      <alignment horizontal="left"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0" xfId="0" applyFont="1" applyAlignment="1">
      <alignment horizontal="center" vertical="center" wrapText="1"/>
    </xf>
    <xf numFmtId="0" fontId="6" fillId="0" borderId="1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9" fillId="3" borderId="8" xfId="0" applyFont="1" applyFill="1" applyBorder="1" applyAlignment="1">
      <alignment horizontal="left" vertical="center" wrapText="1"/>
    </xf>
    <xf numFmtId="0" fontId="9" fillId="3" borderId="12" xfId="0" applyFont="1" applyFill="1" applyBorder="1" applyAlignment="1">
      <alignment horizontal="left" vertical="center" wrapText="1"/>
    </xf>
    <xf numFmtId="0" fontId="9" fillId="3" borderId="15" xfId="0" applyFont="1" applyFill="1" applyBorder="1" applyAlignment="1">
      <alignment horizontal="left" vertical="center" wrapText="1"/>
    </xf>
    <xf numFmtId="0" fontId="7" fillId="0" borderId="9" xfId="0" applyFont="1" applyBorder="1" applyAlignment="1">
      <alignment horizontal="left" vertical="center" wrapText="1"/>
    </xf>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3" xfId="0" applyFont="1" applyBorder="1" applyAlignment="1">
      <alignment horizontal="left" vertical="center" wrapText="1"/>
    </xf>
    <xf numFmtId="0" fontId="7" fillId="0" borderId="0" xfId="0" applyFont="1" applyAlignment="1">
      <alignment horizontal="left" vertical="center" wrapText="1"/>
    </xf>
    <xf numFmtId="0" fontId="7" fillId="0" borderId="14" xfId="0" applyFont="1" applyBorder="1" applyAlignment="1">
      <alignment horizontal="left" vertical="center" wrapText="1"/>
    </xf>
    <xf numFmtId="0" fontId="9" fillId="3" borderId="1" xfId="0" applyFont="1" applyFill="1" applyBorder="1" applyAlignment="1">
      <alignment horizontal="left" vertical="center"/>
    </xf>
    <xf numFmtId="0" fontId="7" fillId="2" borderId="5" xfId="0" applyFont="1" applyFill="1" applyBorder="1" applyAlignment="1">
      <alignment horizontal="left" vertical="center" wrapText="1"/>
    </xf>
    <xf numFmtId="0" fontId="13" fillId="0" borderId="0" xfId="0" applyFont="1" applyAlignment="1">
      <alignment horizontal="left"/>
    </xf>
  </cellXfs>
  <cellStyles count="4">
    <cellStyle name="Hyperlink" xfId="1" builtinId="8"/>
    <cellStyle name="Normal" xfId="0" builtinId="0"/>
    <cellStyle name="Normal 2" xfId="3" xr:uid="{EFA06A5E-94C9-429A-A85B-FD9F836B950E}"/>
    <cellStyle name="Normal 3" xfId="2" xr:uid="{889B9F5E-0F06-40DD-B624-208091C6FBD9}"/>
  </cellStyles>
  <dxfs count="21">
    <dxf>
      <border>
        <left style="thin">
          <color auto="1"/>
        </left>
        <right style="thin">
          <color auto="1"/>
        </right>
        <top style="thin">
          <color auto="1"/>
        </top>
        <bottom style="thin">
          <color auto="1"/>
        </bottom>
        <vertical style="thin">
          <color auto="1"/>
        </vertical>
        <horizontal style="thin">
          <color auto="1"/>
        </horizontal>
      </border>
    </dxf>
    <dxf>
      <fill>
        <patternFill>
          <bgColor theme="4"/>
        </patternFill>
      </fill>
    </dxf>
    <dxf>
      <fill>
        <patternFill>
          <bgColor theme="8" tint="0.79998168889431442"/>
        </patternFill>
      </fill>
    </dxf>
    <dxf>
      <fill>
        <patternFill>
          <bgColor theme="4" tint="0.59996337778862885"/>
        </patternFill>
      </fill>
    </dxf>
    <dxf>
      <fill>
        <patternFill>
          <bgColor theme="8" tint="0.79998168889431442"/>
        </patternFill>
      </fill>
      <border diagonalUp="0" diagonalDown="0">
        <left style="thin">
          <color auto="1"/>
        </left>
        <right style="thin">
          <color auto="1"/>
        </right>
        <top style="thin">
          <color auto="1"/>
        </top>
        <bottom style="thin">
          <color auto="1"/>
        </bottom>
        <vertical style="thin">
          <color auto="1"/>
        </vertical>
        <horizontal/>
      </border>
    </dxf>
    <dxf>
      <font>
        <b/>
        <i val="0"/>
        <color theme="0"/>
      </font>
      <fill>
        <patternFill>
          <bgColor theme="4"/>
        </patternFill>
      </fill>
      <border diagonalUp="0" diagonalDown="0">
        <left style="thin">
          <color auto="1"/>
        </left>
        <right style="thin">
          <color auto="1"/>
        </right>
        <top style="thin">
          <color auto="1"/>
        </top>
        <bottom style="thin">
          <color auto="1"/>
        </bottom>
        <vertical/>
        <horizontal/>
      </border>
    </dxf>
    <dxf>
      <fill>
        <patternFill>
          <bgColor theme="8" tint="0.79998168889431442"/>
        </patternFill>
      </fill>
      <border>
        <left style="thin">
          <color auto="1"/>
        </left>
        <right style="thin">
          <color auto="1"/>
        </right>
        <top style="thin">
          <color auto="1"/>
        </top>
        <bottom style="thin">
          <color auto="1"/>
        </bottom>
        <vertical style="thin">
          <color auto="1"/>
        </vertical>
        <horizontal style="thin">
          <color auto="1"/>
        </horizontal>
      </border>
    </dxf>
    <dxf>
      <border>
        <top style="thin">
          <color theme="4" tint="0.79998168889431442"/>
        </top>
        <bottom style="thin">
          <color theme="4" tint="0.79998168889431442"/>
        </bottom>
      </border>
    </dxf>
    <dxf>
      <border>
        <top style="thin">
          <color theme="4" tint="0.79998168889431442"/>
        </top>
        <bottom style="thin">
          <color theme="4" tint="0.79998168889431442"/>
        </bottom>
      </border>
    </dxf>
    <dxf>
      <fill>
        <patternFill patternType="solid">
          <fgColor theme="4" tint="0.79998168889431442"/>
          <bgColor theme="4" tint="0.79998168889431442"/>
        </patternFill>
      </fill>
      <border>
        <bottom style="thin">
          <color theme="4"/>
        </bottom>
      </border>
    </dxf>
    <dxf>
      <font>
        <color theme="0"/>
      </font>
      <fill>
        <patternFill patternType="solid">
          <fgColor theme="4" tint="0.39997558519241921"/>
          <bgColor theme="4" tint="0.39997558519241921"/>
        </patternFill>
      </fill>
      <border>
        <bottom style="thin">
          <color theme="4" tint="0.79998168889431442"/>
        </bottom>
        <horizontal style="thin">
          <color theme="4" tint="0.39997558519241921"/>
        </horizontal>
      </border>
    </dxf>
    <dxf>
      <border>
        <bottom style="thin">
          <color theme="4" tint="0.59999389629810485"/>
        </bottom>
      </border>
    </dxf>
    <dxf>
      <font>
        <b/>
        <color theme="1"/>
      </font>
      <fill>
        <patternFill patternType="solid">
          <fgColor theme="0" tint="-0.14999847407452621"/>
          <bgColor theme="0" tint="-0.14999847407452621"/>
        </patternFill>
      </fill>
    </dxf>
    <dxf>
      <font>
        <b/>
        <color theme="0"/>
      </font>
      <fill>
        <patternFill patternType="solid">
          <fgColor theme="4" tint="0.39997558519241921"/>
          <bgColor theme="4" tint="0.39997558519241921"/>
        </patternFill>
      </fill>
    </dxf>
    <dxf>
      <font>
        <b/>
        <color theme="0"/>
      </font>
    </dxf>
    <dxf>
      <border>
        <left style="thin">
          <color theme="4" tint="-0.249977111117893"/>
        </left>
        <right style="thin">
          <color theme="4" tint="-0.249977111117893"/>
        </right>
      </border>
    </dxf>
    <dxf>
      <border>
        <left style="thin">
          <color auto="1"/>
        </left>
        <right style="thin">
          <color auto="1"/>
        </right>
        <top style="thin">
          <color auto="1"/>
        </top>
        <bottom style="thin">
          <color auto="1"/>
        </bottom>
      </border>
    </dxf>
    <dxf>
      <border>
        <top style="thin">
          <color theme="4" tint="-0.249977111117893"/>
        </top>
        <bottom style="thin">
          <color theme="4" tint="-0.249977111117893"/>
        </bottom>
        <horizontal style="thin">
          <color theme="4" tint="-0.249977111117893"/>
        </horizontal>
      </border>
    </dxf>
    <dxf>
      <font>
        <b/>
        <color theme="1"/>
      </font>
      <border>
        <top style="double">
          <color theme="4" tint="-0.249977111117893"/>
        </top>
      </border>
    </dxf>
    <dxf>
      <font>
        <color theme="0"/>
      </font>
      <fill>
        <patternFill patternType="solid">
          <fgColor theme="4" tint="-0.249977111117893"/>
          <bgColor theme="4" tint="-0.249977111117893"/>
        </patternFill>
      </fill>
      <border>
        <horizontal style="thin">
          <color theme="4" tint="-0.249977111117893"/>
        </horizontal>
      </border>
    </dxf>
    <dxf>
      <font>
        <color theme="1"/>
      </font>
      <border>
        <left style="thin">
          <color theme="3"/>
        </left>
        <right style="thin">
          <color theme="3"/>
        </right>
        <top style="thin">
          <color theme="3"/>
        </top>
        <bottom style="thin">
          <color theme="3"/>
        </bottom>
        <vertical/>
        <horizontal/>
      </border>
    </dxf>
  </dxfs>
  <tableStyles count="2" defaultTableStyle="TableStyleMedium2" defaultPivotStyle="PivotStyleMedium2 -Custom">
    <tableStyle name="PivotStyleMedium2 -Custom" table="0" count="14" xr9:uid="{6FC71C1B-2E7C-4828-AFE4-0F3E1C394FBD}">
      <tableStyleElement type="wholeTable" dxfId="20"/>
      <tableStyleElement type="headerRow" dxfId="19"/>
      <tableStyleElement type="totalRow" dxfId="18"/>
      <tableStyleElement type="firstRowStripe" dxfId="17"/>
      <tableStyleElement type="secondRowStripe" dxfId="16"/>
      <tableStyleElement type="firstColumnStripe" dxfId="15"/>
      <tableStyleElement type="firstHeaderCell" dxfId="14"/>
      <tableStyleElement type="firstSubtotalRow" dxfId="13"/>
      <tableStyleElement type="secondSubtotalRow" dxfId="12"/>
      <tableStyleElement type="firstColumnSubheading" dxfId="11"/>
      <tableStyleElement type="firstRowSubheading" dxfId="10"/>
      <tableStyleElement type="secondRowSubheading" dxfId="9"/>
      <tableStyleElement type="pageFieldLabels" dxfId="8"/>
      <tableStyleElement type="pageFieldValues" dxfId="7"/>
    </tableStyle>
    <tableStyle name="PivotTable Style 1" table="0" count="7" xr9:uid="{0482C3F7-FB22-4839-BAE6-EC40BD363CB9}">
      <tableStyleElement type="wholeTable" dxfId="6"/>
      <tableStyleElement type="headerRow" dxfId="5"/>
      <tableStyleElement type="firstColumn" dxfId="4"/>
      <tableStyleElement type="firstRowStripe" dxfId="3"/>
      <tableStyleElement type="secondRowStripe" dxfId="2"/>
      <tableStyleElement type="secondColumnStripe" dxfId="1"/>
      <tableStyleElement type="secondColumnSubheading"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7.xml"/><Relationship Id="rId39" Type="http://schemas.openxmlformats.org/officeDocument/2006/relationships/sharedStrings" Target="sharedStrings.xml"/><Relationship Id="rId21" Type="http://schemas.openxmlformats.org/officeDocument/2006/relationships/pivotCacheDefinition" Target="pivotCache/pivotCacheDefinition2.xml"/><Relationship Id="rId34" Type="http://schemas.openxmlformats.org/officeDocument/2006/relationships/pivotCacheDefinition" Target="pivotCache/pivotCacheDefinition15.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pivotCacheDefinition" Target="pivotCache/pivotCacheDefinition10.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openxmlformats.org/officeDocument/2006/relationships/pivotCacheDefinition" Target="pivotCache/pivotCacheDefinition13.xml"/><Relationship Id="rId37" Type="http://schemas.openxmlformats.org/officeDocument/2006/relationships/connections" Target="connection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pivotCacheDefinition" Target="pivotCache/pivotCacheDefinition9.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2.xml"/><Relationship Id="rId44"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pivotCacheDefinition" Target="pivotCache/pivotCacheDefinition8.xml"/><Relationship Id="rId30" Type="http://schemas.openxmlformats.org/officeDocument/2006/relationships/pivotCacheDefinition" Target="pivotCache/pivotCacheDefinition11.xml"/><Relationship Id="rId35" Type="http://schemas.openxmlformats.org/officeDocument/2006/relationships/pivotCacheDefinition" Target="pivotCache/pivotCacheDefinition16.xml"/><Relationship Id="rId43" Type="http://schemas.openxmlformats.org/officeDocument/2006/relationships/customXml" Target="../customXml/item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6.xml"/><Relationship Id="rId33" Type="http://schemas.openxmlformats.org/officeDocument/2006/relationships/pivotCacheDefinition" Target="pivotCache/pivotCacheDefinition14.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123825</xdr:colOff>
      <xdr:row>32</xdr:row>
      <xdr:rowOff>123825</xdr:rowOff>
    </xdr:from>
    <xdr:to>
      <xdr:col>9</xdr:col>
      <xdr:colOff>473710</xdr:colOff>
      <xdr:row>46</xdr:row>
      <xdr:rowOff>71755</xdr:rowOff>
    </xdr:to>
    <xdr:pic>
      <xdr:nvPicPr>
        <xdr:cNvPr id="2" name="Picture 1">
          <a:extLst>
            <a:ext uri="{FF2B5EF4-FFF2-40B4-BE49-F238E27FC236}">
              <a16:creationId xmlns:a16="http://schemas.microsoft.com/office/drawing/2014/main" id="{A02138BD-A099-4D4B-820A-FE6730F590B3}"/>
            </a:ext>
          </a:extLst>
        </xdr:cNvPr>
        <xdr:cNvPicPr>
          <a:picLocks noChangeAspect="1"/>
        </xdr:cNvPicPr>
      </xdr:nvPicPr>
      <xdr:blipFill>
        <a:blip xmlns:r="http://schemas.openxmlformats.org/officeDocument/2006/relationships" r:embed="rId1"/>
        <a:stretch>
          <a:fillRect/>
        </a:stretch>
      </xdr:blipFill>
      <xdr:spPr>
        <a:xfrm>
          <a:off x="2905125" y="6296025"/>
          <a:ext cx="5731510" cy="261493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63441446759" backgroundQuery="1" createdVersion="8" refreshedVersion="8" minRefreshableVersion="3" recordCount="0" supportSubquery="1" supportAdvancedDrill="1" xr:uid="{36289E7B-34F2-4A6E-BD9E-DAB36D8BC883}">
  <cacheSource type="external" connectionId="7"/>
  <cacheFields count="4">
    <cacheField name="[Teacher_Numbers].[Total_Response_Ethnicity].[Total_Response_Ethnicity]" caption="Total_Response_Ethnicity" numFmtId="0" hierarchy="8" level="1">
      <sharedItems containsSemiMixedTypes="0" containsNonDate="0" containsString="0"/>
    </cacheField>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1"/>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2" memberValueDatatype="130" unbalanced="0">
      <fieldsUsage count="2">
        <fieldUsage x="-1"/>
        <fieldUsage x="0"/>
      </fieldsUsage>
    </cacheHierarchy>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63441608796" backgroundQuery="1" createdVersion="8" refreshedVersion="8" minRefreshableVersion="3" recordCount="0" supportSubquery="1" supportAdvancedDrill="1" xr:uid="{571CC562-ECC2-4945-9C5C-E3FA32E7E69A}">
  <cacheSource type="external" connectionId="7"/>
  <cacheFields count="5">
    <cacheField name="[Teacher_Numbers].[Total_Response_Ethnicity].[Total_Response_Ethnicity]" caption="Total_Response_Ethnicity" numFmtId="0" hierarchy="8" level="1">
      <sharedItems containsSemiMixedTypes="0" containsNonDate="0" containsString="0"/>
    </cacheField>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Measures].[Sum of Teacher: FTTE]" caption="Sum of Teacher: FTTE" numFmtId="0" hierarchy="48" level="32767"/>
    <cacheField name="[Teacher_Numbers].[Teacher: Designation].[Teacher: Designation]" caption="Teacher: Designation" numFmtId="0" hierarchy="11" level="1">
      <sharedItems count="10">
        <s v="Cluster Manager RTLB"/>
        <s v="Principal"/>
        <s v="Teacher"/>
        <s v="Teacher - Learning Support"/>
        <s v="Teacher - Resr Hearing Imp"/>
        <s v="Teacher - Resr Learning Behvr"/>
        <s v="Teacher - Resr Literacy"/>
        <s v="Teacher - Resr Maori"/>
        <s v="Teacher - Resr Visually Imp"/>
        <s v="Teacher - Te Atakura"/>
      </sharedItems>
    </cacheField>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1"/>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2" memberValueDatatype="130" unbalanced="0">
      <fieldsUsage count="2">
        <fieldUsage x="-1"/>
        <fieldUsage x="0"/>
      </fieldsUsage>
    </cacheHierarchy>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2" memberValueDatatype="130" unbalanced="0">
      <fieldsUsage count="2">
        <fieldUsage x="-1"/>
        <fieldUsage x="4"/>
      </fieldsUsage>
    </cacheHierarchy>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634417592591" backgroundQuery="1" createdVersion="8" refreshedVersion="8" minRefreshableVersion="3" recordCount="0" supportSubquery="1" supportAdvancedDrill="1" xr:uid="{011E7088-8E35-4B2E-8AB5-75E24EA24452}">
  <cacheSource type="external" connectionId="7"/>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Teacher: Fixed/Permanent/DayRelief].[Teacher: Fixed/Permanent/DayRelief]" caption="Teacher: Fixed/Permanent/DayRelief" numFmtId="0" hierarchy="13" level="1">
      <sharedItems count="2">
        <s v="Fixed"/>
        <s v="Permanent"/>
      </sharedItems>
    </cacheField>
    <cacheField name="[Teacher_Numbers].[School: Sector].[School: Sector]" caption="School: Sector" numFmtId="0" hierarchy="15" level="1">
      <sharedItems count="3">
        <s v="Primary"/>
        <s v="Secondary"/>
        <s v="Total"/>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2" memberValueDatatype="130" unbalanced="0">
      <fieldsUsage count="2">
        <fieldUsage x="-1"/>
        <fieldUsage x="1"/>
      </fieldsUsage>
    </cacheHierarchy>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63442141204" backgroundQuery="1" createdVersion="8" refreshedVersion="8" minRefreshableVersion="3" recordCount="0" supportSubquery="1" supportAdvancedDrill="1" xr:uid="{7C9FFE57-18DD-4D5D-A065-94FAAB48456A}">
  <cacheSource type="external" connectionId="7"/>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Teacher: Full/Part Time].[Teacher: Full/Part Time]" caption="Teacher: Full/Part Time" numFmtId="0" hierarchy="12" level="1">
      <sharedItems count="2">
        <s v="Full Time"/>
        <s v="Part Time"/>
      </sharedItems>
    </cacheField>
    <cacheField name="[Teacher_Numbers].[School: Sector].[School: Sector]" caption="School: Sector" numFmtId="0" hierarchy="15" level="1">
      <sharedItems count="3">
        <s v="Primary"/>
        <s v="Secondary"/>
        <s v="Total"/>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2" memberValueDatatype="130" unbalanced="0">
      <fieldsUsage count="2">
        <fieldUsage x="-1"/>
        <fieldUsage x="1"/>
      </fieldsUsage>
    </cacheHierarchy>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634422916664" backgroundQuery="1" createdVersion="8" refreshedVersion="8" minRefreshableVersion="3" recordCount="0" supportSubquery="1" supportAdvancedDrill="1" xr:uid="{6A44843C-A4B9-4B80-9405-4054B6F1C4B3}">
  <cacheSource type="external" connectionId="7"/>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Teacher: Age Group (10 year bands)].[Teacher: Age Group (10 year bands)]" caption="Teacher: Age Group (10 year bands)" numFmtId="0" hierarchy="9" level="1">
      <sharedItems count="8">
        <s v="20-24"/>
        <s v="25-34"/>
        <s v="35-44"/>
        <s v="45-54"/>
        <s v="55-64"/>
        <s v="65-74"/>
        <s v="75-84"/>
        <s v="Unknown"/>
      </sharedItems>
    </cacheField>
    <cacheField name="[Teacher_Numbers].[School: Sector].[School: Sector]" caption="School: Sector" numFmtId="0" hierarchy="15" level="1">
      <sharedItems count="3">
        <s v="Primary"/>
        <s v="Secondary"/>
        <s v="Total"/>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2" memberValueDatatype="130" unbalanced="0">
      <fieldsUsage count="2">
        <fieldUsage x="-1"/>
        <fieldUsage x="1"/>
      </fieldsUsage>
    </cacheHierarchy>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634424305557" backgroundQuery="1" createdVersion="8" refreshedVersion="8" minRefreshableVersion="3" recordCount="0" supportSubquery="1" supportAdvancedDrill="1" xr:uid="{B83034ED-7EE7-4739-88D7-0916A5A2BFF3}">
  <cacheSource type="external" connectionId="7"/>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Teacher: Gender].[Teacher: Gender]" caption="Teacher: Gender" numFmtId="0" hierarchy="10" level="1">
      <sharedItems count="3">
        <s v="Female"/>
        <s v="Male"/>
        <s v="Not Stated/Another Gender"/>
      </sharedItems>
    </cacheField>
    <cacheField name="[Teacher_Numbers].[School: Sector].[School: Sector]" caption="School: Sector" numFmtId="0" hierarchy="15" level="1">
      <sharedItems count="3">
        <s v="Primary"/>
        <s v="Secondary"/>
        <s v="Total"/>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2" memberValueDatatype="130" unbalanced="0">
      <fieldsUsage count="2">
        <fieldUsage x="-1"/>
        <fieldUsage x="1"/>
      </fieldsUsage>
    </cacheHierarchy>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2"/>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634428240737" backgroundQuery="1" createdVersion="8" refreshedVersion="8" minRefreshableVersion="3" recordCount="0" supportSubquery="1" supportAdvancedDrill="1" xr:uid="{5BBDAD3D-5AED-447D-AFA7-565299FFBCE3}">
  <cacheSource type="external" connectionId="7"/>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School: Decile].[School: Decile]" caption="School: Decile" numFmtId="0" hierarchy="19" level="1">
      <sharedItems count="11">
        <s v="Decile 01"/>
        <s v="Decile 02"/>
        <s v="Decile 03"/>
        <s v="Decile 04"/>
        <s v="Decile 05"/>
        <s v="Decile 06"/>
        <s v="Decile 07"/>
        <s v="Decile 08"/>
        <s v="Decile 09"/>
        <s v="Decile 10"/>
        <s v="Not Applicable/Unknown"/>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2" memberValueDatatype="130" unbalanced="0">
      <fieldsUsage count="2">
        <fieldUsage x="-1"/>
        <fieldUsage x="2"/>
      </fieldsUsage>
    </cacheHierarchy>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634429976853" backgroundQuery="1" createdVersion="8" refreshedVersion="8" minRefreshableVersion="3" recordCount="0" supportSubquery="1" supportAdvancedDrill="1" xr:uid="{B0B643E5-FB44-4499-A057-44CE681B9F77}">
  <cacheSource type="external" connectionId="7"/>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School: EQI Band Name].[School: EQI Band Name]" caption="School: EQI Band Name" numFmtId="0" hierarchy="16" level="1">
      <sharedItems count="8">
        <s v="Fewest"/>
        <s v="Few"/>
        <s v="Below Average"/>
        <s v="Average"/>
        <s v="Above Average"/>
        <s v="Many"/>
        <s v="Most"/>
        <s v="Unassigned"/>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2" memberValueDatatype="130" unbalanced="0">
      <fieldsUsage count="2">
        <fieldUsage x="-1"/>
        <fieldUsage x="2"/>
      </fieldsUsage>
    </cacheHierarchy>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634434027779" backgroundQuery="1" createdVersion="8" refreshedVersion="8" minRefreshableVersion="3" recordCount="0" supportSubquery="1" supportAdvancedDrill="1" xr:uid="{0CBB49E2-1A44-4F82-88EE-097E2E57402F}">
  <cacheSource type="external" connectionId="7"/>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Region: Te Mahau Takiwa].[Region: Te Mahau Takiwa]" caption="Region: Te Mahau Takiwa" numFmtId="0" hierarchy="27" level="1">
      <sharedItems count="3">
        <s v="Te Tai Raro (North)"/>
        <s v="Te Tai Runga (South)"/>
        <s v="Te Tai Whenua (Central)"/>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2" memberValueDatatype="130" unbalanced="0">
      <fieldsUsage count="2">
        <fieldUsage x="-1"/>
        <fieldUsage x="2"/>
      </fieldsUsage>
    </cacheHierarchy>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634435416665" backgroundQuery="1" createdVersion="8" refreshedVersion="8" minRefreshableVersion="3" recordCount="0" supportSubquery="1" supportAdvancedDrill="1" xr:uid="{756CC1D7-F5C3-4E42-8820-665B6DA77753}">
  <cacheSource type="external" connectionId="7"/>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Measures].[Sum of Teacher: FTTE]" caption="Sum of Teacher: FTTE" numFmtId="0" hierarchy="48" level="32767"/>
    <cacheField name="[Teacher_Numbers].[School: EQI Group Name].[School: EQI Group Name]" caption="School: EQI Group Name" numFmtId="0" hierarchy="17" level="1">
      <sharedItems count="4">
        <s v="Fewer"/>
        <s v="Moderate"/>
        <s v="More"/>
        <s v="Unassigned"/>
      </sharedItems>
    </cacheField>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2" memberValueDatatype="130" unbalanced="0">
      <fieldsUsage count="2">
        <fieldUsage x="-1"/>
        <fieldUsage x="3"/>
      </fieldsUsage>
    </cacheHierarchy>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7.63740162037" backgroundQuery="1" createdVersion="8" refreshedVersion="8" minRefreshableVersion="3" recordCount="0" supportSubquery="1" supportAdvancedDrill="1" xr:uid="{9DD499F5-9F34-4951-98AF-1E9EA2BE7B66}">
  <cacheSource type="external" connectionId="7"/>
  <cacheFields count="4">
    <cacheField name="[Teacher_Numbers_EG].[year].[year]" caption="year" numFmtId="0" hierarchy="33"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_EG].[year].&amp;[2014]"/>
            <x15:cachedUniqueName index="1" name="[Teacher_Numbers_EG].[year].&amp;[2015]"/>
            <x15:cachedUniqueName index="2" name="[Teacher_Numbers_EG].[year].&amp;[2016]"/>
            <x15:cachedUniqueName index="3" name="[Teacher_Numbers_EG].[year].&amp;[2017]"/>
            <x15:cachedUniqueName index="4" name="[Teacher_Numbers_EG].[year].&amp;[2018]"/>
            <x15:cachedUniqueName index="5" name="[Teacher_Numbers_EG].[year].&amp;[2019]"/>
            <x15:cachedUniqueName index="6" name="[Teacher_Numbers_EG].[year].&amp;[2020]"/>
            <x15:cachedUniqueName index="7" name="[Teacher_Numbers_EG].[year].&amp;[2021]"/>
            <x15:cachedUniqueName index="8" name="[Teacher_Numbers_EG].[year].&amp;[2022]"/>
            <x15:cachedUniqueName index="9" name="[Teacher_Numbers_EG].[year].&amp;[2023]"/>
            <x15:cachedUniqueName index="10" name="[Teacher_Numbers_EG].[year].&amp;[2024]"/>
            <x15:cachedUniqueName index="11" name="[Teacher_Numbers_EG].[year].&amp;[2025]"/>
          </x15:cachedUniqueNames>
        </ext>
      </extLst>
    </cacheField>
    <cacheField name="[Teacher_Numbers_EG].[Total_Response_Ethnicity].[Total_Response_Ethnicity]" caption="Total_Response_Ethnicity" numFmtId="0" hierarchy="35" level="1">
      <sharedItems count="8">
        <s v="Asian"/>
        <s v="European/Pākehā"/>
        <s v="Māori"/>
        <s v="MELAA"/>
        <s v="No Response"/>
        <s v="Other"/>
        <s v="Pacific"/>
        <s v="Total"/>
      </sharedItems>
    </cacheField>
    <cacheField name="[Measures].[Sum of Teacher: FTTE 2]" caption="Sum of Teacher: FTTE 2" numFmtId="0" hierarchy="49" level="32767"/>
    <cacheField name="[Teacher_Numbers_EG].[School: Sector].[School: Sector]" caption="School: Sector" numFmtId="0" hierarchy="36" level="1">
      <sharedItems count="3">
        <s v="Primary"/>
        <s v="Secondary"/>
        <s v="Total"/>
      </sharedItems>
    </cacheField>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0" memberValueDatatype="20" unbalanced="0"/>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0" memberValueDatatype="130" unbalanced="0"/>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2" memberValueDatatype="20" unbalanced="0">
      <fieldsUsage count="2">
        <fieldUsage x="-1"/>
        <fieldUsage x="0"/>
      </fieldsUsage>
    </cacheHierarchy>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2" memberValueDatatype="130" unbalanced="0">
      <fieldsUsage count="2">
        <fieldUsage x="-1"/>
        <fieldUsage x="1"/>
      </fieldsUsage>
    </cacheHierarchy>
    <cacheHierarchy uniqueName="[Teacher_Numbers_EG].[School: Sector]" caption="School: Sector" attribute="1" defaultMemberUniqueName="[Teacher_Numbers_EG].[School: Sector].[All]" allUniqueName="[Teacher_Numbers_EG].[School: Sector].[All]" dimensionUniqueName="[Teacher_Numbers_EG]" displayFolder="" count="2" memberValueDatatype="130" unbalanced="0">
      <fieldsUsage count="2">
        <fieldUsage x="-1"/>
        <fieldUsage x="3"/>
      </fieldsUsage>
    </cacheHierarchy>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hidden="1">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oneField="1" hidden="1">
      <fieldsUsage count="1">
        <fieldUsage x="2"/>
      </fieldsUsage>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68687002315" backgroundQuery="1" createdVersion="8" refreshedVersion="8" minRefreshableVersion="3" recordCount="0" supportSubquery="1" supportAdvancedDrill="1" xr:uid="{B2D4FD24-40B5-4313-8D5C-F57C9DDAE2A8}">
  <cacheSource type="external" connectionId="7"/>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Region: Territorial Authority-Local Board].[Region: Territorial Authority-Local Board]" caption="Region: Territorial Authority-Local Board" numFmtId="0" hierarchy="25" level="1">
      <sharedItems count="88">
        <s v="Far North District"/>
        <s v="Whangarei District"/>
        <s v="Kaipara District"/>
        <s v="Auckland - Ōrākei"/>
        <s v="Auckland - Albert-Eden"/>
        <s v="Auckland - Ōtara-Papatoetoe"/>
        <s v="Auckland - Hibiscus and Bays"/>
        <s v="Auckland - Devonport-Takapuna"/>
        <s v="Auckland - Henderson-Massey"/>
        <s v="Auckland - Howick"/>
        <s v="Auckland - Papakura"/>
        <s v="Auckland - Kaipātiki"/>
        <s v="Auckland - Whau"/>
        <s v="Auckland - Waiheke"/>
        <s v="Auckland - Franklin"/>
        <s v="Auckland - Puketāpapa"/>
        <s v="Auckland - Upper Harbour"/>
        <s v="Auckland - Rodney"/>
        <s v="Auckland - Maungakiekie-Tāmaki"/>
        <s v="Auckland - Waitākere Ranges"/>
        <s v="Auckland - Waitematā"/>
        <s v="Auckland - Māngere-Ōtāhuhu"/>
        <s v="Auckland - Aotea/Great Barrier"/>
        <s v="Auckland - Manurewa"/>
        <s v="Thames-Coromandel District"/>
        <s v="Hauraki District"/>
        <s v="Waikato District"/>
        <s v="Matamata-Piako District"/>
        <s v="Hamilton City"/>
        <s v="Waipa District"/>
        <s v="Ōtorohanga District"/>
        <s v="South Waikato District"/>
        <s v="Waitomo District"/>
        <s v="Taupo District"/>
        <s v="Western Bay of Plenty District"/>
        <s v="Tauranga City"/>
        <s v="Rotorua District"/>
        <s v="Whakatane District"/>
        <s v="Kawerau District"/>
        <s v="Ōpōtiki District"/>
        <s v="Gisborne District"/>
        <s v="Wairoa District"/>
        <s v="Hastings District"/>
        <s v="Napier City"/>
        <s v="Central Hawke's Bay District"/>
        <s v="New Plymouth District"/>
        <s v="Stratford District"/>
        <s v="South Taranaki District"/>
        <s v="Ruapehu District"/>
        <s v="Whanganui District"/>
        <s v="Rangitikei District"/>
        <s v="Manawatu District"/>
        <s v="Palmerston North City"/>
        <s v="Tararua District"/>
        <s v="Horowhenua District"/>
        <s v="Kapiti Coast District"/>
        <s v="Porirua City"/>
        <s v="Upper Hutt City"/>
        <s v="Lower Hutt City"/>
        <s v="Wellington City"/>
        <s v="Masterton District"/>
        <s v="Carterton District"/>
        <s v="South Wairarapa District"/>
        <s v="Tasman District"/>
        <s v="Nelson City"/>
        <s v="Marlborough District"/>
        <s v="Kaikoura District"/>
        <s v="Buller District"/>
        <s v="Grey District"/>
        <s v="Westland District"/>
        <s v="Hurunui District"/>
        <s v="Waimakariri District"/>
        <s v="Christchurch City"/>
        <s v="Selwyn District"/>
        <s v="Ashburton District"/>
        <s v="Timaru District"/>
        <s v="Mackenzie District"/>
        <s v="Waimate District"/>
        <s v="Chatham Islands Territory"/>
        <s v="Waitaki District"/>
        <s v="Central Otago District"/>
        <s v="Queenstown-Lakes District"/>
        <s v="Dunedin City"/>
        <s v="Clutha District"/>
        <s v="Southland District"/>
        <s v="Gore District"/>
        <s v="Invercargill City"/>
        <s v="Not Applicable"/>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2" memberValueDatatype="130" unbalanced="0">
      <fieldsUsage count="2">
        <fieldUsage x="-1"/>
        <fieldUsage x="2"/>
      </fieldsUsage>
    </cacheHierarchy>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687908680557" backgroundQuery="1" createdVersion="8" refreshedVersion="8" minRefreshableVersion="3" recordCount="0" supportSubquery="1" supportAdvancedDrill="1" xr:uid="{A87C6E11-5251-4DF9-82BD-E48B43D600C6}">
  <cacheSource type="external" connectionId="7"/>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Region: Regional Council].[Region: Regional Council]" caption="Region: Regional Council" numFmtId="0" hierarchy="23" level="1">
      <sharedItems count="18">
        <s v="Northland Region"/>
        <s v="Auckland Region"/>
        <s v="Waikato Region"/>
        <s v="Bay of Plenty Region"/>
        <s v="Gisborne Region"/>
        <s v="Hawke's Bay Region"/>
        <s v="Taranaki Region"/>
        <s v="Manawatū-Whanganui Region"/>
        <s v="Wellington Region"/>
        <s v="Tasman Region"/>
        <s v="Nelson Region"/>
        <s v="Marlborough Region"/>
        <s v="West Coast Region"/>
        <s v="Canterbury Region"/>
        <s v="Otago Region"/>
        <s v="Southland Region"/>
        <s v="Chatham Is. County"/>
        <s v="Not Applicable"/>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2" memberValueDatatype="130" unbalanced="0">
      <fieldsUsage count="2">
        <fieldUsage x="-1"/>
        <fieldUsage x="2"/>
      </fieldsUsage>
    </cacheHierarchy>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688055092593" backgroundQuery="1" createdVersion="8" refreshedVersion="8" minRefreshableVersion="3" recordCount="0" supportSubquery="1" supportAdvancedDrill="1" xr:uid="{1118FCE6-8439-4B56-950E-DFEAE6027DF3}">
  <cacheSource type="external" connectionId="7"/>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Region: Education Region].[Region: Education Region]" caption="Region: Education Region" numFmtId="0" hierarchy="26" level="1">
      <sharedItems count="12">
        <s v="Tai Tokerau"/>
        <s v="Tāmaki Herenga Waka"/>
        <s v="Tāmaki Herenga Tāngata"/>
        <s v="Tāmaki Herenga Manawa"/>
        <s v="Waikato"/>
        <s v="Bay of Plenty/Waiariki"/>
        <s v="Taranaki/Whanganui/Manawatū"/>
        <s v="Hawke's Bay/Tairāwhiti"/>
        <s v="Wellington"/>
        <s v="Nelson/Marlborough/West Coast"/>
        <s v="Canterbury/Chatham Islands"/>
        <s v="Otago/Southland"/>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2" memberValueDatatype="130" unbalanced="0">
      <fieldsUsage count="2">
        <fieldUsage x="-1"/>
        <fieldUsage x="2"/>
      </fieldsUsage>
    </cacheHierarchy>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688359259257" backgroundQuery="1" createdVersion="8" refreshedVersion="8" minRefreshableVersion="3" recordCount="0" supportSubquery="1" supportAdvancedDrill="1" xr:uid="{A7B2DD3D-6B22-4203-B3B2-8FDB5ED1D480}">
  <cacheSource type="external" connectionId="7"/>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School: Sector].[School: Sector]" caption="School: Sector" numFmtId="0" hierarchy="15" level="1">
      <sharedItems count="3">
        <s v="Primary"/>
        <s v="Secondary"/>
        <s v="Total"/>
      </sharedItems>
    </cacheField>
    <cacheField name="[Teacher_Numbers].[School: Decile Group].[School: Decile Group]" caption="School: Decile Group" numFmtId="0" hierarchy="18" level="1">
      <sharedItems count="4">
        <s v="High"/>
        <s v="Low"/>
        <s v="Medium"/>
        <s v="Not Applicable/Unknown"/>
      </sharedItems>
    </cacheField>
    <cacheField name="[Measures].[Sum of Teacher: FTTE]" caption="Sum of Teacher: FTTE" numFmtId="0" hierarchy="48" level="32767"/>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1"/>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2" memberValueDatatype="130" unbalanced="0">
      <fieldsUsage count="2">
        <fieldUsage x="-1"/>
        <fieldUsage x="2"/>
      </fieldsUsage>
    </cacheHierarchy>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0" memberValueDatatype="130" unbalanced="0"/>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3"/>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696986689814" backgroundQuery="1" createdVersion="8" refreshedVersion="8" minRefreshableVersion="3" recordCount="0" supportSubquery="1" supportAdvancedDrill="1" xr:uid="{7DDFF86B-C3C1-4F2E-A210-167DBF4179DD}">
  <cacheSource type="external" connectionId="7"/>
  <cacheFields count="4">
    <cacheField name="[Teacher_Numbers].[year].[year]" caption="year" numFmtId="0" hierarchy="6" level="1">
      <sharedItems containsSemiMixedTypes="0" containsString="0" containsNumber="1" containsInteger="1" minValue="2014" maxValue="2025" count="12">
        <n v="2014"/>
        <n v="2015"/>
        <n v="2016"/>
        <n v="2017"/>
        <n v="2018"/>
        <n v="2019"/>
        <n v="2020"/>
        <n v="2021"/>
        <n v="2022"/>
        <n v="2023"/>
        <n v="2024"/>
        <n v="2025"/>
      </sharedItems>
      <extLst>
        <ext xmlns:x15="http://schemas.microsoft.com/office/spreadsheetml/2010/11/main" uri="{4F2E5C28-24EA-4eb8-9CBF-B6C8F9C3D259}">
          <x15:cachedUniqueNames>
            <x15:cachedUniqueName index="0" name="[Teacher_Numbers].[year].&amp;[2014]"/>
            <x15:cachedUniqueName index="1" name="[Teacher_Numbers].[year].&amp;[2015]"/>
            <x15:cachedUniqueName index="2" name="[Teacher_Numbers].[year].&amp;[2016]"/>
            <x15:cachedUniqueName index="3" name="[Teacher_Numbers].[year].&amp;[2017]"/>
            <x15:cachedUniqueName index="4" name="[Teacher_Numbers].[year].&amp;[2018]"/>
            <x15:cachedUniqueName index="5" name="[Teacher_Numbers].[year].&amp;[2019]"/>
            <x15:cachedUniqueName index="6" name="[Teacher_Numbers].[year].&amp;[2020]"/>
            <x15:cachedUniqueName index="7" name="[Teacher_Numbers].[year].&amp;[2021]"/>
            <x15:cachedUniqueName index="8" name="[Teacher_Numbers].[year].&amp;[2022]"/>
            <x15:cachedUniqueName index="9" name="[Teacher_Numbers].[year].&amp;[2023]"/>
            <x15:cachedUniqueName index="10" name="[Teacher_Numbers].[year].&amp;[2024]"/>
            <x15:cachedUniqueName index="11" name="[Teacher_Numbers].[year].&amp;[2025]"/>
          </x15:cachedUniqueNames>
        </ext>
      </extLst>
    </cacheField>
    <cacheField name="[Teacher_Numbers].[Region: Urban/Rural].[Region: Urban/Rural]" caption="Region: Urban/Rural" numFmtId="0" hierarchy="22" level="1">
      <sharedItems count="7">
        <s v="Large urban area"/>
        <s v="Major urban area"/>
        <s v="Medium urban area"/>
        <s v="Rural other"/>
        <s v="Rural settlement"/>
        <s v="Small urban area"/>
        <s v="Not Applicable"/>
      </sharedItems>
    </cacheField>
    <cacheField name="[Measures].[Sum of Teacher: FTTE]" caption="Sum of Teacher: FTTE" numFmtId="0" hierarchy="48" level="32767"/>
    <cacheField name="[Teacher_Numbers].[School: Sector].[School: Sector]" caption="School: Sector" numFmtId="0" hierarchy="15" level="1">
      <sharedItems count="3">
        <s v="Primary"/>
        <s v="Secondary"/>
        <s v="Total"/>
      </sharedItems>
    </cacheField>
  </cacheFields>
  <cacheHierarchies count="50">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Numbers].[year]" caption="year" attribute="1" defaultMemberUniqueName="[Teacher_Numbers].[year].[All]" allUniqueName="[Teacher_Numbers].[year].[All]" dimensionUniqueName="[Teacher_Numbers]" displayFolder="" count="2" memberValueDatatype="20" unbalanced="0">
      <fieldsUsage count="2">
        <fieldUsage x="-1"/>
        <fieldUsage x="0"/>
      </fieldsUsage>
    </cacheHierarchy>
    <cacheHierarchy uniqueName="[Teacher_Numbers].[Report Year Regular/Day Relief]" caption="Report Year Regular/Day Relief" attribute="1" defaultMemberUniqueName="[Teacher_Numbers].[Report Year Regular/Day Relief].[All]" allUniqueName="[Teacher_Numbers].[Report Year Regular/Day Relief].[All]" dimensionUniqueName="[Teacher_Numbers]" displayFolder="" count="0" memberValueDatatype="130" unbalanced="0"/>
    <cacheHierarchy uniqueName="[Teacher_Numbers].[Total_Response_Ethnicity]" caption="Total_Response_Ethnicity" attribute="1" defaultMemberUniqueName="[Teacher_Numbers].[Total_Response_Ethnicity].[All]" allUniqueName="[Teacher_Numbers].[Total_Response_Ethnicity].[All]" dimensionUniqueName="[Teacher_Numbers]" displayFolder="" count="0" memberValueDatatype="130" unbalanced="0"/>
    <cacheHierarchy uniqueName="[Teacher_Numbers].[Teacher: Age Group (10 year bands)]" caption="Teacher: Age Group (10 year bands)" attribute="1" defaultMemberUniqueName="[Teacher_Numbers].[Teacher: Age Group (10 year bands)].[All]" allUniqueName="[Teacher_Numbers].[Teacher: Age Group (10 year bands)].[All]" dimensionUniqueName="[Teacher_Numbers]" displayFolder="" count="0" memberValueDatatype="130" unbalanced="0"/>
    <cacheHierarchy uniqueName="[Teacher_Numbers].[Teacher: Gender]" caption="Teacher: Gender" attribute="1" defaultMemberUniqueName="[Teacher_Numbers].[Teacher: Gender].[All]" allUniqueName="[Teacher_Numbers].[Teacher: Gender].[All]" dimensionUniqueName="[Teacher_Numbers]" displayFolder="" count="0" memberValueDatatype="130" unbalanced="0"/>
    <cacheHierarchy uniqueName="[Teacher_Numbers].[Teacher: Designation]" caption="Teacher: Designation" attribute="1" defaultMemberUniqueName="[Teacher_Numbers].[Teacher: Designation].[All]" allUniqueName="[Teacher_Numbers].[Teacher: Designation].[All]" dimensionUniqueName="[Teacher_Numbers]" displayFolder="" count="0" memberValueDatatype="130" unbalanced="0"/>
    <cacheHierarchy uniqueName="[Teacher_Numbers].[Teacher: Full/Part Time]" caption="Teacher: Full/Part Time" attribute="1" defaultMemberUniqueName="[Teacher_Numbers].[Teacher: Full/Part Time].[All]" allUniqueName="[Teacher_Numbers].[Teacher: Full/Part Time].[All]" dimensionUniqueName="[Teacher_Numbers]" displayFolder="" count="0" memberValueDatatype="130" unbalanced="0"/>
    <cacheHierarchy uniqueName="[Teacher_Numbers].[Teacher: Fixed/Permanent/DayRelief]" caption="Teacher: Fixed/Permanent/DayRelief" attribute="1" defaultMemberUniqueName="[Teacher_Numbers].[Teacher: Fixed/Permanent/DayRelief].[All]" allUniqueName="[Teacher_Numbers].[Teacher: Fixed/Permanent/DayRelief].[All]" dimensionUniqueName="[Teacher_Numbers]" displayFolder="" count="0" memberValueDatatype="130" unbalanced="0"/>
    <cacheHierarchy uniqueName="[Teacher_Numbers].[School: Type]" caption="School: Type" attribute="1" defaultMemberUniqueName="[Teacher_Numbers].[School: Type].[All]" allUniqueName="[Teacher_Numbers].[School: Type].[All]" dimensionUniqueName="[Teacher_Numbers]" displayFolder="" count="0" memberValueDatatype="130" unbalanced="0"/>
    <cacheHierarchy uniqueName="[Teacher_Numbers].[School: Sector]" caption="School: Sector" attribute="1" defaultMemberUniqueName="[Teacher_Numbers].[School: Sector].[All]" allUniqueName="[Teacher_Numbers].[School: Sector].[All]" dimensionUniqueName="[Teacher_Numbers]" displayFolder="" count="2" memberValueDatatype="130" unbalanced="0">
      <fieldsUsage count="2">
        <fieldUsage x="-1"/>
        <fieldUsage x="3"/>
      </fieldsUsage>
    </cacheHierarchy>
    <cacheHierarchy uniqueName="[Teacher_Numbers].[School: EQI Band Name]" caption="School: EQI Band Name" attribute="1" defaultMemberUniqueName="[Teacher_Numbers].[School: EQI Band Name].[All]" allUniqueName="[Teacher_Numbers].[School: EQI Band Name].[All]" dimensionUniqueName="[Teacher_Numbers]" displayFolder="" count="0" memberValueDatatype="130" unbalanced="0"/>
    <cacheHierarchy uniqueName="[Teacher_Numbers].[School: EQI Group Name]" caption="School: EQI Group Name" attribute="1" defaultMemberUniqueName="[Teacher_Numbers].[School: EQI Group Name].[All]" allUniqueName="[Teacher_Numbers].[School: EQI Group Name].[All]" dimensionUniqueName="[Teacher_Numbers]" displayFolder="" count="0" memberValueDatatype="130" unbalanced="0"/>
    <cacheHierarchy uniqueName="[Teacher_Numbers].[School: Decile Group]" caption="School: Decile Group" attribute="1" defaultMemberUniqueName="[Teacher_Numbers].[School: Decile Group].[All]" allUniqueName="[Teacher_Numbers].[School: Decile Group].[All]" dimensionUniqueName="[Teacher_Numbers]" displayFolder="" count="0" memberValueDatatype="130" unbalanced="0"/>
    <cacheHierarchy uniqueName="[Teacher_Numbers].[School: Decile]" caption="School: Decile" attribute="1" defaultMemberUniqueName="[Teacher_Numbers].[School: Decile].[All]" allUniqueName="[Teacher_Numbers].[School: Decile].[All]" dimensionUniqueName="[Teacher_Numbers]" displayFolder="" count="0" memberValueDatatype="130" unbalanced="0"/>
    <cacheHierarchy uniqueName="[Teacher_Numbers].[School: Gender]" caption="School: Gender" attribute="1" defaultMemberUniqueName="[Teacher_Numbers].[School: Gender].[All]" allUniqueName="[Teacher_Numbers].[School: Gender].[All]" dimensionUniqueName="[Teacher_Numbers]" displayFolder="" count="0" memberValueDatatype="130" unbalanced="0"/>
    <cacheHierarchy uniqueName="[Teacher_Numbers].[School: Maori Medium]" caption="School: Maori Medium" attribute="1" defaultMemberUniqueName="[Teacher_Numbers].[School: Maori Medium].[All]" allUniqueName="[Teacher_Numbers].[School: Maori Medium].[All]" dimensionUniqueName="[Teacher_Numbers]" displayFolder="" count="0" memberValueDatatype="130" unbalanced="0"/>
    <cacheHierarchy uniqueName="[Teacher_Numbers].[Region: Urban/Rural]" caption="Region: Urban/Rural" attribute="1" defaultMemberUniqueName="[Teacher_Numbers].[Region: Urban/Rural].[All]" allUniqueName="[Teacher_Numbers].[Region: Urban/Rural].[All]" dimensionUniqueName="[Teacher_Numbers]" displayFolder="" count="2" memberValueDatatype="130" unbalanced="0">
      <fieldsUsage count="2">
        <fieldUsage x="-1"/>
        <fieldUsage x="1"/>
      </fieldsUsage>
    </cacheHierarchy>
    <cacheHierarchy uniqueName="[Teacher_Numbers].[Region: Regional Council]" caption="Region: Regional Council" attribute="1" defaultMemberUniqueName="[Teacher_Numbers].[Region: Regional Council].[All]" allUniqueName="[Teacher_Numbers].[Region: Regional Council].[All]" dimensionUniqueName="[Teacher_Numbers]" displayFolder="" count="0" memberValueDatatype="130" unbalanced="0"/>
    <cacheHierarchy uniqueName="[Teacher_Numbers].[Region: Territorial Authority]" caption="Region: Territorial Authority" attribute="1" defaultMemberUniqueName="[Teacher_Numbers].[Region: Territorial Authority].[All]" allUniqueName="[Teacher_Numbers].[Region: Territorial Authority].[All]" dimensionUniqueName="[Teacher_Numbers]" displayFolder="" count="0" memberValueDatatype="130" unbalanced="0"/>
    <cacheHierarchy uniqueName="[Teacher_Numbers].[Region: Territorial Authority-Local Board]" caption="Region: Territorial Authority-Local Board" attribute="1" defaultMemberUniqueName="[Teacher_Numbers].[Region: Territorial Authority-Local Board].[All]" allUniqueName="[Teacher_Numbers].[Region: Territorial Authority-Local Board].[All]" dimensionUniqueName="[Teacher_Numbers]" displayFolder="" count="0" memberValueDatatype="130" unbalanced="0"/>
    <cacheHierarchy uniqueName="[Teacher_Numbers].[Region: Education Region]" caption="Region: Education Region" attribute="1" defaultMemberUniqueName="[Teacher_Numbers].[Region: Education Region].[All]" allUniqueName="[Teacher_Numbers].[Region: Education Region].[All]" dimensionUniqueName="[Teacher_Numbers]" displayFolder="" count="0" memberValueDatatype="130" unbalanced="0"/>
    <cacheHierarchy uniqueName="[Teacher_Numbers].[Region: Te Mahau Takiwa]" caption="Region: Te Mahau Takiwa" attribute="1" defaultMemberUniqueName="[Teacher_Numbers].[Region: Te Mahau Takiwa].[All]" allUniqueName="[Teacher_Numbers].[Region: Te Mahau Takiwa].[All]" dimensionUniqueName="[Teacher_Numbers]" displayFolder="" count="0" memberValueDatatype="130" unbalanced="0"/>
    <cacheHierarchy uniqueName="[Teacher_Numbers].[Teacher: FTTE]" caption="Teacher: FTTE" attribute="1" defaultMemberUniqueName="[Teacher_Numbers].[Teacher: FTTE].[All]" allUniqueName="[Teacher_Numbers].[Teacher: FTTE].[All]" dimensionUniqueName="[Teacher_Numbers]" displayFolder="" count="0" memberValueDatatype="5" unbalanced="0"/>
    <cacheHierarchy uniqueName="[Teacher_Numbers].[TLA_Sort_Order.Org_TerritorialAuth_OrderUser]" caption="TLA_Sort_Order.Org_TerritorialAuth_OrderUser" attribute="1" defaultMemberUniqueName="[Teacher_Numbers].[TLA_Sort_Order.Org_TerritorialAuth_OrderUser].[All]" allUniqueName="[Teacher_Numbers].[TLA_Sort_Order.Org_TerritorialAuth_OrderUser].[All]" dimensionUniqueName="[Teacher_Numbers]" displayFolder="" count="0" memberValueDatatype="20" unbalanced="0"/>
    <cacheHierarchy uniqueName="[Teacher_Numbers].[Regional_Sort_Order.Org_RegionalCouncil_OrderUser]" caption="Regional_Sort_Order.Org_RegionalCouncil_OrderUser" attribute="1" defaultMemberUniqueName="[Teacher_Numbers].[Regional_Sort_Order.Org_RegionalCouncil_OrderUser].[All]" allUniqueName="[Teacher_Numbers].[Regional_Sort_Order.Org_RegionalCouncil_OrderUser].[All]" dimensionUniqueName="[Teacher_Numbers]" displayFolder="" count="0" memberValueDatatype="20" unbalanced="0"/>
    <cacheHierarchy uniqueName="[Teacher_Numbers].[EducationRegion_Sort_Order.Org_Ed_region_OrderUser]" caption="EducationRegion_Sort_Order.Org_Ed_region_OrderUser" attribute="1" defaultMemberUniqueName="[Teacher_Numbers].[EducationRegion_Sort_Order.Org_Ed_region_OrderUser].[All]" allUniqueName="[Teacher_Numbers].[EducationRegion_Sort_Order.Org_Ed_region_OrderUser].[All]" dimensionUniqueName="[Teacher_Numbers]" displayFolder="" count="0" memberValueDatatype="20" unbalanced="0"/>
    <cacheHierarchy uniqueName="[Teacher_Numbers].[EQI_Sort_Order.Org_SchoolEQIBand_No]" caption="EQI_Sort_Order.Org_SchoolEQIBand_No" attribute="1" defaultMemberUniqueName="[Teacher_Numbers].[EQI_Sort_Order.Org_SchoolEQIBand_No].[All]" allUniqueName="[Teacher_Numbers].[EQI_Sort_Order.Org_SchoolEQIBand_No].[All]" dimensionUniqueName="[Teacher_Numbers]" displayFolder="" count="0" memberValueDatatype="20" unbalanced="0"/>
    <cacheHierarchy uniqueName="[Teacher_Numbers_EG].[year]" caption="year" attribute="1" defaultMemberUniqueName="[Teacher_Numbers_EG].[year].[All]" allUniqueName="[Teacher_Numbers_EG].[year].[All]" dimensionUniqueName="[Teacher_Numbers_EG]" displayFolder="" count="0" memberValueDatatype="20" unbalanced="0"/>
    <cacheHierarchy uniqueName="[Teacher_Numbers_EG].[Report Year Regular/Day Relief]" caption="Report Year Regular/Day Relief" attribute="1" defaultMemberUniqueName="[Teacher_Numbers_EG].[Report Year Regular/Day Relief].[All]" allUniqueName="[Teacher_Numbers_EG].[Report Year Regular/Day Relief].[All]" dimensionUniqueName="[Teacher_Numbers_EG]" displayFolder="" count="0" memberValueDatatype="130" unbalanced="0"/>
    <cacheHierarchy uniqueName="[Teacher_Numbers_EG].[Total_Response_Ethnicity]" caption="Total_Response_Ethnicity" attribute="1" defaultMemberUniqueName="[Teacher_Numbers_EG].[Total_Response_Ethnicity].[All]" allUniqueName="[Teacher_Numbers_EG].[Total_Response_Ethnicity].[All]" dimensionUniqueName="[Teacher_Numbers_EG]" displayFolder="" count="0" memberValueDatatype="130" unbalanced="0"/>
    <cacheHierarchy uniqueName="[Teacher_Numbers_EG].[School: Sector]" caption="School: Sector" attribute="1" defaultMemberUniqueName="[Teacher_Numbers_EG].[School: Sector].[All]" allUniqueName="[Teacher_Numbers_EG].[School: Sector].[All]" dimensionUniqueName="[Teacher_Numbers_EG]" displayFolder="" count="0" memberValueDatatype="130" unbalanced="0"/>
    <cacheHierarchy uniqueName="[Teacher_Numbers_EG].[Teacher: Headcount]" caption="Teacher: Headcount" attribute="1" defaultMemberUniqueName="[Teacher_Numbers_EG].[Teacher: Headcount].[All]" allUniqueName="[Teacher_Numbers_EG].[Teacher: Headcount].[All]" dimensionUniqueName="[Teacher_Numbers_EG]" displayFolder="" count="0" memberValueDatatype="20" unbalanced="0"/>
    <cacheHierarchy uniqueName="[Teacher_Numbers_EG].[Teacher: FTTE]" caption="Teacher: FTTE" attribute="1" defaultMemberUniqueName="[Teacher_Numbers_EG].[Teacher: FTTE].[All]" allUniqueName="[Teacher_Numbers_EG].[Teacher: FTTE].[All]" dimensionUniqueName="[Teacher_Numbers_EG]" displayFolder="" count="0" memberValueDatatype="5"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Teacher_Numbers]" caption="__XL_Count Teacher_Numbers" measure="1" displayFolder="" measureGroup="Teacher_Numbers" count="0" hidden="1"/>
    <cacheHierarchy uniqueName="[Measures].[__XL_Count EQI_Sort_Order]" caption="__XL_Count EQI_Sort_Order" measure="1" displayFolder="" measureGroup="EQI_Sort_Order" count="0" hidden="1"/>
    <cacheHierarchy uniqueName="[Measures].[__XL_Count Teacher_Numbers_EG]" caption="__XL_Count Teacher_Numbers_EG" measure="1" displayFolder="" measureGroup="Teacher_Numbers_EG" count="0" hidden="1"/>
    <cacheHierarchy uniqueName="[Measures].[__No measures defined]" caption="__No measures defined" measure="1" displayFolder="" count="0" hidden="1"/>
    <cacheHierarchy uniqueName="[Measures].[Sum of Teacher: FTTE]" caption="Sum of Teacher: FTTE" measure="1" displayFolder="" measureGroup="Teacher_Numbers"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Teacher: FTTE 2]" caption="Sum of Teacher: FTTE 2" measure="1" displayFolder="" measureGroup="Teacher_Numbers_EG" count="0" hidden="1">
      <extLst>
        <ext xmlns:x15="http://schemas.microsoft.com/office/spreadsheetml/2010/11/main" uri="{B97F6D7D-B522-45F9-BDA1-12C45D357490}">
          <x15:cacheHierarchy aggregatedColumn="38"/>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Numbers" uniqueName="[Teacher_Numbers]" caption="Teacher_Numbers"/>
    <dimension name="Teacher_Numbers_EG" uniqueName="[Teacher_Numbers_EG]" caption="Teacher_Numbers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Numbers" caption="Teacher_Numbers"/>
    <measureGroup name="Teacher_Numbers_EG" caption="Teacher_Numbers_EG"/>
    <measureGroup name="TLA_Sort_Order" caption="TLA_Sort_Order"/>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239478-74F6-4578-8504-B9A932129E64}" name="PivotTable8" cacheId="0" applyNumberFormats="0" applyBorderFormats="0" applyFontFormats="0" applyPatternFormats="0" applyAlignmentFormats="0" applyWidthHeightFormats="1" dataCaption="Values" showError="1" tag="9bee4118-9137-41e6-bf80-c022da8b8714"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M8" firstHeaderRow="1" firstDataRow="2" firstDataCol="1"/>
  <pivotFields count="4">
    <pivotField compact="0" allDrilled="1" outline="0" subtotalTop="0" showAll="0" dataSourceSort="1" defaultSubtotal="0" defaultAttributeDrillState="1"/>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1">
    <field x="2"/>
  </rowFields>
  <rowItems count="3">
    <i>
      <x/>
    </i>
    <i>
      <x v="1"/>
    </i>
    <i>
      <x v="2"/>
    </i>
  </rowItems>
  <colFields count="1">
    <field x="1"/>
  </colFields>
  <colItems count="12">
    <i>
      <x/>
    </i>
    <i>
      <x v="1"/>
    </i>
    <i>
      <x v="2"/>
    </i>
    <i>
      <x v="3"/>
    </i>
    <i>
      <x v="4"/>
    </i>
    <i>
      <x v="5"/>
    </i>
    <i>
      <x v="6"/>
    </i>
    <i>
      <x v="7"/>
    </i>
    <i>
      <x v="8"/>
    </i>
    <i>
      <x v="9"/>
    </i>
    <i>
      <x v="10"/>
    </i>
    <i>
      <x v="11"/>
    </i>
  </colItems>
  <dataFields count="1">
    <dataField name="Teacher FTTE" fld="3" baseField="2"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eacher_Numbers].[Total_Response_Ethnicity].&amp;[Tot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1">
    <rowHierarchyUsage hierarchyUsage="15"/>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B132B5-2545-4BB0-BB01-0D82412DADFD}" name="PivotTable8" cacheId="1" applyNumberFormats="0" applyBorderFormats="0" applyFontFormats="0" applyPatternFormats="0" applyAlignmentFormats="0" applyWidthHeightFormats="1" dataCaption="Values" showError="1" tag="e281806a-2f86-4ab8-8c3e-27530895f508"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N35" firstHeaderRow="1" firstDataRow="2" firstDataCol="2"/>
  <pivotFields count="5">
    <pivotField compact="0" allDrilled="1" outline="0" subtotalTop="0" showAll="0" dataSourceSort="1" defaultSubtotal="0" defaultAttributeDrillState="1"/>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axis="axisRow" compact="0" allDrilled="1" outline="0" subtotalTop="0" showAll="0" dataSourceSort="1" defaultSubtotal="0" defaultAttributeDrillState="1">
      <items count="10">
        <item x="0"/>
        <item x="1"/>
        <item x="2"/>
        <item x="3"/>
        <item x="4"/>
        <item x="5"/>
        <item x="6"/>
        <item x="7"/>
        <item x="8"/>
        <item x="9"/>
      </items>
    </pivotField>
  </pivotFields>
  <rowFields count="2">
    <field x="2"/>
    <field x="4"/>
  </rowFields>
  <rowItems count="30">
    <i>
      <x/>
      <x/>
    </i>
    <i r="1">
      <x v="1"/>
    </i>
    <i r="1">
      <x v="2"/>
    </i>
    <i r="1">
      <x v="3"/>
    </i>
    <i r="1">
      <x v="4"/>
    </i>
    <i r="1">
      <x v="5"/>
    </i>
    <i r="1">
      <x v="6"/>
    </i>
    <i r="1">
      <x v="7"/>
    </i>
    <i r="1">
      <x v="8"/>
    </i>
    <i r="1">
      <x v="9"/>
    </i>
    <i>
      <x v="1"/>
      <x/>
    </i>
    <i r="1">
      <x v="1"/>
    </i>
    <i r="1">
      <x v="2"/>
    </i>
    <i r="1">
      <x v="3"/>
    </i>
    <i r="1">
      <x v="4"/>
    </i>
    <i r="1">
      <x v="5"/>
    </i>
    <i r="1">
      <x v="6"/>
    </i>
    <i r="1">
      <x v="7"/>
    </i>
    <i r="1">
      <x v="8"/>
    </i>
    <i r="1">
      <x v="9"/>
    </i>
    <i>
      <x v="2"/>
      <x/>
    </i>
    <i r="1">
      <x v="1"/>
    </i>
    <i r="1">
      <x v="2"/>
    </i>
    <i r="1">
      <x v="3"/>
    </i>
    <i r="1">
      <x v="4"/>
    </i>
    <i r="1">
      <x v="5"/>
    </i>
    <i r="1">
      <x v="6"/>
    </i>
    <i r="1">
      <x v="7"/>
    </i>
    <i r="1">
      <x v="8"/>
    </i>
    <i r="1">
      <x v="9"/>
    </i>
  </rowItems>
  <colFields count="1">
    <field x="1"/>
  </colFields>
  <colItems count="12">
    <i>
      <x/>
    </i>
    <i>
      <x v="1"/>
    </i>
    <i>
      <x v="2"/>
    </i>
    <i>
      <x v="3"/>
    </i>
    <i>
      <x v="4"/>
    </i>
    <i>
      <x v="5"/>
    </i>
    <i>
      <x v="6"/>
    </i>
    <i>
      <x v="7"/>
    </i>
    <i>
      <x v="8"/>
    </i>
    <i>
      <x v="9"/>
    </i>
    <i>
      <x v="10"/>
    </i>
    <i>
      <x v="11"/>
    </i>
  </colItems>
  <dataFields count="1">
    <dataField name="Teacher FTTE" fld="3" baseField="2"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eacher_Numbers].[Total_Response_Ethnicity].&amp;[Tot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11"/>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ACF34B-A3A7-4AB8-94BD-37D0BD0FBD22}" name="PivotTable8" cacheId="2" applyNumberFormats="0" applyBorderFormats="0" applyFontFormats="0" applyPatternFormats="0" applyAlignmentFormats="0" applyWidthHeightFormats="1" dataCaption="Values" showError="1" tag="642626f8-1581-4901-94d0-672d469316cb" updatedVersion="8" minRefreshableVersion="3" showDrill="0" showMemberPropertyTips="0" showDataTips="0" enableDrill="0" useAutoFormatting="1" rowGrandTotals="0" colGrandTotals="0" itemPrintTitles="1" createdVersion="8" indent="0" showHeaders="0" compact="0" compactData="0" multipleFieldFilters="0">
  <location ref="A4:N11"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efaultSubtotal="0" defaultAttributeDrillState="1">
      <items count="2">
        <item x="1"/>
        <item x="0"/>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2">
    <field x="2"/>
    <field x="1"/>
  </rowFields>
  <rowItems count="6">
    <i>
      <x/>
      <x/>
    </i>
    <i r="1">
      <x v="1"/>
    </i>
    <i>
      <x v="1"/>
      <x/>
    </i>
    <i r="1">
      <x v="1"/>
    </i>
    <i>
      <x v="2"/>
      <x/>
    </i>
    <i r="1">
      <x v="1"/>
    </i>
  </rowItems>
  <colFields count="1">
    <field x="0"/>
  </colFields>
  <colItems count="12">
    <i>
      <x/>
    </i>
    <i>
      <x v="1"/>
    </i>
    <i>
      <x v="2"/>
    </i>
    <i>
      <x v="3"/>
    </i>
    <i>
      <x v="4"/>
    </i>
    <i>
      <x v="5"/>
    </i>
    <i>
      <x v="6"/>
    </i>
    <i>
      <x v="7"/>
    </i>
    <i>
      <x v="8"/>
    </i>
    <i>
      <x v="9"/>
    </i>
    <i>
      <x v="10"/>
    </i>
    <i>
      <x v="11"/>
    </i>
  </colItems>
  <dataFields count="1">
    <dataField name="Teacher FTTE" fld="3" baseField="1"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1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0E7AA4-ABA6-4DA3-B271-8453DE915852}" name="PivotTable8" cacheId="3" applyNumberFormats="0" applyBorderFormats="0" applyFontFormats="0" applyPatternFormats="0" applyAlignmentFormats="0" applyWidthHeightFormats="1" dataCaption="Values" showError="1" tag="a5548377-ba25-4451-8b36-04b3cbf77b6f" updatedVersion="8" minRefreshableVersion="3" showDrill="0" showMemberPropertyTips="0" showDataTips="0" enableDrill="0" useAutoFormatting="1" rowGrandTotals="0" colGrandTotals="0" itemPrintTitles="1" createdVersion="8" indent="0" showHeaders="0" compact="0" compactData="0" multipleFieldFilters="0">
  <location ref="A4:N11"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efaultSubtotal="0" defaultAttributeDrillState="1">
      <items count="2">
        <item x="0"/>
        <item x="1"/>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2">
    <field x="2"/>
    <field x="1"/>
  </rowFields>
  <rowItems count="6">
    <i>
      <x/>
      <x/>
    </i>
    <i r="1">
      <x v="1"/>
    </i>
    <i>
      <x v="1"/>
      <x/>
    </i>
    <i r="1">
      <x v="1"/>
    </i>
    <i>
      <x v="2"/>
      <x/>
    </i>
    <i r="1">
      <x v="1"/>
    </i>
  </rowItems>
  <colFields count="1">
    <field x="0"/>
  </colFields>
  <colItems count="12">
    <i>
      <x/>
    </i>
    <i>
      <x v="1"/>
    </i>
    <i>
      <x v="2"/>
    </i>
    <i>
      <x v="3"/>
    </i>
    <i>
      <x v="4"/>
    </i>
    <i>
      <x v="5"/>
    </i>
    <i>
      <x v="6"/>
    </i>
    <i>
      <x v="7"/>
    </i>
    <i>
      <x v="8"/>
    </i>
    <i>
      <x v="9"/>
    </i>
    <i>
      <x v="10"/>
    </i>
    <i>
      <x v="11"/>
    </i>
  </colItems>
  <dataFields count="1">
    <dataField name="Teacher FTTE" fld="3" baseField="1"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12"/>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CD0FA1-DFA2-419A-AC8B-EF59309F89B0}" name="PivotTable8" cacheId="10" applyNumberFormats="0" applyBorderFormats="0" applyFontFormats="0" applyPatternFormats="0" applyAlignmentFormats="0" applyWidthHeightFormats="1" dataCaption="Values" showError="1" tag="78620e41-f196-42a4-b345-9184b3ab1c3b" updatedVersion="8" minRefreshableVersion="3" showDrill="0" showMemberPropertyTips="0" showDataTips="0" enableDrill="0" useAutoFormatting="1" rowGrandTotals="0" colGrandTotals="0" itemPrintTitles="1" createdVersion="8" indent="0" showHeaders="0" compact="0" compactData="0" multipleFieldFilters="0">
  <location ref="A4:N29"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efaultSubtotal="0" defaultAttributeDrillState="1">
      <items count="8">
        <item x="2"/>
        <item x="6"/>
        <item x="0"/>
        <item x="3"/>
        <item x="1"/>
        <item x="5"/>
        <item x="4"/>
        <item x="7"/>
      </items>
    </pivotField>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s>
  <rowFields count="2">
    <field x="3"/>
    <field x="1"/>
  </rowFields>
  <rowItems count="24">
    <i>
      <x/>
      <x/>
    </i>
    <i r="1">
      <x v="1"/>
    </i>
    <i r="1">
      <x v="2"/>
    </i>
    <i r="1">
      <x v="3"/>
    </i>
    <i r="1">
      <x v="4"/>
    </i>
    <i r="1">
      <x v="5"/>
    </i>
    <i r="1">
      <x v="6"/>
    </i>
    <i r="1">
      <x v="7"/>
    </i>
    <i>
      <x v="1"/>
      <x/>
    </i>
    <i r="1">
      <x v="1"/>
    </i>
    <i r="1">
      <x v="2"/>
    </i>
    <i r="1">
      <x v="3"/>
    </i>
    <i r="1">
      <x v="4"/>
    </i>
    <i r="1">
      <x v="5"/>
    </i>
    <i r="1">
      <x v="6"/>
    </i>
    <i r="1">
      <x v="7"/>
    </i>
    <i>
      <x v="2"/>
      <x/>
    </i>
    <i r="1">
      <x v="1"/>
    </i>
    <i r="1">
      <x v="2"/>
    </i>
    <i r="1">
      <x v="3"/>
    </i>
    <i r="1">
      <x v="4"/>
    </i>
    <i r="1">
      <x v="5"/>
    </i>
    <i r="1">
      <x v="6"/>
    </i>
    <i r="1">
      <x v="7"/>
    </i>
  </rowItems>
  <colFields count="1">
    <field x="0"/>
  </colFields>
  <colItems count="12">
    <i>
      <x/>
    </i>
    <i>
      <x v="1"/>
    </i>
    <i>
      <x v="2"/>
    </i>
    <i>
      <x v="3"/>
    </i>
    <i>
      <x v="4"/>
    </i>
    <i>
      <x v="5"/>
    </i>
    <i>
      <x v="6"/>
    </i>
    <i>
      <x v="7"/>
    </i>
    <i>
      <x v="8"/>
    </i>
    <i>
      <x v="9"/>
    </i>
    <i>
      <x v="10"/>
    </i>
    <i>
      <x v="11"/>
    </i>
  </colItems>
  <dataFields count="1">
    <dataField name="Teacher FTTE" fld="2" baseField="1" baseItem="6"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36"/>
    <rowHierarchyUsage hierarchyUsage="35"/>
  </rowHierarchiesUsage>
  <colHierarchiesUsage count="1">
    <colHierarchyUsage hierarchyUsage="3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_E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C53330-D485-4BA2-9D00-09C9B142E8D3}" name="PivotTable8" cacheId="4" applyNumberFormats="0" applyBorderFormats="0" applyFontFormats="0" applyPatternFormats="0" applyAlignmentFormats="0" applyWidthHeightFormats="1" dataCaption="Values" showError="1" tag="32410785-988d-436e-880e-c850c1699715" updatedVersion="8" minRefreshableVersion="3" showDrill="0" showMemberPropertyTips="0" showDataTips="0" enableDrill="0" useAutoFormatting="1" rowGrandTotals="0" colGrandTotals="0" itemPrintTitles="1" createdVersion="8" indent="0" showHeaders="0" compact="0" compactData="0" multipleFieldFilters="0">
  <location ref="A4:N29"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8">
        <item x="0"/>
        <item x="1"/>
        <item x="2"/>
        <item x="3"/>
        <item x="4"/>
        <item x="5"/>
        <item x="6"/>
        <item x="7"/>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2">
    <field x="2"/>
    <field x="1"/>
  </rowFields>
  <rowItems count="24">
    <i>
      <x/>
      <x/>
    </i>
    <i r="1">
      <x v="1"/>
    </i>
    <i r="1">
      <x v="2"/>
    </i>
    <i r="1">
      <x v="3"/>
    </i>
    <i r="1">
      <x v="4"/>
    </i>
    <i r="1">
      <x v="5"/>
    </i>
    <i r="1">
      <x v="6"/>
    </i>
    <i r="1">
      <x v="7"/>
    </i>
    <i>
      <x v="1"/>
      <x/>
    </i>
    <i r="1">
      <x v="1"/>
    </i>
    <i r="1">
      <x v="2"/>
    </i>
    <i r="1">
      <x v="3"/>
    </i>
    <i r="1">
      <x v="4"/>
    </i>
    <i r="1">
      <x v="5"/>
    </i>
    <i r="1">
      <x v="6"/>
    </i>
    <i r="1">
      <x v="7"/>
    </i>
    <i>
      <x v="2"/>
      <x/>
    </i>
    <i r="1">
      <x v="1"/>
    </i>
    <i r="1">
      <x v="2"/>
    </i>
    <i r="1">
      <x v="3"/>
    </i>
    <i r="1">
      <x v="4"/>
    </i>
    <i r="1">
      <x v="5"/>
    </i>
    <i r="1">
      <x v="6"/>
    </i>
    <i r="1">
      <x v="7"/>
    </i>
  </rowItems>
  <colFields count="1">
    <field x="0"/>
  </colFields>
  <colItems count="12">
    <i>
      <x/>
    </i>
    <i>
      <x v="1"/>
    </i>
    <i>
      <x v="2"/>
    </i>
    <i>
      <x v="3"/>
    </i>
    <i>
      <x v="4"/>
    </i>
    <i>
      <x v="5"/>
    </i>
    <i>
      <x v="6"/>
    </i>
    <i>
      <x v="7"/>
    </i>
    <i>
      <x v="8"/>
    </i>
    <i>
      <x v="9"/>
    </i>
    <i>
      <x v="10"/>
    </i>
    <i>
      <x v="11"/>
    </i>
  </colItems>
  <dataFields count="1">
    <dataField name="Teacher FTTE" fld="3" baseField="1"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9"/>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F079A8-DA83-45CC-898F-D9AC1874CA43}" name="PivotTable8" cacheId="5" applyNumberFormats="0" applyBorderFormats="0" applyFontFormats="0" applyPatternFormats="0" applyAlignmentFormats="0" applyWidthHeightFormats="1" dataCaption="Values" showError="1" tag="890782d2-8954-42b9-bea0-a631d7ea8a27" updatedVersion="8" minRefreshableVersion="3" showDrill="0" showMemberPropertyTips="0" showDataTips="0" enableDrill="0" useAutoFormatting="1" rowGrandTotals="0" colGrandTotals="0" itemPrintTitles="1" createdVersion="8" indent="0" showHeaders="0" compact="0" compactData="0" multipleFieldFilters="0">
  <location ref="A4:N14"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2">
    <field x="2"/>
    <field x="1"/>
  </rowFields>
  <rowItems count="9">
    <i>
      <x/>
      <x/>
    </i>
    <i r="1">
      <x v="1"/>
    </i>
    <i r="1">
      <x v="2"/>
    </i>
    <i>
      <x v="1"/>
      <x/>
    </i>
    <i r="1">
      <x v="1"/>
    </i>
    <i r="1">
      <x v="2"/>
    </i>
    <i>
      <x v="2"/>
      <x/>
    </i>
    <i r="1">
      <x v="1"/>
    </i>
    <i r="1">
      <x v="2"/>
    </i>
  </rowItems>
  <colFields count="1">
    <field x="0"/>
  </colFields>
  <colItems count="12">
    <i>
      <x/>
    </i>
    <i>
      <x v="1"/>
    </i>
    <i>
      <x v="2"/>
    </i>
    <i>
      <x v="3"/>
    </i>
    <i>
      <x v="4"/>
    </i>
    <i>
      <x v="5"/>
    </i>
    <i>
      <x v="6"/>
    </i>
    <i>
      <x v="7"/>
    </i>
    <i>
      <x v="8"/>
    </i>
    <i>
      <x v="9"/>
    </i>
    <i>
      <x v="10"/>
    </i>
    <i>
      <x v="11"/>
    </i>
  </colItems>
  <dataFields count="1">
    <dataField name="Teacher FTTE" fld="3" baseField="1"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10"/>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C0A6F6-4A13-4D23-A6F2-6B36D0618467}" name="PivotTable8" cacheId="7" applyNumberFormats="0" applyBorderFormats="0" applyFontFormats="0" applyPatternFormats="0" applyAlignmentFormats="0" applyWidthHeightFormats="1" dataCaption="Values" showError="1" tag="acc30e60-263c-4212-9735-221e2642ebc6" updatedVersion="8" minRefreshableVersion="3" showDrill="0" showMemberPropertyTips="0" showDataTips="0" enableDrill="0" useAutoFormatting="1" rowGrandTotals="0" colGrandTotals="0" itemPrintTitles="1" createdVersion="8" indent="0" showHeaders="0" compact="0" compactData="0" multipleFieldFilters="0">
  <location ref="A4:N29"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8">
        <item x="0"/>
        <item x="1"/>
        <item x="2"/>
        <item x="3"/>
        <item x="4"/>
        <item x="5"/>
        <item x="6"/>
        <item x="7"/>
      </items>
    </pivotField>
    <pivotField dataField="1" compact="0" outline="0" subtotalTop="0" showAll="0" defaultSubtotal="0"/>
  </pivotFields>
  <rowFields count="2">
    <field x="1"/>
    <field x="2"/>
  </rowFields>
  <rowItems count="24">
    <i>
      <x/>
      <x/>
    </i>
    <i r="1">
      <x v="1"/>
    </i>
    <i r="1">
      <x v="2"/>
    </i>
    <i r="1">
      <x v="3"/>
    </i>
    <i r="1">
      <x v="4"/>
    </i>
    <i r="1">
      <x v="5"/>
    </i>
    <i r="1">
      <x v="6"/>
    </i>
    <i r="1">
      <x v="7"/>
    </i>
    <i>
      <x v="1"/>
      <x/>
    </i>
    <i r="1">
      <x v="1"/>
    </i>
    <i r="1">
      <x v="2"/>
    </i>
    <i r="1">
      <x v="3"/>
    </i>
    <i r="1">
      <x v="4"/>
    </i>
    <i r="1">
      <x v="5"/>
    </i>
    <i r="1">
      <x v="6"/>
    </i>
    <i r="1">
      <x v="7"/>
    </i>
    <i>
      <x v="2"/>
      <x/>
    </i>
    <i r="1">
      <x v="1"/>
    </i>
    <i r="1">
      <x v="2"/>
    </i>
    <i r="1">
      <x v="3"/>
    </i>
    <i r="1">
      <x v="4"/>
    </i>
    <i r="1">
      <x v="5"/>
    </i>
    <i r="1">
      <x v="6"/>
    </i>
    <i r="1">
      <x v="7"/>
    </i>
  </rowItems>
  <colFields count="1">
    <field x="0"/>
  </colFields>
  <colItems count="12">
    <i>
      <x/>
    </i>
    <i>
      <x v="1"/>
    </i>
    <i>
      <x v="2"/>
    </i>
    <i>
      <x v="3"/>
    </i>
    <i>
      <x v="4"/>
    </i>
    <i>
      <x v="5"/>
    </i>
    <i>
      <x v="6"/>
    </i>
    <i>
      <x v="7"/>
    </i>
    <i>
      <x v="8"/>
    </i>
    <i>
      <x v="9"/>
    </i>
    <i>
      <x v="10"/>
    </i>
    <i>
      <x v="11"/>
    </i>
  </colItems>
  <dataFields count="1">
    <dataField name="Teacher FTTE" fld="3" baseField="2"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16"/>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365886-82EE-4B78-9FAB-13E89D58C758}" name="PivotTable8" cacheId="9" applyNumberFormats="0" applyBorderFormats="0" applyFontFormats="0" applyPatternFormats="0" applyAlignmentFormats="0" applyWidthHeightFormats="1" dataCaption="Values" showError="1" tag="acc30e60-263c-4212-9735-221e2642ebc6" updatedVersion="8" minRefreshableVersion="3" showDrill="0" showMemberPropertyTips="0" showDataTips="0" enableDrill="0" useAutoFormatting="1" rowGrandTotals="0" colGrandTotals="0" itemPrintTitles="1" createdVersion="8" indent="0" showHeaders="0" compact="0" compactData="0" multipleFieldFilters="0">
  <location ref="A4:N17"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s>
  <rowFields count="2">
    <field x="1"/>
    <field x="3"/>
  </rowFields>
  <rowItems count="12">
    <i>
      <x/>
      <x/>
    </i>
    <i r="1">
      <x v="1"/>
    </i>
    <i r="1">
      <x v="2"/>
    </i>
    <i r="1">
      <x v="3"/>
    </i>
    <i>
      <x v="1"/>
      <x/>
    </i>
    <i r="1">
      <x v="1"/>
    </i>
    <i r="1">
      <x v="2"/>
    </i>
    <i r="1">
      <x v="3"/>
    </i>
    <i>
      <x v="2"/>
      <x/>
    </i>
    <i r="1">
      <x v="1"/>
    </i>
    <i r="1">
      <x v="2"/>
    </i>
    <i r="1">
      <x v="3"/>
    </i>
  </rowItems>
  <colFields count="1">
    <field x="0"/>
  </colFields>
  <colItems count="12">
    <i>
      <x/>
    </i>
    <i>
      <x v="1"/>
    </i>
    <i>
      <x v="2"/>
    </i>
    <i>
      <x v="3"/>
    </i>
    <i>
      <x v="4"/>
    </i>
    <i>
      <x v="5"/>
    </i>
    <i>
      <x v="6"/>
    </i>
    <i>
      <x v="7"/>
    </i>
    <i>
      <x v="8"/>
    </i>
    <i>
      <x v="9"/>
    </i>
    <i>
      <x v="10"/>
    </i>
    <i>
      <x v="11"/>
    </i>
  </colItems>
  <dataFields count="1">
    <dataField name="Teacher FTTE" fld="2" baseField="0"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17"/>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B47E57-C443-42AA-831F-013AA08AF333}" name="PivotTable8" cacheId="6" applyNumberFormats="0" applyBorderFormats="0" applyFontFormats="0" applyPatternFormats="0" applyAlignmentFormats="0" applyWidthHeightFormats="1" dataCaption="Values" showError="1" tag="80f8667b-9133-4a67-aebc-c001798e6c80" updatedVersion="8" minRefreshableVersion="3" showDrill="0" showMemberPropertyTips="0" showDataTips="0" enableDrill="0" useAutoFormatting="1" rowGrandTotals="0" colGrandTotals="0" itemPrintTitles="1" createdVersion="8" indent="0" showHeaders="0" compact="0" compactData="0" multipleFieldFilters="0">
  <location ref="A4:N38"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11">
        <item x="0"/>
        <item x="1"/>
        <item x="2"/>
        <item x="3"/>
        <item x="4"/>
        <item x="5"/>
        <item x="6"/>
        <item x="7"/>
        <item x="8"/>
        <item x="9"/>
        <item x="10"/>
      </items>
    </pivotField>
    <pivotField dataField="1" compact="0" outline="0" subtotalTop="0" showAll="0" defaultSubtotal="0"/>
  </pivotFields>
  <rowFields count="2">
    <field x="1"/>
    <field x="2"/>
  </rowFields>
  <rowItems count="33">
    <i>
      <x/>
      <x/>
    </i>
    <i r="1">
      <x v="1"/>
    </i>
    <i r="1">
      <x v="2"/>
    </i>
    <i r="1">
      <x v="3"/>
    </i>
    <i r="1">
      <x v="4"/>
    </i>
    <i r="1">
      <x v="5"/>
    </i>
    <i r="1">
      <x v="6"/>
    </i>
    <i r="1">
      <x v="7"/>
    </i>
    <i r="1">
      <x v="8"/>
    </i>
    <i r="1">
      <x v="9"/>
    </i>
    <i r="1">
      <x v="10"/>
    </i>
    <i>
      <x v="1"/>
      <x/>
    </i>
    <i r="1">
      <x v="1"/>
    </i>
    <i r="1">
      <x v="2"/>
    </i>
    <i r="1">
      <x v="3"/>
    </i>
    <i r="1">
      <x v="4"/>
    </i>
    <i r="1">
      <x v="5"/>
    </i>
    <i r="1">
      <x v="6"/>
    </i>
    <i r="1">
      <x v="7"/>
    </i>
    <i r="1">
      <x v="8"/>
    </i>
    <i r="1">
      <x v="9"/>
    </i>
    <i r="1">
      <x v="10"/>
    </i>
    <i>
      <x v="2"/>
      <x/>
    </i>
    <i r="1">
      <x v="1"/>
    </i>
    <i r="1">
      <x v="2"/>
    </i>
    <i r="1">
      <x v="3"/>
    </i>
    <i r="1">
      <x v="4"/>
    </i>
    <i r="1">
      <x v="5"/>
    </i>
    <i r="1">
      <x v="6"/>
    </i>
    <i r="1">
      <x v="7"/>
    </i>
    <i r="1">
      <x v="8"/>
    </i>
    <i r="1">
      <x v="9"/>
    </i>
    <i r="1">
      <x v="10"/>
    </i>
  </rowItems>
  <colFields count="1">
    <field x="0"/>
  </colFields>
  <colItems count="12">
    <i>
      <x/>
    </i>
    <i>
      <x v="1"/>
    </i>
    <i>
      <x v="2"/>
    </i>
    <i>
      <x v="3"/>
    </i>
    <i>
      <x v="4"/>
    </i>
    <i>
      <x v="5"/>
    </i>
    <i>
      <x v="6"/>
    </i>
    <i>
      <x v="7"/>
    </i>
    <i>
      <x v="8"/>
    </i>
    <i>
      <x v="9"/>
    </i>
    <i>
      <x v="10"/>
    </i>
    <i>
      <x v="11"/>
    </i>
  </colItems>
  <dataFields count="1">
    <dataField name="Teacher FTTE" fld="3" baseField="2"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19"/>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907D678-C8EE-4DEE-98CE-0201990A8A32}" name="PivotTable8" cacheId="14" applyNumberFormats="0" applyBorderFormats="0" applyFontFormats="0" applyPatternFormats="0" applyAlignmentFormats="0" applyWidthHeightFormats="1" dataCaption="Values" showError="1" tag="70f19994-c2ec-48d4-86b4-af32095c5537" updatedVersion="8" minRefreshableVersion="3" showDrill="0" showMemberPropertyTips="0" showDataTips="0" enableDrill="0" useAutoFormatting="1" rowGrandTotals="0" colGrandTotals="0" itemPrintTitles="1" createdVersion="8" indent="0" showHeaders="0" compact="0" compactData="0" multipleFieldFilters="0">
  <location ref="A4:N17"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efaultSubtotal="0" defaultAttributeDrillState="1">
      <items count="4">
        <item x="1"/>
        <item x="2"/>
        <item x="0"/>
        <item x="3"/>
      </items>
    </pivotField>
    <pivotField dataField="1" compact="0" outline="0" subtotalTop="0" showAll="0" defaultSubtotal="0"/>
  </pivotFields>
  <rowFields count="2">
    <field x="1"/>
    <field x="2"/>
  </rowFields>
  <rowItems count="12">
    <i>
      <x/>
      <x/>
    </i>
    <i r="1">
      <x v="1"/>
    </i>
    <i r="1">
      <x v="2"/>
    </i>
    <i r="1">
      <x v="3"/>
    </i>
    <i>
      <x v="1"/>
      <x/>
    </i>
    <i r="1">
      <x v="1"/>
    </i>
    <i r="1">
      <x v="2"/>
    </i>
    <i r="1">
      <x v="3"/>
    </i>
    <i>
      <x v="2"/>
      <x/>
    </i>
    <i r="1">
      <x v="1"/>
    </i>
    <i r="1">
      <x v="2"/>
    </i>
    <i r="1">
      <x v="3"/>
    </i>
  </rowItems>
  <colFields count="1">
    <field x="0"/>
  </colFields>
  <colItems count="12">
    <i>
      <x/>
    </i>
    <i>
      <x v="1"/>
    </i>
    <i>
      <x v="2"/>
    </i>
    <i>
      <x v="3"/>
    </i>
    <i>
      <x v="4"/>
    </i>
    <i>
      <x v="5"/>
    </i>
    <i>
      <x v="6"/>
    </i>
    <i>
      <x v="7"/>
    </i>
    <i>
      <x v="8"/>
    </i>
    <i>
      <x v="9"/>
    </i>
    <i>
      <x v="10"/>
    </i>
    <i>
      <x v="11"/>
    </i>
  </colItems>
  <dataFields count="1">
    <dataField name="Teacher FTTE" fld="3" baseField="2"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18"/>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0544DF2-7710-4D96-8D7B-ACF4356DA30E}" name="PivotTable8" cacheId="15" applyNumberFormats="0" applyBorderFormats="0" applyFontFormats="0" applyPatternFormats="0" applyAlignmentFormats="0" applyWidthHeightFormats="1" dataCaption="Values" showError="1" tag="1fd61a6b-2ca9-4ead-84f1-05feffa767d6" updatedVersion="8" minRefreshableVersion="3" showDrill="0" showMemberPropertyTips="0" showDataTips="0" enableDrill="0" useAutoFormatting="1" rowGrandTotals="0" colGrandTotals="0" itemPrintTitles="1" createdVersion="8" indent="0" showHeaders="0" compact="0" compactData="0" multipleFieldFilters="0">
  <location ref="A4:N25"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efaultSubtotal="0" defaultAttributeDrillState="1">
      <items count="7">
        <item x="1"/>
        <item x="0"/>
        <item x="2"/>
        <item x="5"/>
        <item x="4"/>
        <item x="3"/>
        <item x="6"/>
      </items>
    </pivotField>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s>
  <rowFields count="2">
    <field x="3"/>
    <field x="1"/>
  </rowFields>
  <rowItems count="20">
    <i>
      <x/>
      <x/>
    </i>
    <i r="1">
      <x v="1"/>
    </i>
    <i r="1">
      <x v="2"/>
    </i>
    <i r="1">
      <x v="3"/>
    </i>
    <i r="1">
      <x v="4"/>
    </i>
    <i r="1">
      <x v="5"/>
    </i>
    <i>
      <x v="1"/>
      <x/>
    </i>
    <i r="1">
      <x v="1"/>
    </i>
    <i r="1">
      <x v="2"/>
    </i>
    <i r="1">
      <x v="3"/>
    </i>
    <i r="1">
      <x v="4"/>
    </i>
    <i r="1">
      <x v="5"/>
    </i>
    <i r="1">
      <x v="6"/>
    </i>
    <i>
      <x v="2"/>
      <x/>
    </i>
    <i r="1">
      <x v="1"/>
    </i>
    <i r="1">
      <x v="2"/>
    </i>
    <i r="1">
      <x v="3"/>
    </i>
    <i r="1">
      <x v="4"/>
    </i>
    <i r="1">
      <x v="5"/>
    </i>
    <i r="1">
      <x v="6"/>
    </i>
  </rowItems>
  <colFields count="1">
    <field x="0"/>
  </colFields>
  <colItems count="12">
    <i>
      <x/>
    </i>
    <i>
      <x v="1"/>
    </i>
    <i>
      <x v="2"/>
    </i>
    <i>
      <x v="3"/>
    </i>
    <i>
      <x v="4"/>
    </i>
    <i>
      <x v="5"/>
    </i>
    <i>
      <x v="6"/>
    </i>
    <i>
      <x v="7"/>
    </i>
    <i>
      <x v="8"/>
    </i>
    <i>
      <x v="9"/>
    </i>
    <i>
      <x v="10"/>
    </i>
    <i>
      <x v="11"/>
    </i>
  </colItems>
  <dataFields count="1">
    <dataField name="Teacher FTTE" fld="2" baseField="1"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22"/>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1BB3203-7623-4FE4-8164-47296A52F4CC}" name="PivotTable8" cacheId="13" applyNumberFormats="0" applyBorderFormats="0" applyFontFormats="0" applyPatternFormats="0" applyAlignmentFormats="0" applyWidthHeightFormats="1" dataCaption="Values" showError="1" tag="5f990dc0-357e-4d22-ba03-e94960b55454"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N41"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efaultSubtotal="0" defaultAttributeDrillState="1">
      <items count="12">
        <item x="0"/>
        <item x="2"/>
        <item x="3"/>
        <item x="1"/>
        <item x="4"/>
        <item x="5"/>
        <item x="6"/>
        <item x="7"/>
        <item x="8"/>
        <item x="9"/>
        <item x="10"/>
        <item x="11"/>
      </items>
    </pivotField>
    <pivotField dataField="1" compact="0" outline="0" subtotalTop="0" showAll="0" defaultSubtotal="0"/>
  </pivotFields>
  <rowFields count="2">
    <field x="1"/>
    <field x="2"/>
  </rowFields>
  <rowItems count="36">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rowItems>
  <colFields count="1">
    <field x="0"/>
  </colFields>
  <colItems count="12">
    <i>
      <x/>
    </i>
    <i>
      <x v="1"/>
    </i>
    <i>
      <x v="2"/>
    </i>
    <i>
      <x v="3"/>
    </i>
    <i>
      <x v="4"/>
    </i>
    <i>
      <x v="5"/>
    </i>
    <i>
      <x v="6"/>
    </i>
    <i>
      <x v="7"/>
    </i>
    <i>
      <x v="8"/>
    </i>
    <i>
      <x v="9"/>
    </i>
    <i>
      <x v="10"/>
    </i>
    <i>
      <x v="11"/>
    </i>
  </colItems>
  <dataFields count="1">
    <dataField name="Teacher FTTE" fld="3" baseField="2"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26"/>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BBF69EF-0327-4C60-B478-BC2739C9B1E4}" name="PivotTable8" cacheId="12" applyNumberFormats="0" applyBorderFormats="0" applyFontFormats="0" applyPatternFormats="0" applyAlignmentFormats="0" applyWidthHeightFormats="1" dataCaption="Values" showError="1" tag="b2a2b3be-3f48-4903-a7e6-f050954dd71f"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N57"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compact="0" outline="0" subtotalTop="0" showAll="0" defaultSubtotal="0"/>
  </pivotFields>
  <rowFields count="2">
    <field x="1"/>
    <field x="2"/>
  </rowFields>
  <rowItems count="52">
    <i>
      <x/>
      <x/>
    </i>
    <i r="1">
      <x v="1"/>
    </i>
    <i r="1">
      <x v="2"/>
    </i>
    <i r="1">
      <x v="3"/>
    </i>
    <i r="1">
      <x v="4"/>
    </i>
    <i r="1">
      <x v="5"/>
    </i>
    <i r="1">
      <x v="6"/>
    </i>
    <i r="1">
      <x v="7"/>
    </i>
    <i r="1">
      <x v="8"/>
    </i>
    <i r="1">
      <x v="9"/>
    </i>
    <i r="1">
      <x v="10"/>
    </i>
    <i r="1">
      <x v="11"/>
    </i>
    <i r="1">
      <x v="12"/>
    </i>
    <i r="1">
      <x v="13"/>
    </i>
    <i r="1">
      <x v="14"/>
    </i>
    <i r="1">
      <x v="15"/>
    </i>
    <i r="1">
      <x v="16"/>
    </i>
    <i>
      <x v="1"/>
      <x/>
    </i>
    <i r="1">
      <x v="1"/>
    </i>
    <i r="1">
      <x v="2"/>
    </i>
    <i r="1">
      <x v="3"/>
    </i>
    <i r="1">
      <x v="4"/>
    </i>
    <i r="1">
      <x v="5"/>
    </i>
    <i r="1">
      <x v="6"/>
    </i>
    <i r="1">
      <x v="7"/>
    </i>
    <i r="1">
      <x v="8"/>
    </i>
    <i r="1">
      <x v="9"/>
    </i>
    <i r="1">
      <x v="10"/>
    </i>
    <i r="1">
      <x v="11"/>
    </i>
    <i r="1">
      <x v="12"/>
    </i>
    <i r="1">
      <x v="13"/>
    </i>
    <i r="1">
      <x v="14"/>
    </i>
    <i r="1">
      <x v="15"/>
    </i>
    <i r="1">
      <x v="17"/>
    </i>
    <i>
      <x v="2"/>
      <x/>
    </i>
    <i r="1">
      <x v="1"/>
    </i>
    <i r="1">
      <x v="2"/>
    </i>
    <i r="1">
      <x v="3"/>
    </i>
    <i r="1">
      <x v="4"/>
    </i>
    <i r="1">
      <x v="5"/>
    </i>
    <i r="1">
      <x v="6"/>
    </i>
    <i r="1">
      <x v="7"/>
    </i>
    <i r="1">
      <x v="8"/>
    </i>
    <i r="1">
      <x v="9"/>
    </i>
    <i r="1">
      <x v="10"/>
    </i>
    <i r="1">
      <x v="11"/>
    </i>
    <i r="1">
      <x v="12"/>
    </i>
    <i r="1">
      <x v="13"/>
    </i>
    <i r="1">
      <x v="14"/>
    </i>
    <i r="1">
      <x v="15"/>
    </i>
    <i r="1">
      <x v="16"/>
    </i>
    <i r="1">
      <x v="17"/>
    </i>
  </rowItems>
  <colFields count="1">
    <field x="0"/>
  </colFields>
  <colItems count="12">
    <i>
      <x/>
    </i>
    <i>
      <x v="1"/>
    </i>
    <i>
      <x v="2"/>
    </i>
    <i>
      <x v="3"/>
    </i>
    <i>
      <x v="4"/>
    </i>
    <i>
      <x v="5"/>
    </i>
    <i>
      <x v="6"/>
    </i>
    <i>
      <x v="7"/>
    </i>
    <i>
      <x v="8"/>
    </i>
    <i>
      <x v="9"/>
    </i>
    <i>
      <x v="10"/>
    </i>
    <i>
      <x v="11"/>
    </i>
  </colItems>
  <dataFields count="1">
    <dataField name="Teacher FTTE" fld="3" baseField="2"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2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B064D8D-DF65-4CA1-941D-E427313447F8}" name="PivotTable8" cacheId="11" applyNumberFormats="0" applyBorderFormats="0" applyFontFormats="0" applyPatternFormats="0" applyAlignmentFormats="0" applyWidthHeightFormats="1" dataCaption="Values" showError="1" tag="ab66360c-74ee-4880-8262-63ebe56a8696"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N266"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pivotField>
    <pivotField dataField="1" compact="0" outline="0" subtotalTop="0" showAll="0" defaultSubtotal="0"/>
  </pivotFields>
  <rowFields count="2">
    <field x="1"/>
    <field x="2"/>
  </rowFields>
  <rowItems count="261">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x v="1"/>
      <x/>
    </i>
    <i r="1">
      <x v="1"/>
    </i>
    <i r="1">
      <x v="2"/>
    </i>
    <i r="1">
      <x v="3"/>
    </i>
    <i r="1">
      <x v="4"/>
    </i>
    <i r="1">
      <x v="5"/>
    </i>
    <i r="1">
      <x v="6"/>
    </i>
    <i r="1">
      <x v="7"/>
    </i>
    <i r="1">
      <x v="8"/>
    </i>
    <i r="1">
      <x v="9"/>
    </i>
    <i r="1">
      <x v="10"/>
    </i>
    <i r="1">
      <x v="11"/>
    </i>
    <i r="1">
      <x v="12"/>
    </i>
    <i r="1">
      <x v="13"/>
    </i>
    <i r="1">
      <x v="14"/>
    </i>
    <i r="1">
      <x v="15"/>
    </i>
    <i r="1">
      <x v="16"/>
    </i>
    <i r="1">
      <x v="17"/>
    </i>
    <i r="1">
      <x v="18"/>
    </i>
    <i r="1">
      <x v="19"/>
    </i>
    <i r="1">
      <x v="20"/>
    </i>
    <i r="1">
      <x v="21"/>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9"/>
    </i>
    <i r="1">
      <x v="80"/>
    </i>
    <i r="1">
      <x v="81"/>
    </i>
    <i r="1">
      <x v="82"/>
    </i>
    <i r="1">
      <x v="83"/>
    </i>
    <i r="1">
      <x v="84"/>
    </i>
    <i r="1">
      <x v="85"/>
    </i>
    <i r="1">
      <x v="86"/>
    </i>
    <i r="1">
      <x v="87"/>
    </i>
    <i>
      <x v="2"/>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rowItems>
  <colFields count="1">
    <field x="0"/>
  </colFields>
  <colItems count="12">
    <i>
      <x/>
    </i>
    <i>
      <x v="1"/>
    </i>
    <i>
      <x v="2"/>
    </i>
    <i>
      <x v="3"/>
    </i>
    <i>
      <x v="4"/>
    </i>
    <i>
      <x v="5"/>
    </i>
    <i>
      <x v="6"/>
    </i>
    <i>
      <x v="7"/>
    </i>
    <i>
      <x v="8"/>
    </i>
    <i>
      <x v="9"/>
    </i>
    <i>
      <x v="10"/>
    </i>
    <i>
      <x v="11"/>
    </i>
  </colItems>
  <dataFields count="1">
    <dataField name="Teacher FTTE" fld="3" baseField="2"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25"/>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BBD30E9-3029-4F54-B824-7AF1869C3BFF}" name="PivotTable8" cacheId="8" applyNumberFormats="0" applyBorderFormats="0" applyFontFormats="0" applyPatternFormats="0" applyAlignmentFormats="0" applyWidthHeightFormats="1" dataCaption="Values" showError="1" tag="c8b737e2-0c3f-4b81-a15d-c0aecc36cf48"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N14" firstHeaderRow="1" firstDataRow="2" firstDataCol="2"/>
  <pivotFields count="4">
    <pivotField axis="axisCol"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efaultSubtotal="0" defaultAttributeDrillState="1">
      <items count="3">
        <item x="0"/>
        <item x="2"/>
        <item x="1"/>
      </items>
    </pivotField>
    <pivotField dataField="1" compact="0" outline="0" subtotalTop="0" showAll="0" defaultSubtotal="0"/>
  </pivotFields>
  <rowFields count="2">
    <field x="1"/>
    <field x="2"/>
  </rowFields>
  <rowItems count="9">
    <i>
      <x/>
      <x/>
    </i>
    <i r="1">
      <x v="1"/>
    </i>
    <i r="1">
      <x v="2"/>
    </i>
    <i>
      <x v="1"/>
      <x/>
    </i>
    <i r="1">
      <x v="1"/>
    </i>
    <i r="1">
      <x v="2"/>
    </i>
    <i>
      <x v="2"/>
      <x/>
    </i>
    <i r="1">
      <x v="1"/>
    </i>
    <i r="1">
      <x v="2"/>
    </i>
  </rowItems>
  <colFields count="1">
    <field x="0"/>
  </colFields>
  <colItems count="12">
    <i>
      <x/>
    </i>
    <i>
      <x v="1"/>
    </i>
    <i>
      <x v="2"/>
    </i>
    <i>
      <x v="3"/>
    </i>
    <i>
      <x v="4"/>
    </i>
    <i>
      <x v="5"/>
    </i>
    <i>
      <x v="6"/>
    </i>
    <i>
      <x v="7"/>
    </i>
    <i>
      <x v="8"/>
    </i>
    <i>
      <x v="9"/>
    </i>
    <i>
      <x v="10"/>
    </i>
    <i>
      <x v="11"/>
    </i>
  </colItems>
  <dataFields count="1">
    <dataField name="Teacher FTTE" fld="3" baseField="2" baseItem="0" numFmtId="3"/>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 FTTE"/>
    <pivotHierarchy dragToData="1"/>
  </pivotHierarchies>
  <pivotTableStyleInfo name="PivotStyleMedium2 -Custom" showRowHeaders="1" showColHeaders="1" showRowStripes="1" showColStripes="1" showLastColumn="1"/>
  <rowHierarchiesUsage count="2">
    <rowHierarchyUsage hierarchyUsage="15"/>
    <rowHierarchyUsage hierarchyUsage="27"/>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Numbers]"/>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ivotTable" Target="../pivotTables/pivotTable14.xm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ivotTable" Target="../pivotTables/pivotTable15.xm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DC0EB-9C1F-454F-BB22-7861E3F391D9}">
  <sheetPr codeName="Sheet1"/>
  <dimension ref="A1:Z37"/>
  <sheetViews>
    <sheetView showGridLines="0" tabSelected="1" workbookViewId="0">
      <selection activeCell="B2" sqref="B2:W2"/>
    </sheetView>
  </sheetViews>
  <sheetFormatPr defaultColWidth="9.1796875" defaultRowHeight="14.5"/>
  <cols>
    <col min="1" max="25" width="9.1796875" style="4"/>
    <col min="26" max="26" width="12.1796875" style="4" customWidth="1"/>
    <col min="27" max="16384" width="9.1796875" style="4"/>
  </cols>
  <sheetData>
    <row r="1" spans="1:23">
      <c r="A1" s="41"/>
      <c r="B1" s="41"/>
      <c r="C1" s="1"/>
      <c r="D1" s="1"/>
    </row>
    <row r="2" spans="1:23" ht="26">
      <c r="A2" s="1"/>
      <c r="B2" s="42" t="s">
        <v>230</v>
      </c>
      <c r="C2" s="42"/>
      <c r="D2" s="42"/>
      <c r="E2" s="42"/>
      <c r="F2" s="42"/>
      <c r="G2" s="42"/>
      <c r="H2" s="42"/>
      <c r="I2" s="42"/>
      <c r="J2" s="42"/>
      <c r="K2" s="42"/>
      <c r="L2" s="42"/>
      <c r="M2" s="42"/>
      <c r="N2" s="42"/>
      <c r="O2" s="42"/>
      <c r="P2" s="42"/>
      <c r="Q2" s="42"/>
      <c r="R2" s="42"/>
      <c r="S2" s="42"/>
      <c r="T2" s="42"/>
      <c r="U2" s="42"/>
      <c r="V2" s="42"/>
      <c r="W2" s="42"/>
    </row>
    <row r="3" spans="1:23">
      <c r="A3" s="1"/>
      <c r="B3" s="1" t="s">
        <v>200</v>
      </c>
      <c r="C3" s="1"/>
      <c r="D3" s="1"/>
    </row>
    <row r="4" spans="1:23">
      <c r="A4" s="1"/>
      <c r="B4" s="15" t="s">
        <v>231</v>
      </c>
      <c r="C4" s="1"/>
      <c r="D4" s="1"/>
    </row>
    <row r="5" spans="1:23">
      <c r="A5" s="1"/>
      <c r="B5" s="1" t="s">
        <v>201</v>
      </c>
      <c r="C5" s="1"/>
      <c r="D5" s="1"/>
    </row>
    <row r="6" spans="1:23">
      <c r="A6" s="1"/>
      <c r="B6" s="1"/>
      <c r="C6" s="1"/>
      <c r="D6" s="1"/>
    </row>
    <row r="7" spans="1:23">
      <c r="A7" s="1"/>
      <c r="B7" s="12" t="s">
        <v>232</v>
      </c>
      <c r="C7" s="1"/>
      <c r="D7" s="1"/>
    </row>
    <row r="8" spans="1:23">
      <c r="A8" s="1"/>
      <c r="B8" s="2" t="s">
        <v>0</v>
      </c>
      <c r="C8" s="1"/>
      <c r="D8" s="1"/>
    </row>
    <row r="9" spans="1:23">
      <c r="A9" s="1"/>
      <c r="B9" s="2" t="s">
        <v>202</v>
      </c>
      <c r="C9" s="1"/>
      <c r="D9" s="1"/>
    </row>
    <row r="10" spans="1:23">
      <c r="A10" s="1"/>
      <c r="B10" s="2" t="s">
        <v>1</v>
      </c>
      <c r="C10" s="1"/>
      <c r="D10" s="1"/>
    </row>
    <row r="11" spans="1:23">
      <c r="A11" s="1"/>
      <c r="B11" s="2" t="s">
        <v>2</v>
      </c>
      <c r="C11" s="1"/>
      <c r="D11" s="1"/>
    </row>
    <row r="12" spans="1:23">
      <c r="A12" s="1"/>
      <c r="B12" s="2" t="s">
        <v>3</v>
      </c>
      <c r="C12" s="1"/>
      <c r="D12" s="1"/>
    </row>
    <row r="13" spans="1:23">
      <c r="A13" s="1"/>
      <c r="B13" s="2" t="s">
        <v>4</v>
      </c>
      <c r="C13" s="1"/>
      <c r="D13" s="1"/>
    </row>
    <row r="14" spans="1:23">
      <c r="A14" s="1"/>
      <c r="B14" s="2" t="s">
        <v>5</v>
      </c>
      <c r="C14" s="1"/>
      <c r="D14" s="1"/>
    </row>
    <row r="15" spans="1:23">
      <c r="A15" s="1"/>
      <c r="B15" s="2" t="s">
        <v>6</v>
      </c>
      <c r="C15" s="1"/>
      <c r="D15" s="1"/>
    </row>
    <row r="16" spans="1:23">
      <c r="A16" s="1"/>
      <c r="B16" s="2" t="s">
        <v>198</v>
      </c>
      <c r="C16" s="1"/>
      <c r="D16" s="1"/>
    </row>
    <row r="17" spans="1:4">
      <c r="A17" s="1"/>
      <c r="B17" s="2" t="s">
        <v>264</v>
      </c>
      <c r="C17" s="1"/>
      <c r="D17" s="1"/>
    </row>
    <row r="18" spans="1:4">
      <c r="A18" s="1"/>
      <c r="B18" s="2" t="s">
        <v>8</v>
      </c>
      <c r="C18" s="1"/>
      <c r="D18" s="1"/>
    </row>
    <row r="19" spans="1:4">
      <c r="A19" s="1"/>
      <c r="B19" s="2" t="s">
        <v>9</v>
      </c>
      <c r="C19" s="1"/>
      <c r="D19" s="1"/>
    </row>
    <row r="20" spans="1:4">
      <c r="A20" s="1"/>
      <c r="B20" s="2" t="s">
        <v>7</v>
      </c>
      <c r="C20" s="1"/>
      <c r="D20" s="1"/>
    </row>
    <row r="21" spans="1:4">
      <c r="A21" s="1"/>
      <c r="B21" s="2" t="s">
        <v>12</v>
      </c>
      <c r="C21" s="1"/>
      <c r="D21" s="1"/>
    </row>
    <row r="22" spans="1:4">
      <c r="A22" s="1"/>
      <c r="B22" s="2" t="s">
        <v>11</v>
      </c>
      <c r="C22" s="1"/>
      <c r="D22" s="1"/>
    </row>
    <row r="23" spans="1:4">
      <c r="A23" s="1"/>
      <c r="B23" s="2" t="s">
        <v>10</v>
      </c>
      <c r="C23" s="1"/>
      <c r="D23" s="1"/>
    </row>
    <row r="24" spans="1:4">
      <c r="A24" s="1"/>
      <c r="B24" s="2" t="s">
        <v>56</v>
      </c>
      <c r="C24" s="1"/>
      <c r="D24" s="1"/>
    </row>
    <row r="25" spans="1:4">
      <c r="A25" s="1"/>
      <c r="B25" s="1"/>
      <c r="C25" s="1"/>
      <c r="D25" s="1"/>
    </row>
    <row r="26" spans="1:4">
      <c r="A26" s="3"/>
      <c r="B26" s="3"/>
      <c r="C26" s="3"/>
      <c r="D26" s="3"/>
    </row>
    <row r="27" spans="1:4">
      <c r="A27" s="3"/>
      <c r="B27" s="3"/>
      <c r="C27" s="3"/>
      <c r="D27" s="3"/>
    </row>
    <row r="28" spans="1:4">
      <c r="A28" s="3"/>
      <c r="B28" s="3"/>
      <c r="C28" s="3"/>
      <c r="D28" s="3"/>
    </row>
    <row r="35" spans="26:26">
      <c r="Z35" s="11"/>
    </row>
    <row r="36" spans="26:26">
      <c r="Z36" s="11"/>
    </row>
    <row r="37" spans="26:26">
      <c r="Z37" s="11"/>
    </row>
  </sheetData>
  <mergeCells count="2">
    <mergeCell ref="A1:B1"/>
    <mergeCell ref="B2:W2"/>
  </mergeCells>
  <hyperlinks>
    <hyperlink ref="B8" location="Sector!A1" display="Sector" xr:uid="{1C3A15E3-6FEB-4944-A6FF-05437402FC15}"/>
    <hyperlink ref="B10" location="'Employment Type'!A1" display="Employment Type" xr:uid="{5C81F16D-04D0-4152-B8FF-70C613C8491B}"/>
    <hyperlink ref="B11" location="'Full Part Time'!A1" display="Full/Part Time" xr:uid="{F5CF981E-D8A6-4343-807D-1DC98BB9ADD2}"/>
    <hyperlink ref="B12" location="'Ethnic Group'!A1" display="Ethnic Group" xr:uid="{EF1EC428-DD93-4D0F-BF61-6700A679C085}"/>
    <hyperlink ref="B13" location="'Age Group'!A1" display="Age Group" xr:uid="{2C347378-41D2-4BA2-8689-D95AFD561751}"/>
    <hyperlink ref="B14" location="Gender!A1" display="Teacher Gender" xr:uid="{07DE986E-F95F-457B-9DDF-24599676326A}"/>
    <hyperlink ref="B15" location="'School Gender'!A1" display="School Gender" xr:uid="{D06FBC1C-8362-4DA1-A6B4-82189E1BBCA8}"/>
    <hyperlink ref="B20" location="'Urban Rural'!A1" display="Urban/Rural" xr:uid="{185AB007-6ED9-4555-873A-4128F65A651C}"/>
    <hyperlink ref="B18" location="Decile!A1" display="Decile" xr:uid="{5833AF83-B9B8-435E-8A92-061E18A0F44B}"/>
    <hyperlink ref="B19" location="'Grouped Decile'!A1" display="Grouped Decile" xr:uid="{BDE6CF29-142A-4AB0-93E2-766EF6A19926}"/>
    <hyperlink ref="B23" location="'Territorial Authority'!A1" display="Territorial Authority" xr:uid="{83A32D32-86B5-424A-A340-AFFFAE37F800}"/>
    <hyperlink ref="B22" location="'Regional Council'!A1" display="Regional Council" xr:uid="{6A72A545-25F5-419D-9CED-7CD24E1CCD8C}"/>
    <hyperlink ref="B21" location="'Education Region'!A1" display="Education Region" xr:uid="{770357DF-AEEC-429F-8150-DB6581CA61EC}"/>
    <hyperlink ref="B24" location="'Te Mahau Takiwā'!A1" display="Te Mahau Takiwā" xr:uid="{F794B14C-9336-43E3-A5C6-D8A6791C2E5E}"/>
    <hyperlink ref="B9" location="Designation!A1" display="Designation" xr:uid="{3EB61972-E354-4455-AEE3-5D5E83B8A15B}"/>
    <hyperlink ref="B16" location="'Equity Index Band'!A1" display="Equity Index Band" xr:uid="{02D6E66E-DB82-462B-8E9C-2BBDF9DAAE23}"/>
    <hyperlink ref="B17" location="'Equity Index Group'!A1" display="Equity Index Group" xr:uid="{BE4C5E06-D835-4F6C-9598-0AE05A0A2182}"/>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6EC56-2F9E-4F2D-834D-816EA81B9E86}">
  <dimension ref="A1:M66"/>
  <sheetViews>
    <sheetView workbookViewId="0"/>
  </sheetViews>
  <sheetFormatPr defaultColWidth="9.1796875" defaultRowHeight="14.5"/>
  <cols>
    <col min="1" max="1" width="41.7265625" style="4" customWidth="1"/>
    <col min="2" max="2" width="16.7265625" style="4" bestFit="1" customWidth="1"/>
    <col min="3" max="12" width="9.1796875" style="4"/>
    <col min="13" max="13" width="42.7265625" style="4" customWidth="1"/>
    <col min="14" max="14" width="41.1796875" style="4" bestFit="1" customWidth="1"/>
    <col min="15" max="16384" width="9.1796875" style="4"/>
  </cols>
  <sheetData>
    <row r="1" spans="1:13" ht="23">
      <c r="A1" s="5" t="s">
        <v>13</v>
      </c>
      <c r="B1" s="6"/>
      <c r="C1" s="6"/>
      <c r="D1" s="6"/>
      <c r="E1" s="6"/>
      <c r="F1" s="6"/>
      <c r="G1" s="6"/>
      <c r="H1" s="6"/>
      <c r="I1" s="7"/>
      <c r="J1" s="7"/>
      <c r="K1" s="7"/>
      <c r="L1" s="7"/>
      <c r="M1" s="7"/>
    </row>
    <row r="2" spans="1:13">
      <c r="A2" s="8"/>
      <c r="B2" s="6"/>
      <c r="C2" s="6"/>
      <c r="D2" s="6"/>
      <c r="E2" s="6"/>
      <c r="F2" s="6"/>
      <c r="G2" s="6"/>
      <c r="H2" s="6"/>
      <c r="I2" s="7"/>
      <c r="J2" s="7"/>
      <c r="K2" s="7"/>
      <c r="L2" s="7"/>
      <c r="M2" s="7"/>
    </row>
    <row r="3" spans="1:13">
      <c r="A3" s="9" t="s">
        <v>14</v>
      </c>
      <c r="B3" s="94" t="s">
        <v>13</v>
      </c>
      <c r="C3" s="94"/>
      <c r="D3" s="94"/>
      <c r="E3" s="94"/>
      <c r="F3" s="94"/>
      <c r="G3" s="94"/>
      <c r="H3" s="94"/>
      <c r="I3" s="94"/>
      <c r="J3" s="94"/>
      <c r="K3" s="94"/>
      <c r="L3" s="94"/>
      <c r="M3" s="94"/>
    </row>
    <row r="4" spans="1:13" ht="15" customHeight="1">
      <c r="A4" s="46" t="s">
        <v>26</v>
      </c>
      <c r="B4" s="53" t="s">
        <v>251</v>
      </c>
      <c r="C4" s="48"/>
      <c r="D4" s="48"/>
      <c r="E4" s="48"/>
      <c r="F4" s="48"/>
      <c r="G4" s="48"/>
      <c r="H4" s="48"/>
      <c r="I4" s="48"/>
      <c r="J4" s="48"/>
      <c r="K4" s="48"/>
      <c r="L4" s="48"/>
      <c r="M4" s="49"/>
    </row>
    <row r="5" spans="1:13">
      <c r="A5" s="52"/>
      <c r="B5" s="54"/>
      <c r="C5" s="55"/>
      <c r="D5" s="55"/>
      <c r="E5" s="55"/>
      <c r="F5" s="55"/>
      <c r="G5" s="55"/>
      <c r="H5" s="55"/>
      <c r="I5" s="55"/>
      <c r="J5" s="55"/>
      <c r="K5" s="55"/>
      <c r="L5" s="55"/>
      <c r="M5" s="56"/>
    </row>
    <row r="6" spans="1:13">
      <c r="A6" s="47"/>
      <c r="B6" s="95"/>
      <c r="C6" s="50"/>
      <c r="D6" s="50"/>
      <c r="E6" s="50"/>
      <c r="F6" s="50"/>
      <c r="G6" s="50"/>
      <c r="H6" s="50"/>
      <c r="I6" s="50"/>
      <c r="J6" s="50"/>
      <c r="K6" s="50"/>
      <c r="L6" s="50"/>
      <c r="M6" s="51"/>
    </row>
    <row r="7" spans="1:13" s="7" customFormat="1" ht="13">
      <c r="A7" s="9" t="s">
        <v>252</v>
      </c>
      <c r="B7" s="43" t="s">
        <v>216</v>
      </c>
      <c r="C7" s="44"/>
      <c r="D7" s="44"/>
      <c r="E7" s="44"/>
      <c r="F7" s="44"/>
      <c r="G7" s="44"/>
      <c r="H7" s="44"/>
      <c r="I7" s="44"/>
      <c r="J7" s="44"/>
      <c r="K7" s="44"/>
      <c r="L7" s="44"/>
      <c r="M7" s="45"/>
    </row>
    <row r="8" spans="1:13">
      <c r="A8" s="16" t="s">
        <v>58</v>
      </c>
      <c r="B8" s="43" t="s">
        <v>20</v>
      </c>
      <c r="C8" s="44"/>
      <c r="D8" s="44"/>
      <c r="E8" s="44"/>
      <c r="F8" s="44"/>
      <c r="G8" s="44"/>
      <c r="H8" s="44"/>
      <c r="I8" s="44"/>
      <c r="J8" s="44"/>
      <c r="K8" s="44"/>
      <c r="L8" s="44"/>
      <c r="M8" s="45"/>
    </row>
    <row r="9" spans="1:13">
      <c r="A9" s="16" t="s">
        <v>21</v>
      </c>
      <c r="B9" s="43" t="s">
        <v>22</v>
      </c>
      <c r="C9" s="44"/>
      <c r="D9" s="44"/>
      <c r="E9" s="44"/>
      <c r="F9" s="44"/>
      <c r="G9" s="44"/>
      <c r="H9" s="44"/>
      <c r="I9" s="44"/>
      <c r="J9" s="44"/>
      <c r="K9" s="44"/>
      <c r="L9" s="44"/>
      <c r="M9" s="45"/>
    </row>
    <row r="10" spans="1:13">
      <c r="A10" s="46" t="s">
        <v>15</v>
      </c>
      <c r="B10" s="53" t="s">
        <v>57</v>
      </c>
      <c r="C10" s="48"/>
      <c r="D10" s="48"/>
      <c r="E10" s="48"/>
      <c r="F10" s="48"/>
      <c r="G10" s="48"/>
      <c r="H10" s="48"/>
      <c r="I10" s="48"/>
      <c r="J10" s="48"/>
      <c r="K10" s="48"/>
      <c r="L10" s="48"/>
      <c r="M10" s="49"/>
    </row>
    <row r="11" spans="1:13">
      <c r="A11" s="52"/>
      <c r="B11" s="54"/>
      <c r="C11" s="55"/>
      <c r="D11" s="55"/>
      <c r="E11" s="55"/>
      <c r="F11" s="55"/>
      <c r="G11" s="55"/>
      <c r="H11" s="55"/>
      <c r="I11" s="55"/>
      <c r="J11" s="55"/>
      <c r="K11" s="55"/>
      <c r="L11" s="55"/>
      <c r="M11" s="56"/>
    </row>
    <row r="12" spans="1:13">
      <c r="A12" s="52"/>
      <c r="B12" s="54"/>
      <c r="C12" s="55"/>
      <c r="D12" s="55"/>
      <c r="E12" s="55"/>
      <c r="F12" s="55"/>
      <c r="G12" s="55"/>
      <c r="H12" s="55"/>
      <c r="I12" s="55"/>
      <c r="J12" s="55"/>
      <c r="K12" s="55"/>
      <c r="L12" s="55"/>
      <c r="M12" s="56"/>
    </row>
    <row r="13" spans="1:13">
      <c r="A13" s="52"/>
      <c r="B13" s="54"/>
      <c r="C13" s="55"/>
      <c r="D13" s="55"/>
      <c r="E13" s="55"/>
      <c r="F13" s="55"/>
      <c r="G13" s="55"/>
      <c r="H13" s="55"/>
      <c r="I13" s="55"/>
      <c r="J13" s="55"/>
      <c r="K13" s="55"/>
      <c r="L13" s="55"/>
      <c r="M13" s="56"/>
    </row>
    <row r="14" spans="1:13">
      <c r="A14" s="47"/>
      <c r="B14" s="95"/>
      <c r="C14" s="50"/>
      <c r="D14" s="50"/>
      <c r="E14" s="50"/>
      <c r="F14" s="50"/>
      <c r="G14" s="50"/>
      <c r="H14" s="50"/>
      <c r="I14" s="50"/>
      <c r="J14" s="50"/>
      <c r="K14" s="50"/>
      <c r="L14" s="50"/>
      <c r="M14" s="51"/>
    </row>
    <row r="15" spans="1:13">
      <c r="A15" s="16" t="s">
        <v>16</v>
      </c>
      <c r="B15" s="43" t="s">
        <v>17</v>
      </c>
      <c r="C15" s="44"/>
      <c r="D15" s="44"/>
      <c r="E15" s="44"/>
      <c r="F15" s="44"/>
      <c r="G15" s="44"/>
      <c r="H15" s="44"/>
      <c r="I15" s="44"/>
      <c r="J15" s="44"/>
      <c r="K15" s="44"/>
      <c r="L15" s="44"/>
      <c r="M15" s="45"/>
    </row>
    <row r="16" spans="1:13">
      <c r="A16" s="16" t="s">
        <v>18</v>
      </c>
      <c r="B16" s="43" t="s">
        <v>19</v>
      </c>
      <c r="C16" s="44"/>
      <c r="D16" s="44"/>
      <c r="E16" s="44"/>
      <c r="F16" s="44"/>
      <c r="G16" s="44"/>
      <c r="H16" s="44"/>
      <c r="I16" s="44"/>
      <c r="J16" s="44"/>
      <c r="K16" s="44"/>
      <c r="L16" s="44"/>
      <c r="M16" s="45"/>
    </row>
    <row r="17" spans="1:13">
      <c r="A17" s="9" t="s">
        <v>23</v>
      </c>
      <c r="B17" s="43" t="s">
        <v>253</v>
      </c>
      <c r="C17" s="44"/>
      <c r="D17" s="44"/>
      <c r="E17" s="44"/>
      <c r="F17" s="44"/>
      <c r="G17" s="44"/>
      <c r="H17" s="44"/>
      <c r="I17" s="44"/>
      <c r="J17" s="44"/>
      <c r="K17" s="44"/>
      <c r="L17" s="44"/>
      <c r="M17" s="45"/>
    </row>
    <row r="18" spans="1:13" ht="15" customHeight="1">
      <c r="A18" s="46" t="s">
        <v>199</v>
      </c>
      <c r="B18" s="53" t="s">
        <v>254</v>
      </c>
      <c r="C18" s="48"/>
      <c r="D18" s="48"/>
      <c r="E18" s="48"/>
      <c r="F18" s="48"/>
      <c r="G18" s="48"/>
      <c r="H18" s="48"/>
      <c r="I18" s="48"/>
      <c r="J18" s="48"/>
      <c r="K18" s="48"/>
      <c r="L18" s="48"/>
      <c r="M18" s="49"/>
    </row>
    <row r="19" spans="1:13">
      <c r="A19" s="52"/>
      <c r="B19" s="54"/>
      <c r="C19" s="55"/>
      <c r="D19" s="55"/>
      <c r="E19" s="55"/>
      <c r="F19" s="55"/>
      <c r="G19" s="55"/>
      <c r="H19" s="55"/>
      <c r="I19" s="55"/>
      <c r="J19" s="55"/>
      <c r="K19" s="55"/>
      <c r="L19" s="55"/>
      <c r="M19" s="56"/>
    </row>
    <row r="20" spans="1:13">
      <c r="A20" s="52"/>
      <c r="B20" s="54"/>
      <c r="C20" s="55"/>
      <c r="D20" s="55"/>
      <c r="E20" s="55"/>
      <c r="F20" s="55"/>
      <c r="G20" s="55"/>
      <c r="H20" s="55"/>
      <c r="I20" s="55"/>
      <c r="J20" s="55"/>
      <c r="K20" s="55"/>
      <c r="L20" s="55"/>
      <c r="M20" s="56"/>
    </row>
    <row r="21" spans="1:13">
      <c r="A21" s="52"/>
      <c r="B21" s="54"/>
      <c r="C21" s="55"/>
      <c r="D21" s="55"/>
      <c r="E21" s="55"/>
      <c r="F21" s="55"/>
      <c r="G21" s="55"/>
      <c r="H21" s="55"/>
      <c r="I21" s="55"/>
      <c r="J21" s="55"/>
      <c r="K21" s="55"/>
      <c r="L21" s="55"/>
      <c r="M21" s="56"/>
    </row>
    <row r="22" spans="1:13">
      <c r="A22" s="52"/>
      <c r="B22" s="54"/>
      <c r="C22" s="55"/>
      <c r="D22" s="55"/>
      <c r="E22" s="55"/>
      <c r="F22" s="55"/>
      <c r="G22" s="55"/>
      <c r="H22" s="55"/>
      <c r="I22" s="55"/>
      <c r="J22" s="55"/>
      <c r="K22" s="55"/>
      <c r="L22" s="55"/>
      <c r="M22" s="56"/>
    </row>
    <row r="23" spans="1:13">
      <c r="A23" s="52"/>
      <c r="B23" s="54"/>
      <c r="C23" s="55"/>
      <c r="D23" s="55"/>
      <c r="E23" s="55"/>
      <c r="F23" s="55"/>
      <c r="G23" s="55"/>
      <c r="H23" s="55"/>
      <c r="I23" s="55"/>
      <c r="J23" s="55"/>
      <c r="K23" s="55"/>
      <c r="L23" s="55"/>
      <c r="M23" s="56"/>
    </row>
    <row r="24" spans="1:13">
      <c r="A24" s="52"/>
      <c r="B24" s="54"/>
      <c r="C24" s="55"/>
      <c r="D24" s="55"/>
      <c r="E24" s="55"/>
      <c r="F24" s="55"/>
      <c r="G24" s="55"/>
      <c r="H24" s="55"/>
      <c r="I24" s="55"/>
      <c r="J24" s="55"/>
      <c r="K24" s="55"/>
      <c r="L24" s="55"/>
      <c r="M24" s="56"/>
    </row>
    <row r="25" spans="1:13">
      <c r="A25" s="52"/>
      <c r="B25" s="54"/>
      <c r="C25" s="55"/>
      <c r="D25" s="55"/>
      <c r="E25" s="55"/>
      <c r="F25" s="55"/>
      <c r="G25" s="55"/>
      <c r="H25" s="55"/>
      <c r="I25" s="55"/>
      <c r="J25" s="55"/>
      <c r="K25" s="55"/>
      <c r="L25" s="55"/>
      <c r="M25" s="56"/>
    </row>
    <row r="26" spans="1:13">
      <c r="A26" s="52"/>
      <c r="B26" s="54"/>
      <c r="C26" s="55"/>
      <c r="D26" s="55"/>
      <c r="E26" s="55"/>
      <c r="F26" s="55"/>
      <c r="G26" s="55"/>
      <c r="H26" s="55"/>
      <c r="I26" s="55"/>
      <c r="J26" s="55"/>
      <c r="K26" s="55"/>
      <c r="L26" s="55"/>
      <c r="M26" s="56"/>
    </row>
    <row r="27" spans="1:13">
      <c r="A27" s="52"/>
      <c r="B27" s="54"/>
      <c r="C27" s="55"/>
      <c r="D27" s="55"/>
      <c r="E27" s="55"/>
      <c r="F27" s="55"/>
      <c r="G27" s="55"/>
      <c r="H27" s="55"/>
      <c r="I27" s="55"/>
      <c r="J27" s="55"/>
      <c r="K27" s="55"/>
      <c r="L27" s="55"/>
      <c r="M27" s="56"/>
    </row>
    <row r="28" spans="1:13">
      <c r="A28" s="52"/>
      <c r="B28" s="54"/>
      <c r="C28" s="55"/>
      <c r="D28" s="55"/>
      <c r="E28" s="55"/>
      <c r="F28" s="55"/>
      <c r="G28" s="55"/>
      <c r="H28" s="55"/>
      <c r="I28" s="55"/>
      <c r="J28" s="55"/>
      <c r="K28" s="55"/>
      <c r="L28" s="55"/>
      <c r="M28" s="56"/>
    </row>
    <row r="29" spans="1:13">
      <c r="A29" s="47"/>
      <c r="B29" s="54"/>
      <c r="C29" s="55"/>
      <c r="D29" s="55"/>
      <c r="E29" s="55"/>
      <c r="F29" s="55"/>
      <c r="G29" s="55"/>
      <c r="H29" s="55"/>
      <c r="I29" s="55"/>
      <c r="J29" s="55"/>
      <c r="K29" s="55"/>
      <c r="L29" s="55"/>
      <c r="M29" s="56"/>
    </row>
    <row r="30" spans="1:13">
      <c r="A30" s="61" t="s">
        <v>255</v>
      </c>
      <c r="B30" s="64" t="s">
        <v>256</v>
      </c>
      <c r="C30" s="65"/>
      <c r="D30" s="65"/>
      <c r="E30" s="65"/>
      <c r="F30" s="65"/>
      <c r="G30" s="65"/>
      <c r="H30" s="65"/>
      <c r="I30" s="65"/>
      <c r="J30" s="65"/>
      <c r="K30" s="65"/>
      <c r="L30" s="65"/>
      <c r="M30" s="66"/>
    </row>
    <row r="31" spans="1:13">
      <c r="A31" s="62"/>
      <c r="B31" s="67"/>
      <c r="C31" s="68"/>
      <c r="D31" s="68"/>
      <c r="E31" s="68"/>
      <c r="F31" s="68"/>
      <c r="G31" s="68"/>
      <c r="H31" s="68"/>
      <c r="I31" s="68"/>
      <c r="J31" s="68"/>
      <c r="K31" s="68"/>
      <c r="L31" s="68"/>
      <c r="M31" s="69"/>
    </row>
    <row r="32" spans="1:13">
      <c r="A32" s="63"/>
      <c r="B32" s="70"/>
      <c r="C32" s="71"/>
      <c r="D32" s="71"/>
      <c r="E32" s="71"/>
      <c r="F32" s="71"/>
      <c r="G32" s="71"/>
      <c r="H32" s="71"/>
      <c r="I32" s="71"/>
      <c r="J32" s="71"/>
      <c r="K32" s="71"/>
      <c r="L32" s="71"/>
      <c r="M32" s="72"/>
    </row>
    <row r="33" spans="1:13">
      <c r="A33" s="73" t="s">
        <v>257</v>
      </c>
      <c r="B33" s="76"/>
      <c r="C33" s="77"/>
      <c r="D33" s="77"/>
      <c r="E33" s="77"/>
      <c r="F33" s="77"/>
      <c r="G33" s="77"/>
      <c r="H33" s="77"/>
      <c r="I33" s="77"/>
      <c r="J33" s="77"/>
      <c r="K33" s="77"/>
      <c r="L33" s="77"/>
      <c r="M33" s="78"/>
    </row>
    <row r="34" spans="1:13">
      <c r="A34" s="74"/>
      <c r="B34" s="79"/>
      <c r="C34" s="80"/>
      <c r="D34" s="80"/>
      <c r="E34" s="80"/>
      <c r="F34" s="80"/>
      <c r="G34" s="80"/>
      <c r="H34" s="80"/>
      <c r="I34" s="80"/>
      <c r="J34" s="80"/>
      <c r="K34" s="80"/>
      <c r="L34" s="80"/>
      <c r="M34" s="81"/>
    </row>
    <row r="35" spans="1:13">
      <c r="A35" s="74"/>
      <c r="B35" s="79"/>
      <c r="C35" s="80"/>
      <c r="D35" s="80"/>
      <c r="E35" s="80"/>
      <c r="F35" s="80"/>
      <c r="G35" s="80"/>
      <c r="H35" s="80"/>
      <c r="I35" s="80"/>
      <c r="J35" s="80"/>
      <c r="K35" s="80"/>
      <c r="L35" s="80"/>
      <c r="M35" s="81"/>
    </row>
    <row r="36" spans="1:13">
      <c r="A36" s="74"/>
      <c r="B36" s="79"/>
      <c r="C36" s="80"/>
      <c r="D36" s="80"/>
      <c r="E36" s="80"/>
      <c r="F36" s="80"/>
      <c r="G36" s="80"/>
      <c r="H36" s="80"/>
      <c r="I36" s="80"/>
      <c r="J36" s="80"/>
      <c r="K36" s="80"/>
      <c r="L36" s="80"/>
      <c r="M36" s="81"/>
    </row>
    <row r="37" spans="1:13">
      <c r="A37" s="74"/>
      <c r="B37" s="79"/>
      <c r="C37" s="80"/>
      <c r="D37" s="80"/>
      <c r="E37" s="80"/>
      <c r="F37" s="80"/>
      <c r="G37" s="80"/>
      <c r="H37" s="80"/>
      <c r="I37" s="80"/>
      <c r="J37" s="80"/>
      <c r="K37" s="80"/>
      <c r="L37" s="80"/>
      <c r="M37" s="81"/>
    </row>
    <row r="38" spans="1:13">
      <c r="A38" s="74"/>
      <c r="B38" s="79"/>
      <c r="C38" s="80"/>
      <c r="D38" s="80"/>
      <c r="E38" s="80"/>
      <c r="F38" s="80"/>
      <c r="G38" s="80"/>
      <c r="H38" s="80"/>
      <c r="I38" s="80"/>
      <c r="J38" s="80"/>
      <c r="K38" s="80"/>
      <c r="L38" s="80"/>
      <c r="M38" s="81"/>
    </row>
    <row r="39" spans="1:13">
      <c r="A39" s="74"/>
      <c r="B39" s="79"/>
      <c r="C39" s="80"/>
      <c r="D39" s="80"/>
      <c r="E39" s="80"/>
      <c r="F39" s="80"/>
      <c r="G39" s="80"/>
      <c r="H39" s="80"/>
      <c r="I39" s="80"/>
      <c r="J39" s="80"/>
      <c r="K39" s="80"/>
      <c r="L39" s="80"/>
      <c r="M39" s="81"/>
    </row>
    <row r="40" spans="1:13">
      <c r="A40" s="74"/>
      <c r="B40" s="79"/>
      <c r="C40" s="80"/>
      <c r="D40" s="80"/>
      <c r="E40" s="80"/>
      <c r="F40" s="80"/>
      <c r="G40" s="80"/>
      <c r="H40" s="80"/>
      <c r="I40" s="80"/>
      <c r="J40" s="80"/>
      <c r="K40" s="80"/>
      <c r="L40" s="80"/>
      <c r="M40" s="81"/>
    </row>
    <row r="41" spans="1:13">
      <c r="A41" s="74"/>
      <c r="B41" s="79"/>
      <c r="C41" s="80"/>
      <c r="D41" s="80"/>
      <c r="E41" s="80"/>
      <c r="F41" s="80"/>
      <c r="G41" s="80"/>
      <c r="H41" s="80"/>
      <c r="I41" s="80"/>
      <c r="J41" s="80"/>
      <c r="K41" s="80"/>
      <c r="L41" s="80"/>
      <c r="M41" s="81"/>
    </row>
    <row r="42" spans="1:13">
      <c r="A42" s="74"/>
      <c r="B42" s="79"/>
      <c r="C42" s="80"/>
      <c r="D42" s="80"/>
      <c r="E42" s="80"/>
      <c r="F42" s="80"/>
      <c r="G42" s="80"/>
      <c r="H42" s="80"/>
      <c r="I42" s="80"/>
      <c r="J42" s="80"/>
      <c r="K42" s="80"/>
      <c r="L42" s="80"/>
      <c r="M42" s="81"/>
    </row>
    <row r="43" spans="1:13">
      <c r="A43" s="74"/>
      <c r="B43" s="79"/>
      <c r="C43" s="80"/>
      <c r="D43" s="80"/>
      <c r="E43" s="80"/>
      <c r="F43" s="80"/>
      <c r="G43" s="80"/>
      <c r="H43" s="80"/>
      <c r="I43" s="80"/>
      <c r="J43" s="80"/>
      <c r="K43" s="80"/>
      <c r="L43" s="80"/>
      <c r="M43" s="81"/>
    </row>
    <row r="44" spans="1:13">
      <c r="A44" s="74"/>
      <c r="B44" s="79"/>
      <c r="C44" s="80"/>
      <c r="D44" s="80"/>
      <c r="E44" s="80"/>
      <c r="F44" s="80"/>
      <c r="G44" s="80"/>
      <c r="H44" s="80"/>
      <c r="I44" s="80"/>
      <c r="J44" s="80"/>
      <c r="K44" s="80"/>
      <c r="L44" s="80"/>
      <c r="M44" s="81"/>
    </row>
    <row r="45" spans="1:13">
      <c r="A45" s="74"/>
      <c r="B45" s="79"/>
      <c r="C45" s="80"/>
      <c r="D45" s="80"/>
      <c r="E45" s="80"/>
      <c r="F45" s="80"/>
      <c r="G45" s="80"/>
      <c r="H45" s="80"/>
      <c r="I45" s="80"/>
      <c r="J45" s="80"/>
      <c r="K45" s="80"/>
      <c r="L45" s="80"/>
      <c r="M45" s="81"/>
    </row>
    <row r="46" spans="1:13">
      <c r="A46" s="74"/>
      <c r="B46" s="79"/>
      <c r="C46" s="80"/>
      <c r="D46" s="80"/>
      <c r="E46" s="80"/>
      <c r="F46" s="80"/>
      <c r="G46" s="80"/>
      <c r="H46" s="80"/>
      <c r="I46" s="80"/>
      <c r="J46" s="80"/>
      <c r="K46" s="80"/>
      <c r="L46" s="80"/>
      <c r="M46" s="81"/>
    </row>
    <row r="47" spans="1:13">
      <c r="A47" s="75"/>
      <c r="B47" s="82"/>
      <c r="C47" s="83"/>
      <c r="D47" s="83"/>
      <c r="E47" s="83"/>
      <c r="F47" s="83"/>
      <c r="G47" s="83"/>
      <c r="H47" s="83"/>
      <c r="I47" s="83"/>
      <c r="J47" s="83"/>
      <c r="K47" s="83"/>
      <c r="L47" s="83"/>
      <c r="M47" s="84"/>
    </row>
    <row r="48" spans="1:13">
      <c r="A48" s="85" t="s">
        <v>24</v>
      </c>
      <c r="B48" s="88" t="s">
        <v>258</v>
      </c>
      <c r="C48" s="89"/>
      <c r="D48" s="89"/>
      <c r="E48" s="89"/>
      <c r="F48" s="89"/>
      <c r="G48" s="89"/>
      <c r="H48" s="89"/>
      <c r="I48" s="89"/>
      <c r="J48" s="89"/>
      <c r="K48" s="89"/>
      <c r="L48" s="89"/>
      <c r="M48" s="90"/>
    </row>
    <row r="49" spans="1:13">
      <c r="A49" s="86"/>
      <c r="B49" s="91"/>
      <c r="C49" s="92"/>
      <c r="D49" s="92"/>
      <c r="E49" s="92"/>
      <c r="F49" s="92"/>
      <c r="G49" s="92"/>
      <c r="H49" s="92"/>
      <c r="I49" s="92"/>
      <c r="J49" s="92"/>
      <c r="K49" s="92"/>
      <c r="L49" s="92"/>
      <c r="M49" s="93"/>
    </row>
    <row r="50" spans="1:13">
      <c r="A50" s="86"/>
      <c r="B50" s="91"/>
      <c r="C50" s="92"/>
      <c r="D50" s="92"/>
      <c r="E50" s="92"/>
      <c r="F50" s="92"/>
      <c r="G50" s="92"/>
      <c r="H50" s="92"/>
      <c r="I50" s="92"/>
      <c r="J50" s="92"/>
      <c r="K50" s="92"/>
      <c r="L50" s="92"/>
      <c r="M50" s="93"/>
    </row>
    <row r="51" spans="1:13">
      <c r="A51" s="86"/>
      <c r="B51" s="91"/>
      <c r="C51" s="92"/>
      <c r="D51" s="92"/>
      <c r="E51" s="92"/>
      <c r="F51" s="92"/>
      <c r="G51" s="92"/>
      <c r="H51" s="92"/>
      <c r="I51" s="92"/>
      <c r="J51" s="92"/>
      <c r="K51" s="92"/>
      <c r="L51" s="92"/>
      <c r="M51" s="93"/>
    </row>
    <row r="52" spans="1:13">
      <c r="A52" s="87"/>
      <c r="B52" s="91"/>
      <c r="C52" s="92"/>
      <c r="D52" s="92"/>
      <c r="E52" s="92"/>
      <c r="F52" s="92"/>
      <c r="G52" s="92"/>
      <c r="H52" s="92"/>
      <c r="I52" s="92"/>
      <c r="J52" s="92"/>
      <c r="K52" s="92"/>
      <c r="L52" s="92"/>
      <c r="M52" s="93"/>
    </row>
    <row r="53" spans="1:13">
      <c r="A53" s="9" t="s">
        <v>25</v>
      </c>
      <c r="B53" s="58" t="s">
        <v>259</v>
      </c>
      <c r="C53" s="59"/>
      <c r="D53" s="59"/>
      <c r="E53" s="59"/>
      <c r="F53" s="59"/>
      <c r="G53" s="59"/>
      <c r="H53" s="59"/>
      <c r="I53" s="59"/>
      <c r="J53" s="59"/>
      <c r="K53" s="59"/>
      <c r="L53" s="59"/>
      <c r="M53" s="60"/>
    </row>
    <row r="54" spans="1:13">
      <c r="A54" s="46" t="s">
        <v>27</v>
      </c>
      <c r="B54" s="53" t="s">
        <v>260</v>
      </c>
      <c r="C54" s="48"/>
      <c r="D54" s="48"/>
      <c r="E54" s="48"/>
      <c r="F54" s="48"/>
      <c r="G54" s="48"/>
      <c r="H54" s="48"/>
      <c r="I54" s="48"/>
      <c r="J54" s="48"/>
      <c r="K54" s="48"/>
      <c r="L54" s="48"/>
      <c r="M54" s="49"/>
    </row>
    <row r="55" spans="1:13">
      <c r="A55" s="52"/>
      <c r="B55" s="54"/>
      <c r="C55" s="55"/>
      <c r="D55" s="55"/>
      <c r="E55" s="55"/>
      <c r="F55" s="55"/>
      <c r="G55" s="55"/>
      <c r="H55" s="55"/>
      <c r="I55" s="55"/>
      <c r="J55" s="55"/>
      <c r="K55" s="55"/>
      <c r="L55" s="55"/>
      <c r="M55" s="56"/>
    </row>
    <row r="56" spans="1:13">
      <c r="A56" s="52"/>
      <c r="B56" s="57" t="s">
        <v>28</v>
      </c>
      <c r="C56" s="55" t="s">
        <v>29</v>
      </c>
      <c r="D56" s="55"/>
      <c r="E56" s="55"/>
      <c r="F56" s="55"/>
      <c r="G56" s="55"/>
      <c r="H56" s="55"/>
      <c r="I56" s="55"/>
      <c r="J56" s="55"/>
      <c r="K56" s="55"/>
      <c r="L56" s="55"/>
      <c r="M56" s="56"/>
    </row>
    <row r="57" spans="1:13">
      <c r="A57" s="52"/>
      <c r="B57" s="57"/>
      <c r="C57" s="55"/>
      <c r="D57" s="55"/>
      <c r="E57" s="55"/>
      <c r="F57" s="55"/>
      <c r="G57" s="55"/>
      <c r="H57" s="55"/>
      <c r="I57" s="55"/>
      <c r="J57" s="55"/>
      <c r="K57" s="55"/>
      <c r="L57" s="55"/>
      <c r="M57" s="56"/>
    </row>
    <row r="58" spans="1:13">
      <c r="A58" s="52"/>
      <c r="B58" s="17" t="s">
        <v>30</v>
      </c>
      <c r="C58" s="55" t="s">
        <v>31</v>
      </c>
      <c r="D58" s="55"/>
      <c r="E58" s="55"/>
      <c r="F58" s="55"/>
      <c r="G58" s="55"/>
      <c r="H58" s="55"/>
      <c r="I58" s="55"/>
      <c r="J58" s="55"/>
      <c r="K58" s="55"/>
      <c r="L58" s="55"/>
      <c r="M58" s="56"/>
    </row>
    <row r="59" spans="1:13">
      <c r="A59" s="52"/>
      <c r="B59" s="57" t="s">
        <v>32</v>
      </c>
      <c r="C59" s="55" t="s">
        <v>33</v>
      </c>
      <c r="D59" s="55"/>
      <c r="E59" s="55"/>
      <c r="F59" s="55"/>
      <c r="G59" s="55"/>
      <c r="H59" s="55"/>
      <c r="I59" s="55"/>
      <c r="J59" s="55"/>
      <c r="K59" s="55"/>
      <c r="L59" s="55"/>
      <c r="M59" s="56"/>
    </row>
    <row r="60" spans="1:13">
      <c r="A60" s="52"/>
      <c r="B60" s="57"/>
      <c r="C60" s="55"/>
      <c r="D60" s="55"/>
      <c r="E60" s="55"/>
      <c r="F60" s="55"/>
      <c r="G60" s="55"/>
      <c r="H60" s="55"/>
      <c r="I60" s="55"/>
      <c r="J60" s="55"/>
      <c r="K60" s="55"/>
      <c r="L60" s="55"/>
      <c r="M60" s="56"/>
    </row>
    <row r="61" spans="1:13" ht="39">
      <c r="A61" s="47"/>
      <c r="B61" s="18" t="s">
        <v>59</v>
      </c>
      <c r="C61" s="50" t="s">
        <v>34</v>
      </c>
      <c r="D61" s="50"/>
      <c r="E61" s="50"/>
      <c r="F61" s="50"/>
      <c r="G61" s="50"/>
      <c r="H61" s="50"/>
      <c r="I61" s="50"/>
      <c r="J61" s="50"/>
      <c r="K61" s="50"/>
      <c r="L61" s="50"/>
      <c r="M61" s="51"/>
    </row>
    <row r="62" spans="1:13">
      <c r="A62" s="16" t="s">
        <v>36</v>
      </c>
      <c r="B62" s="43" t="s">
        <v>261</v>
      </c>
      <c r="C62" s="44"/>
      <c r="D62" s="44"/>
      <c r="E62" s="44"/>
      <c r="F62" s="44"/>
      <c r="G62" s="44"/>
      <c r="H62" s="44"/>
      <c r="I62" s="44"/>
      <c r="J62" s="44"/>
      <c r="K62" s="44"/>
      <c r="L62" s="44"/>
      <c r="M62" s="45"/>
    </row>
    <row r="63" spans="1:13">
      <c r="A63" s="16" t="s">
        <v>35</v>
      </c>
      <c r="B63" s="43" t="s">
        <v>60</v>
      </c>
      <c r="C63" s="44"/>
      <c r="D63" s="44"/>
      <c r="E63" s="44"/>
      <c r="F63" s="44"/>
      <c r="G63" s="44"/>
      <c r="H63" s="44"/>
      <c r="I63" s="44"/>
      <c r="J63" s="44"/>
      <c r="K63" s="44"/>
      <c r="L63" s="44"/>
      <c r="M63" s="45"/>
    </row>
    <row r="64" spans="1:13">
      <c r="A64" s="16" t="s">
        <v>61</v>
      </c>
      <c r="B64" s="43" t="s">
        <v>262</v>
      </c>
      <c r="C64" s="44"/>
      <c r="D64" s="44"/>
      <c r="E64" s="44"/>
      <c r="F64" s="44"/>
      <c r="G64" s="44"/>
      <c r="H64" s="44"/>
      <c r="I64" s="44"/>
      <c r="J64" s="44"/>
      <c r="K64" s="44"/>
      <c r="L64" s="44"/>
      <c r="M64" s="45"/>
    </row>
    <row r="65" spans="1:13">
      <c r="A65" s="46" t="s">
        <v>151</v>
      </c>
      <c r="B65" s="48" t="s">
        <v>263</v>
      </c>
      <c r="C65" s="48"/>
      <c r="D65" s="48"/>
      <c r="E65" s="48"/>
      <c r="F65" s="48"/>
      <c r="G65" s="48"/>
      <c r="H65" s="48"/>
      <c r="I65" s="48"/>
      <c r="J65" s="48"/>
      <c r="K65" s="48"/>
      <c r="L65" s="48"/>
      <c r="M65" s="49"/>
    </row>
    <row r="66" spans="1:13">
      <c r="A66" s="47"/>
      <c r="B66" s="50"/>
      <c r="C66" s="50"/>
      <c r="D66" s="50"/>
      <c r="E66" s="50"/>
      <c r="F66" s="50"/>
      <c r="G66" s="50"/>
      <c r="H66" s="50"/>
      <c r="I66" s="50"/>
      <c r="J66" s="50"/>
      <c r="K66" s="50"/>
      <c r="L66" s="50"/>
      <c r="M66" s="51"/>
    </row>
  </sheetData>
  <mergeCells count="33">
    <mergeCell ref="A18:A29"/>
    <mergeCell ref="B18:M29"/>
    <mergeCell ref="B3:M3"/>
    <mergeCell ref="A4:A6"/>
    <mergeCell ref="B4:M6"/>
    <mergeCell ref="B7:M7"/>
    <mergeCell ref="B8:M8"/>
    <mergeCell ref="B9:M9"/>
    <mergeCell ref="A10:A14"/>
    <mergeCell ref="B10:M14"/>
    <mergeCell ref="B15:M15"/>
    <mergeCell ref="B16:M16"/>
    <mergeCell ref="B17:M17"/>
    <mergeCell ref="B53:M53"/>
    <mergeCell ref="A30:A32"/>
    <mergeCell ref="B30:M32"/>
    <mergeCell ref="A33:A47"/>
    <mergeCell ref="B33:M47"/>
    <mergeCell ref="A48:A52"/>
    <mergeCell ref="B48:M52"/>
    <mergeCell ref="A54:A61"/>
    <mergeCell ref="B54:M55"/>
    <mergeCell ref="B56:B57"/>
    <mergeCell ref="C56:M57"/>
    <mergeCell ref="C58:M58"/>
    <mergeCell ref="B59:B60"/>
    <mergeCell ref="C59:M60"/>
    <mergeCell ref="C61:M61"/>
    <mergeCell ref="B62:M62"/>
    <mergeCell ref="B63:M63"/>
    <mergeCell ref="B64:M64"/>
    <mergeCell ref="A65:A66"/>
    <mergeCell ref="B65:M66"/>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65706-1BEF-4F01-9B84-F0D5D485B9E3}">
  <dimension ref="A1:V8"/>
  <sheetViews>
    <sheetView showGridLines="0" workbookViewId="0">
      <selection sqref="A1:V1"/>
    </sheetView>
  </sheetViews>
  <sheetFormatPr defaultRowHeight="14.5"/>
  <cols>
    <col min="1" max="1" width="12.453125" bestFit="1" customWidth="1"/>
    <col min="2" max="13" width="6.54296875" bestFit="1" customWidth="1"/>
    <col min="14" max="20" width="11.453125" bestFit="1" customWidth="1"/>
    <col min="21" max="325" width="12" bestFit="1" customWidth="1"/>
    <col min="326" max="326" width="7.1796875" bestFit="1" customWidth="1"/>
  </cols>
  <sheetData>
    <row r="1" spans="1:22" ht="26.25" customHeight="1">
      <c r="A1" s="96" t="s">
        <v>217</v>
      </c>
      <c r="B1" s="96"/>
      <c r="C1" s="96"/>
      <c r="D1" s="96"/>
      <c r="E1" s="96"/>
      <c r="F1" s="96"/>
      <c r="G1" s="96"/>
      <c r="H1" s="96"/>
      <c r="I1" s="96"/>
      <c r="J1" s="96"/>
      <c r="K1" s="96"/>
      <c r="L1" s="96"/>
      <c r="M1" s="96"/>
      <c r="N1" s="96"/>
      <c r="O1" s="96"/>
      <c r="P1" s="96"/>
      <c r="Q1" s="96"/>
      <c r="R1" s="96"/>
      <c r="S1" s="96"/>
      <c r="T1" s="96"/>
      <c r="U1" s="96"/>
      <c r="V1" s="96"/>
    </row>
    <row r="4" spans="1:22">
      <c r="A4" s="10" t="s">
        <v>215</v>
      </c>
    </row>
    <row r="5" spans="1:22">
      <c r="B5">
        <v>2014</v>
      </c>
      <c r="C5">
        <v>2015</v>
      </c>
      <c r="D5">
        <v>2016</v>
      </c>
      <c r="E5">
        <v>2017</v>
      </c>
      <c r="F5">
        <v>2018</v>
      </c>
      <c r="G5">
        <v>2019</v>
      </c>
      <c r="H5">
        <v>2020</v>
      </c>
      <c r="I5">
        <v>2021</v>
      </c>
      <c r="J5">
        <v>2022</v>
      </c>
      <c r="K5">
        <v>2023</v>
      </c>
      <c r="L5">
        <v>2024</v>
      </c>
      <c r="M5">
        <v>2025</v>
      </c>
    </row>
    <row r="6" spans="1:22">
      <c r="A6" t="s">
        <v>203</v>
      </c>
      <c r="B6" s="14">
        <v>27385.889599999999</v>
      </c>
      <c r="C6" s="14">
        <v>27694.885600000001</v>
      </c>
      <c r="D6" s="14">
        <v>28072.660899999999</v>
      </c>
      <c r="E6" s="14">
        <v>28471.912799999998</v>
      </c>
      <c r="F6" s="14">
        <v>28821.367999999999</v>
      </c>
      <c r="G6" s="14">
        <v>29445.283899999999</v>
      </c>
      <c r="H6" s="14">
        <v>30218.373500000002</v>
      </c>
      <c r="I6" s="14">
        <v>30654.808000000001</v>
      </c>
      <c r="J6" s="14">
        <v>30427.150099999999</v>
      </c>
      <c r="K6" s="14">
        <v>30377.367600000001</v>
      </c>
      <c r="L6" s="14">
        <v>31378.9238</v>
      </c>
      <c r="M6" s="14">
        <v>32472.175800000001</v>
      </c>
    </row>
    <row r="7" spans="1:22">
      <c r="A7" t="s">
        <v>204</v>
      </c>
      <c r="B7" s="14">
        <v>22006.195500000002</v>
      </c>
      <c r="C7" s="14">
        <v>22063.161499999998</v>
      </c>
      <c r="D7" s="14">
        <v>22203.802599999999</v>
      </c>
      <c r="E7" s="14">
        <v>22447.164400000001</v>
      </c>
      <c r="F7" s="14">
        <v>22625.431199999999</v>
      </c>
      <c r="G7" s="14">
        <v>22887.118900000001</v>
      </c>
      <c r="H7" s="14">
        <v>23441.7742</v>
      </c>
      <c r="I7" s="14">
        <v>23910.612400000002</v>
      </c>
      <c r="J7" s="14">
        <v>24011.4424</v>
      </c>
      <c r="K7" s="14">
        <v>24218.421699999999</v>
      </c>
      <c r="L7" s="14">
        <v>25094.361000000001</v>
      </c>
      <c r="M7" s="14">
        <v>25912.011600000002</v>
      </c>
    </row>
    <row r="8" spans="1:22">
      <c r="A8" t="s">
        <v>37</v>
      </c>
      <c r="B8" s="14">
        <v>49392.085099999997</v>
      </c>
      <c r="C8" s="14">
        <v>49758.047100000003</v>
      </c>
      <c r="D8" s="14">
        <v>50276.463499999998</v>
      </c>
      <c r="E8" s="14">
        <v>50919.0772</v>
      </c>
      <c r="F8" s="14">
        <v>51446.799200000001</v>
      </c>
      <c r="G8" s="14">
        <v>52332.402800000003</v>
      </c>
      <c r="H8" s="14">
        <v>53660.147700000001</v>
      </c>
      <c r="I8" s="14">
        <v>54565.420400000003</v>
      </c>
      <c r="J8" s="14">
        <v>54438.592499999999</v>
      </c>
      <c r="K8" s="14">
        <v>54595.789299999997</v>
      </c>
      <c r="L8" s="14">
        <v>56473.284800000001</v>
      </c>
      <c r="M8" s="14">
        <v>58384.187400000003</v>
      </c>
    </row>
  </sheetData>
  <mergeCells count="1">
    <mergeCell ref="A1:V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ED3A9-C54C-4D6E-9073-CDF6F83BE74D}">
  <dimension ref="A1:U35"/>
  <sheetViews>
    <sheetView showGridLines="0" workbookViewId="0">
      <selection sqref="A1:U1"/>
    </sheetView>
  </sheetViews>
  <sheetFormatPr defaultRowHeight="14.5"/>
  <cols>
    <col min="1" max="1" width="12.453125" bestFit="1" customWidth="1"/>
    <col min="2" max="2" width="27.54296875" bestFit="1" customWidth="1"/>
    <col min="3" max="14" width="6.54296875" bestFit="1" customWidth="1"/>
    <col min="15" max="20" width="11.453125" bestFit="1" customWidth="1"/>
    <col min="21" max="325" width="12" bestFit="1" customWidth="1"/>
    <col min="326" max="326" width="7.1796875" bestFit="1" customWidth="1"/>
  </cols>
  <sheetData>
    <row r="1" spans="1:21" ht="23.25" customHeight="1">
      <c r="A1" s="96" t="s">
        <v>218</v>
      </c>
      <c r="B1" s="96"/>
      <c r="C1" s="96"/>
      <c r="D1" s="96"/>
      <c r="E1" s="96"/>
      <c r="F1" s="96"/>
      <c r="G1" s="96"/>
      <c r="H1" s="96"/>
      <c r="I1" s="96"/>
      <c r="J1" s="96"/>
      <c r="K1" s="96"/>
      <c r="L1" s="96"/>
      <c r="M1" s="96"/>
      <c r="N1" s="96"/>
      <c r="O1" s="96"/>
      <c r="P1" s="96"/>
      <c r="Q1" s="96"/>
      <c r="R1" s="96"/>
      <c r="S1" s="96"/>
      <c r="T1" s="96"/>
      <c r="U1" s="96"/>
    </row>
    <row r="4" spans="1:21">
      <c r="A4" s="10" t="s">
        <v>215</v>
      </c>
    </row>
    <row r="5" spans="1:21">
      <c r="C5">
        <v>2014</v>
      </c>
      <c r="D5">
        <v>2015</v>
      </c>
      <c r="E5">
        <v>2016</v>
      </c>
      <c r="F5">
        <v>2017</v>
      </c>
      <c r="G5">
        <v>2018</v>
      </c>
      <c r="H5">
        <v>2019</v>
      </c>
      <c r="I5">
        <v>2020</v>
      </c>
      <c r="J5">
        <v>2021</v>
      </c>
      <c r="K5">
        <v>2022</v>
      </c>
      <c r="L5">
        <v>2023</v>
      </c>
      <c r="M5">
        <v>2024</v>
      </c>
      <c r="N5">
        <v>2025</v>
      </c>
    </row>
    <row r="6" spans="1:21">
      <c r="A6" t="s">
        <v>203</v>
      </c>
      <c r="B6" t="s">
        <v>205</v>
      </c>
      <c r="C6" s="14">
        <v>17.989000000000001</v>
      </c>
      <c r="D6" s="14">
        <v>21.351500000000001</v>
      </c>
      <c r="E6" s="14">
        <v>20.879100000000001</v>
      </c>
      <c r="F6" s="14">
        <v>19.9313</v>
      </c>
      <c r="G6" s="14">
        <v>16.843299999999999</v>
      </c>
      <c r="H6" s="14">
        <v>14.950100000000001</v>
      </c>
      <c r="I6" s="14">
        <v>11.827999999999999</v>
      </c>
      <c r="J6" s="14">
        <v>10.502700000000001</v>
      </c>
      <c r="K6" s="14">
        <v>11.4999</v>
      </c>
      <c r="L6" s="14">
        <v>11.9338</v>
      </c>
      <c r="M6" s="14">
        <v>26.862300000000001</v>
      </c>
      <c r="N6" s="14">
        <v>25.945599999999999</v>
      </c>
    </row>
    <row r="7" spans="1:21">
      <c r="B7" t="s">
        <v>206</v>
      </c>
      <c r="C7" s="14">
        <v>1940.7977000000001</v>
      </c>
      <c r="D7" s="14">
        <v>1936.9219000000001</v>
      </c>
      <c r="E7" s="14">
        <v>1932.2867000000001</v>
      </c>
      <c r="F7" s="14">
        <v>1904.2935</v>
      </c>
      <c r="G7" s="14">
        <v>1901.9507000000001</v>
      </c>
      <c r="H7" s="14">
        <v>1913.4012</v>
      </c>
      <c r="I7" s="14">
        <v>1911.6577</v>
      </c>
      <c r="J7" s="14">
        <v>1897.7947999999999</v>
      </c>
      <c r="K7" s="14">
        <v>1904.1791000000001</v>
      </c>
      <c r="L7" s="14">
        <v>1898.3887</v>
      </c>
      <c r="M7" s="14">
        <v>1905.3106</v>
      </c>
      <c r="N7" s="14">
        <v>1904.8487</v>
      </c>
    </row>
    <row r="8" spans="1:21">
      <c r="B8" t="s">
        <v>207</v>
      </c>
      <c r="C8" s="14">
        <v>24399.501199999999</v>
      </c>
      <c r="D8" s="14">
        <v>24680.1247</v>
      </c>
      <c r="E8" s="14">
        <v>25031.178199999998</v>
      </c>
      <c r="F8" s="14">
        <v>25409.598099999999</v>
      </c>
      <c r="G8" s="14">
        <v>25711.1705</v>
      </c>
      <c r="H8" s="14">
        <v>26256.525099999999</v>
      </c>
      <c r="I8" s="14">
        <v>27019.012900000002</v>
      </c>
      <c r="J8" s="14">
        <v>27458.783899999999</v>
      </c>
      <c r="K8" s="14">
        <v>27226.252499999999</v>
      </c>
      <c r="L8" s="14">
        <v>27166.594300000001</v>
      </c>
      <c r="M8" s="14">
        <v>28108.5177</v>
      </c>
      <c r="N8" s="14">
        <v>29205.895499999999</v>
      </c>
    </row>
    <row r="9" spans="1:21">
      <c r="B9" t="s">
        <v>208</v>
      </c>
      <c r="C9" s="14">
        <v>64.547700000000006</v>
      </c>
      <c r="D9" s="14">
        <v>64.252899999999997</v>
      </c>
      <c r="E9" s="14">
        <v>65.67</v>
      </c>
      <c r="F9" s="14">
        <v>74.716700000000003</v>
      </c>
      <c r="G9" s="14">
        <v>82.021299999999997</v>
      </c>
      <c r="H9" s="14">
        <v>86.232799999999997</v>
      </c>
      <c r="I9" s="14">
        <v>89.006299999999996</v>
      </c>
      <c r="J9" s="14">
        <v>97.353300000000004</v>
      </c>
      <c r="K9" s="14">
        <v>90.415199999999999</v>
      </c>
      <c r="L9" s="14">
        <v>104.7432</v>
      </c>
      <c r="M9" s="14">
        <v>118.1922</v>
      </c>
      <c r="N9" s="14">
        <v>117.8708</v>
      </c>
    </row>
    <row r="10" spans="1:21">
      <c r="B10" t="s">
        <v>209</v>
      </c>
      <c r="C10" s="14">
        <v>115.44670000000001</v>
      </c>
      <c r="D10" s="14">
        <v>110.8266</v>
      </c>
      <c r="E10" s="14">
        <v>118.9952</v>
      </c>
      <c r="F10" s="14">
        <v>123.5146</v>
      </c>
      <c r="G10" s="14">
        <v>123.5479</v>
      </c>
      <c r="H10" s="14">
        <v>132.291</v>
      </c>
      <c r="I10" s="14">
        <v>135.15260000000001</v>
      </c>
      <c r="J10" s="14">
        <v>138.98560000000001</v>
      </c>
      <c r="K10" s="14">
        <v>135.2038</v>
      </c>
      <c r="L10" s="14">
        <v>136.50649999999999</v>
      </c>
      <c r="M10" s="14">
        <v>151.93119999999999</v>
      </c>
      <c r="N10" s="14">
        <v>149.78460000000001</v>
      </c>
    </row>
    <row r="11" spans="1:21">
      <c r="B11" t="s">
        <v>210</v>
      </c>
      <c r="C11" s="14">
        <v>642.20929999999998</v>
      </c>
      <c r="D11" s="14">
        <v>678.5136</v>
      </c>
      <c r="E11" s="14">
        <v>681.52840000000003</v>
      </c>
      <c r="F11" s="14">
        <v>705.71990000000005</v>
      </c>
      <c r="G11" s="14">
        <v>748.17539999999997</v>
      </c>
      <c r="H11" s="14">
        <v>790.8818</v>
      </c>
      <c r="I11" s="14">
        <v>796.16179999999997</v>
      </c>
      <c r="J11" s="14">
        <v>791.84270000000004</v>
      </c>
      <c r="K11" s="14">
        <v>798.40449999999998</v>
      </c>
      <c r="L11" s="14">
        <v>798.54899999999998</v>
      </c>
      <c r="M11" s="14">
        <v>813.62570000000005</v>
      </c>
      <c r="N11" s="14">
        <v>813.69280000000003</v>
      </c>
    </row>
    <row r="12" spans="1:21">
      <c r="B12" t="s">
        <v>211</v>
      </c>
      <c r="C12" s="14">
        <v>95.513900000000007</v>
      </c>
      <c r="D12" s="14">
        <v>96.829300000000003</v>
      </c>
      <c r="E12" s="14">
        <v>99.263400000000004</v>
      </c>
      <c r="F12" s="14">
        <v>103.042</v>
      </c>
      <c r="G12" s="14">
        <v>99.410899999999998</v>
      </c>
      <c r="H12" s="14">
        <v>105.3152</v>
      </c>
      <c r="I12" s="14">
        <v>100.7881</v>
      </c>
      <c r="J12" s="14">
        <v>99.657399999999996</v>
      </c>
      <c r="K12" s="14">
        <v>103.8595</v>
      </c>
      <c r="L12" s="14">
        <v>105.7473</v>
      </c>
      <c r="M12" s="14">
        <v>103.9443</v>
      </c>
      <c r="N12" s="14">
        <v>99.417599999999993</v>
      </c>
    </row>
    <row r="13" spans="1:21">
      <c r="B13" t="s">
        <v>212</v>
      </c>
      <c r="C13" s="14">
        <v>36.483800000000002</v>
      </c>
      <c r="D13" s="14">
        <v>35.028300000000002</v>
      </c>
      <c r="E13" s="14">
        <v>36.945900000000002</v>
      </c>
      <c r="F13" s="14">
        <v>37.004100000000001</v>
      </c>
      <c r="G13" s="14">
        <v>35.311</v>
      </c>
      <c r="H13" s="14">
        <v>32.529499999999999</v>
      </c>
      <c r="I13" s="14">
        <v>33.873699999999999</v>
      </c>
      <c r="J13" s="14">
        <v>32.409399999999998</v>
      </c>
      <c r="K13" s="14">
        <v>31.1265</v>
      </c>
      <c r="L13" s="14">
        <v>28.9404</v>
      </c>
      <c r="M13" s="14">
        <v>28.759399999999999</v>
      </c>
      <c r="N13" s="14">
        <v>28.497</v>
      </c>
    </row>
    <row r="14" spans="1:21">
      <c r="B14" t="s">
        <v>213</v>
      </c>
      <c r="C14" s="14">
        <v>70.674000000000007</v>
      </c>
      <c r="D14" s="14">
        <v>70.046400000000006</v>
      </c>
      <c r="E14" s="14">
        <v>84.914000000000001</v>
      </c>
      <c r="F14" s="14">
        <v>92.0899</v>
      </c>
      <c r="G14" s="14">
        <v>100.94799999999999</v>
      </c>
      <c r="H14" s="14">
        <v>109.9104</v>
      </c>
      <c r="I14" s="14">
        <v>118.91889999999999</v>
      </c>
      <c r="J14" s="14">
        <v>125.3503</v>
      </c>
      <c r="K14" s="14">
        <v>124.20910000000001</v>
      </c>
      <c r="L14" s="14">
        <v>123.96720000000001</v>
      </c>
      <c r="M14" s="14">
        <v>119.8601</v>
      </c>
      <c r="N14" s="14">
        <v>124.2398</v>
      </c>
    </row>
    <row r="15" spans="1:21">
      <c r="B15" t="s">
        <v>214</v>
      </c>
      <c r="C15" s="14">
        <v>2.7263000000000002</v>
      </c>
      <c r="D15" s="14">
        <v>0.99039999999999995</v>
      </c>
      <c r="E15" s="14">
        <v>1</v>
      </c>
      <c r="F15" s="14">
        <v>2.0026999999999999</v>
      </c>
      <c r="G15" s="14">
        <v>1.9890000000000001</v>
      </c>
      <c r="H15" s="14">
        <v>3.2467999999999999</v>
      </c>
      <c r="I15" s="14">
        <v>1.9735</v>
      </c>
      <c r="J15" s="14">
        <v>2.1278999999999999</v>
      </c>
      <c r="K15" s="14">
        <v>2</v>
      </c>
      <c r="L15" s="14">
        <v>1.9972000000000001</v>
      </c>
      <c r="M15" s="14">
        <v>1.9202999999999999</v>
      </c>
      <c r="N15" s="14">
        <v>1.9834000000000001</v>
      </c>
    </row>
    <row r="16" spans="1:21">
      <c r="A16" t="s">
        <v>204</v>
      </c>
      <c r="B16" t="s">
        <v>205</v>
      </c>
      <c r="C16" s="14">
        <v>10.1099</v>
      </c>
      <c r="D16" s="14">
        <v>8.5455000000000005</v>
      </c>
      <c r="E16" s="14">
        <v>7.9394999999999998</v>
      </c>
      <c r="F16" s="14">
        <v>8.4176000000000002</v>
      </c>
      <c r="G16" s="14">
        <v>7.9284999999999997</v>
      </c>
      <c r="H16" s="14">
        <v>8.0123999999999995</v>
      </c>
      <c r="I16" s="14">
        <v>7.8121</v>
      </c>
      <c r="J16" s="14">
        <v>7.9931000000000001</v>
      </c>
      <c r="K16" s="14">
        <v>6.3517999999999999</v>
      </c>
      <c r="L16" s="14">
        <v>5.9044999999999996</v>
      </c>
      <c r="M16" s="14">
        <v>6.9943999999999997</v>
      </c>
      <c r="N16" s="14">
        <v>6.923</v>
      </c>
    </row>
    <row r="17" spans="1:14">
      <c r="B17" t="s">
        <v>206</v>
      </c>
      <c r="C17" s="14">
        <v>439.58019999999999</v>
      </c>
      <c r="D17" s="14">
        <v>442.76639999999998</v>
      </c>
      <c r="E17" s="14">
        <v>451.91449999999998</v>
      </c>
      <c r="F17" s="14">
        <v>449.03840000000002</v>
      </c>
      <c r="G17" s="14">
        <v>448.34320000000002</v>
      </c>
      <c r="H17" s="14">
        <v>460.40859999999998</v>
      </c>
      <c r="I17" s="14">
        <v>459.04950000000002</v>
      </c>
      <c r="J17" s="14">
        <v>469.0077</v>
      </c>
      <c r="K17" s="14">
        <v>468.36509999999998</v>
      </c>
      <c r="L17" s="14">
        <v>462.7278</v>
      </c>
      <c r="M17" s="14">
        <v>470.47640000000001</v>
      </c>
      <c r="N17" s="14">
        <v>478.85340000000002</v>
      </c>
    </row>
    <row r="18" spans="1:14">
      <c r="B18" t="s">
        <v>207</v>
      </c>
      <c r="C18" s="14">
        <v>21086.621299999999</v>
      </c>
      <c r="D18" s="14">
        <v>21156.1414</v>
      </c>
      <c r="E18" s="14">
        <v>21284.177599999999</v>
      </c>
      <c r="F18" s="14">
        <v>21529.7595</v>
      </c>
      <c r="G18" s="14">
        <v>21714.622899999998</v>
      </c>
      <c r="H18" s="14">
        <v>21977.445500000002</v>
      </c>
      <c r="I18" s="14">
        <v>22539.501799999998</v>
      </c>
      <c r="J18" s="14">
        <v>22982.873100000001</v>
      </c>
      <c r="K18" s="14">
        <v>23094.937999999998</v>
      </c>
      <c r="L18" s="14">
        <v>23313.321499999998</v>
      </c>
      <c r="M18" s="14">
        <v>24216.627899999999</v>
      </c>
      <c r="N18" s="14">
        <v>25020.914000000001</v>
      </c>
    </row>
    <row r="19" spans="1:14">
      <c r="B19" t="s">
        <v>208</v>
      </c>
      <c r="C19" s="14">
        <v>189.83590000000001</v>
      </c>
      <c r="D19" s="14">
        <v>196.946</v>
      </c>
      <c r="E19" s="14">
        <v>207.53200000000001</v>
      </c>
      <c r="F19" s="14">
        <v>205.60640000000001</v>
      </c>
      <c r="G19" s="14">
        <v>215.6122</v>
      </c>
      <c r="H19" s="14">
        <v>221.5275</v>
      </c>
      <c r="I19" s="14">
        <v>216.8263</v>
      </c>
      <c r="J19" s="14">
        <v>217.71979999999999</v>
      </c>
      <c r="K19" s="14">
        <v>204.78749999999999</v>
      </c>
      <c r="L19" s="14">
        <v>196.27889999999999</v>
      </c>
      <c r="M19" s="14">
        <v>188.08690000000001</v>
      </c>
      <c r="N19" s="14">
        <v>200.6097</v>
      </c>
    </row>
    <row r="20" spans="1:14">
      <c r="B20" t="s">
        <v>209</v>
      </c>
      <c r="C20" s="14"/>
      <c r="D20" s="14"/>
      <c r="E20" s="14">
        <v>1</v>
      </c>
      <c r="F20" s="14">
        <v>1</v>
      </c>
      <c r="G20" s="14">
        <v>0.37909999999999999</v>
      </c>
      <c r="H20" s="14"/>
      <c r="I20" s="14"/>
      <c r="J20" s="14"/>
      <c r="K20" s="14"/>
      <c r="L20" s="14">
        <v>0.95330000000000004</v>
      </c>
      <c r="M20" s="14"/>
      <c r="N20" s="14"/>
    </row>
    <row r="21" spans="1:14">
      <c r="B21" t="s">
        <v>210</v>
      </c>
      <c r="C21" s="14">
        <v>252.33179999999999</v>
      </c>
      <c r="D21" s="14">
        <v>234.79599999999999</v>
      </c>
      <c r="E21" s="14">
        <v>232.0283</v>
      </c>
      <c r="F21" s="14">
        <v>233.98150000000001</v>
      </c>
      <c r="G21" s="14">
        <v>220.56739999999999</v>
      </c>
      <c r="H21" s="14">
        <v>200.1268</v>
      </c>
      <c r="I21" s="14">
        <v>199.7116</v>
      </c>
      <c r="J21" s="14">
        <v>214.3759</v>
      </c>
      <c r="K21" s="14">
        <v>214.8279</v>
      </c>
      <c r="L21" s="14">
        <v>215.15969999999999</v>
      </c>
      <c r="M21" s="14">
        <v>188.39240000000001</v>
      </c>
      <c r="N21" s="14">
        <v>181.1285</v>
      </c>
    </row>
    <row r="22" spans="1:14">
      <c r="B22" t="s">
        <v>211</v>
      </c>
      <c r="C22" s="14">
        <v>3</v>
      </c>
      <c r="D22" s="14">
        <v>2</v>
      </c>
      <c r="E22" s="14">
        <v>1</v>
      </c>
      <c r="F22" s="14">
        <v>2</v>
      </c>
      <c r="G22" s="14">
        <v>1.9862</v>
      </c>
      <c r="H22" s="14">
        <v>1.9944</v>
      </c>
      <c r="I22" s="14">
        <v>2</v>
      </c>
      <c r="J22" s="14">
        <v>3.7199</v>
      </c>
      <c r="K22" s="14">
        <v>2.8113999999999999</v>
      </c>
      <c r="L22" s="14">
        <v>3.8489</v>
      </c>
      <c r="M22" s="14">
        <v>3.5966999999999998</v>
      </c>
      <c r="N22" s="14">
        <v>3.6023000000000001</v>
      </c>
    </row>
    <row r="23" spans="1:14">
      <c r="B23" t="s">
        <v>212</v>
      </c>
      <c r="C23" s="14">
        <v>8.9559999999999995</v>
      </c>
      <c r="D23" s="14">
        <v>9.3571000000000009</v>
      </c>
      <c r="E23" s="14">
        <v>8.9314999999999998</v>
      </c>
      <c r="F23" s="14">
        <v>10.460900000000001</v>
      </c>
      <c r="G23" s="14">
        <v>10.9917</v>
      </c>
      <c r="H23" s="14">
        <v>12.963800000000001</v>
      </c>
      <c r="I23" s="14">
        <v>13.1904</v>
      </c>
      <c r="J23" s="14">
        <v>13.997199999999999</v>
      </c>
      <c r="K23" s="14">
        <v>18.519200000000001</v>
      </c>
      <c r="L23" s="14">
        <v>19.5532</v>
      </c>
      <c r="M23" s="14">
        <v>18.9862</v>
      </c>
      <c r="N23" s="14">
        <v>18.941700000000001</v>
      </c>
    </row>
    <row r="24" spans="1:14">
      <c r="B24" t="s">
        <v>213</v>
      </c>
      <c r="C24" s="14">
        <v>1</v>
      </c>
      <c r="D24" s="14">
        <v>1</v>
      </c>
      <c r="E24" s="14"/>
      <c r="F24" s="14"/>
      <c r="G24" s="14"/>
      <c r="H24" s="14"/>
      <c r="I24" s="14"/>
      <c r="J24" s="14"/>
      <c r="K24" s="14"/>
      <c r="L24" s="14"/>
      <c r="M24" s="14"/>
      <c r="N24" s="14"/>
    </row>
    <row r="25" spans="1:14">
      <c r="B25" t="s">
        <v>214</v>
      </c>
      <c r="C25" s="14">
        <v>14.760400000000001</v>
      </c>
      <c r="D25" s="14">
        <v>11.6091</v>
      </c>
      <c r="E25" s="14">
        <v>9.2791999999999994</v>
      </c>
      <c r="F25" s="14">
        <v>6.9001000000000001</v>
      </c>
      <c r="G25" s="14">
        <v>5</v>
      </c>
      <c r="H25" s="14">
        <v>4.6398999999999999</v>
      </c>
      <c r="I25" s="14">
        <v>3.6825000000000001</v>
      </c>
      <c r="J25" s="14">
        <v>0.92569999999999997</v>
      </c>
      <c r="K25" s="14">
        <v>0.84150000000000003</v>
      </c>
      <c r="L25" s="14">
        <v>0.67390000000000005</v>
      </c>
      <c r="M25" s="14">
        <v>1.2000999999999999</v>
      </c>
      <c r="N25" s="14">
        <v>1.0389999999999999</v>
      </c>
    </row>
    <row r="26" spans="1:14">
      <c r="A26" t="s">
        <v>37</v>
      </c>
      <c r="B26" t="s">
        <v>205</v>
      </c>
      <c r="C26" s="14">
        <v>28.0989</v>
      </c>
      <c r="D26" s="14">
        <v>29.896999999999998</v>
      </c>
      <c r="E26" s="14">
        <v>28.8186</v>
      </c>
      <c r="F26" s="14">
        <v>28.3489</v>
      </c>
      <c r="G26" s="14">
        <v>24.771799999999999</v>
      </c>
      <c r="H26" s="14">
        <v>22.962499999999999</v>
      </c>
      <c r="I26" s="14">
        <v>19.6401</v>
      </c>
      <c r="J26" s="14">
        <v>18.495799999999999</v>
      </c>
      <c r="K26" s="14">
        <v>17.851700000000001</v>
      </c>
      <c r="L26" s="14">
        <v>17.8383</v>
      </c>
      <c r="M26" s="14">
        <v>33.856699999999996</v>
      </c>
      <c r="N26" s="14">
        <v>32.868600000000001</v>
      </c>
    </row>
    <row r="27" spans="1:14">
      <c r="B27" t="s">
        <v>206</v>
      </c>
      <c r="C27" s="14">
        <v>2380.3779</v>
      </c>
      <c r="D27" s="14">
        <v>2379.6882999999998</v>
      </c>
      <c r="E27" s="14">
        <v>2384.2012</v>
      </c>
      <c r="F27" s="14">
        <v>2353.3319000000001</v>
      </c>
      <c r="G27" s="14">
        <v>2350.2939000000001</v>
      </c>
      <c r="H27" s="14">
        <v>2373.8098</v>
      </c>
      <c r="I27" s="14">
        <v>2370.7071999999998</v>
      </c>
      <c r="J27" s="14">
        <v>2366.8024999999998</v>
      </c>
      <c r="K27" s="14">
        <v>2372.5441999999998</v>
      </c>
      <c r="L27" s="14">
        <v>2361.1165000000001</v>
      </c>
      <c r="M27" s="14">
        <v>2375.7869999999998</v>
      </c>
      <c r="N27" s="14">
        <v>2383.7021</v>
      </c>
    </row>
    <row r="28" spans="1:14">
      <c r="B28" t="s">
        <v>207</v>
      </c>
      <c r="C28" s="14">
        <v>45486.122499999998</v>
      </c>
      <c r="D28" s="14">
        <v>45836.266100000001</v>
      </c>
      <c r="E28" s="14">
        <v>46315.355799999998</v>
      </c>
      <c r="F28" s="14">
        <v>46939.357600000003</v>
      </c>
      <c r="G28" s="14">
        <v>47425.793400000002</v>
      </c>
      <c r="H28" s="14">
        <v>48233.970600000001</v>
      </c>
      <c r="I28" s="14">
        <v>49558.5147</v>
      </c>
      <c r="J28" s="14">
        <v>50441.656999999999</v>
      </c>
      <c r="K28" s="14">
        <v>50321.190499999997</v>
      </c>
      <c r="L28" s="14">
        <v>50479.915800000002</v>
      </c>
      <c r="M28" s="14">
        <v>52325.145600000003</v>
      </c>
      <c r="N28" s="14">
        <v>54226.809500000003</v>
      </c>
    </row>
    <row r="29" spans="1:14">
      <c r="B29" t="s">
        <v>208</v>
      </c>
      <c r="C29" s="14">
        <v>254.3836</v>
      </c>
      <c r="D29" s="14">
        <v>261.19889999999998</v>
      </c>
      <c r="E29" s="14">
        <v>273.202</v>
      </c>
      <c r="F29" s="14">
        <v>280.32310000000001</v>
      </c>
      <c r="G29" s="14">
        <v>297.63350000000003</v>
      </c>
      <c r="H29" s="14">
        <v>307.76029999999997</v>
      </c>
      <c r="I29" s="14">
        <v>305.83260000000001</v>
      </c>
      <c r="J29" s="14">
        <v>315.07310000000001</v>
      </c>
      <c r="K29" s="14">
        <v>295.20269999999999</v>
      </c>
      <c r="L29" s="14">
        <v>301.02210000000002</v>
      </c>
      <c r="M29" s="14">
        <v>306.27910000000003</v>
      </c>
      <c r="N29" s="14">
        <v>318.48050000000001</v>
      </c>
    </row>
    <row r="30" spans="1:14">
      <c r="B30" t="s">
        <v>209</v>
      </c>
      <c r="C30" s="14">
        <v>115.44670000000001</v>
      </c>
      <c r="D30" s="14">
        <v>110.8266</v>
      </c>
      <c r="E30" s="14">
        <v>119.9952</v>
      </c>
      <c r="F30" s="14">
        <v>124.5146</v>
      </c>
      <c r="G30" s="14">
        <v>123.92700000000001</v>
      </c>
      <c r="H30" s="14">
        <v>132.291</v>
      </c>
      <c r="I30" s="14">
        <v>135.15260000000001</v>
      </c>
      <c r="J30" s="14">
        <v>138.98560000000001</v>
      </c>
      <c r="K30" s="14">
        <v>135.2038</v>
      </c>
      <c r="L30" s="14">
        <v>137.4598</v>
      </c>
      <c r="M30" s="14">
        <v>151.93119999999999</v>
      </c>
      <c r="N30" s="14">
        <v>149.78460000000001</v>
      </c>
    </row>
    <row r="31" spans="1:14">
      <c r="B31" t="s">
        <v>210</v>
      </c>
      <c r="C31" s="14">
        <v>894.54110000000003</v>
      </c>
      <c r="D31" s="14">
        <v>913.30960000000005</v>
      </c>
      <c r="E31" s="14">
        <v>913.55669999999998</v>
      </c>
      <c r="F31" s="14">
        <v>939.70140000000004</v>
      </c>
      <c r="G31" s="14">
        <v>968.74279999999999</v>
      </c>
      <c r="H31" s="14">
        <v>991.0086</v>
      </c>
      <c r="I31" s="14">
        <v>995.87339999999995</v>
      </c>
      <c r="J31" s="14">
        <v>1006.2186</v>
      </c>
      <c r="K31" s="14">
        <v>1013.2324</v>
      </c>
      <c r="L31" s="14">
        <v>1013.7087</v>
      </c>
      <c r="M31" s="14">
        <v>1002.0181</v>
      </c>
      <c r="N31" s="14">
        <v>994.82129999999995</v>
      </c>
    </row>
    <row r="32" spans="1:14">
      <c r="B32" t="s">
        <v>211</v>
      </c>
      <c r="C32" s="14">
        <v>98.513900000000007</v>
      </c>
      <c r="D32" s="14">
        <v>98.829300000000003</v>
      </c>
      <c r="E32" s="14">
        <v>100.2634</v>
      </c>
      <c r="F32" s="14">
        <v>105.042</v>
      </c>
      <c r="G32" s="14">
        <v>101.39709999999999</v>
      </c>
      <c r="H32" s="14">
        <v>107.3096</v>
      </c>
      <c r="I32" s="14">
        <v>102.7881</v>
      </c>
      <c r="J32" s="14">
        <v>103.37730000000001</v>
      </c>
      <c r="K32" s="14">
        <v>106.6709</v>
      </c>
      <c r="L32" s="14">
        <v>109.5962</v>
      </c>
      <c r="M32" s="14">
        <v>107.541</v>
      </c>
      <c r="N32" s="14">
        <v>103.01990000000001</v>
      </c>
    </row>
    <row r="33" spans="2:14">
      <c r="B33" t="s">
        <v>212</v>
      </c>
      <c r="C33" s="14">
        <v>45.439799999999998</v>
      </c>
      <c r="D33" s="14">
        <v>44.385399999999997</v>
      </c>
      <c r="E33" s="14">
        <v>45.877400000000002</v>
      </c>
      <c r="F33" s="14">
        <v>47.465000000000003</v>
      </c>
      <c r="G33" s="14">
        <v>46.302700000000002</v>
      </c>
      <c r="H33" s="14">
        <v>45.493299999999998</v>
      </c>
      <c r="I33" s="14">
        <v>47.064100000000003</v>
      </c>
      <c r="J33" s="14">
        <v>46.406599999999997</v>
      </c>
      <c r="K33" s="14">
        <v>49.645699999999998</v>
      </c>
      <c r="L33" s="14">
        <v>48.493600000000001</v>
      </c>
      <c r="M33" s="14">
        <v>47.745600000000003</v>
      </c>
      <c r="N33" s="14">
        <v>47.438699999999997</v>
      </c>
    </row>
    <row r="34" spans="2:14">
      <c r="B34" t="s">
        <v>213</v>
      </c>
      <c r="C34" s="14">
        <v>71.674000000000007</v>
      </c>
      <c r="D34" s="14">
        <v>71.046400000000006</v>
      </c>
      <c r="E34" s="14">
        <v>84.914000000000001</v>
      </c>
      <c r="F34" s="14">
        <v>92.0899</v>
      </c>
      <c r="G34" s="14">
        <v>100.94799999999999</v>
      </c>
      <c r="H34" s="14">
        <v>109.9104</v>
      </c>
      <c r="I34" s="14">
        <v>118.91889999999999</v>
      </c>
      <c r="J34" s="14">
        <v>125.3503</v>
      </c>
      <c r="K34" s="14">
        <v>124.20910000000001</v>
      </c>
      <c r="L34" s="14">
        <v>123.96720000000001</v>
      </c>
      <c r="M34" s="14">
        <v>119.8601</v>
      </c>
      <c r="N34" s="14">
        <v>124.2398</v>
      </c>
    </row>
    <row r="35" spans="2:14">
      <c r="B35" t="s">
        <v>214</v>
      </c>
      <c r="C35" s="14">
        <v>17.486699999999999</v>
      </c>
      <c r="D35" s="14">
        <v>12.599500000000001</v>
      </c>
      <c r="E35" s="14">
        <v>10.279199999999999</v>
      </c>
      <c r="F35" s="14">
        <v>8.9027999999999992</v>
      </c>
      <c r="G35" s="14">
        <v>6.9889999999999999</v>
      </c>
      <c r="H35" s="14">
        <v>7.8867000000000003</v>
      </c>
      <c r="I35" s="14">
        <v>5.6559999999999997</v>
      </c>
      <c r="J35" s="14">
        <v>3.0535999999999999</v>
      </c>
      <c r="K35" s="14">
        <v>2.8414999999999999</v>
      </c>
      <c r="L35" s="14">
        <v>2.6711</v>
      </c>
      <c r="M35" s="14">
        <v>3.1204000000000001</v>
      </c>
      <c r="N35" s="14">
        <v>3.0224000000000002</v>
      </c>
    </row>
  </sheetData>
  <mergeCells count="1">
    <mergeCell ref="A1:U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5D5ED-98D0-471D-9E57-E293B46A5490}">
  <dimension ref="A1:AB11"/>
  <sheetViews>
    <sheetView showGridLines="0" workbookViewId="0">
      <selection sqref="A1:AB1"/>
    </sheetView>
  </sheetViews>
  <sheetFormatPr defaultRowHeight="14.5"/>
  <cols>
    <col min="1" max="1" width="12.453125" bestFit="1" customWidth="1"/>
    <col min="2" max="2" width="10.81640625" bestFit="1" customWidth="1"/>
    <col min="3" max="20" width="6.54296875" bestFit="1" customWidth="1"/>
  </cols>
  <sheetData>
    <row r="1" spans="1:28" ht="23.25" customHeight="1">
      <c r="A1" s="96" t="s">
        <v>219</v>
      </c>
      <c r="B1" s="96"/>
      <c r="C1" s="96"/>
      <c r="D1" s="96"/>
      <c r="E1" s="96"/>
      <c r="F1" s="96"/>
      <c r="G1" s="96"/>
      <c r="H1" s="96"/>
      <c r="I1" s="96"/>
      <c r="J1" s="96"/>
      <c r="K1" s="96"/>
      <c r="L1" s="96"/>
      <c r="M1" s="96"/>
      <c r="N1" s="96"/>
      <c r="O1" s="96"/>
      <c r="P1" s="96"/>
      <c r="Q1" s="96"/>
      <c r="R1" s="96"/>
      <c r="S1" s="96"/>
      <c r="T1" s="96"/>
      <c r="U1" s="96"/>
      <c r="V1" s="96"/>
      <c r="W1" s="96"/>
      <c r="X1" s="96"/>
      <c r="Y1" s="96"/>
      <c r="Z1" s="96"/>
      <c r="AA1" s="96"/>
      <c r="AB1" s="96"/>
    </row>
    <row r="4" spans="1:28">
      <c r="A4" s="10" t="s">
        <v>215</v>
      </c>
    </row>
    <row r="5" spans="1:28">
      <c r="C5">
        <v>2014</v>
      </c>
      <c r="D5">
        <v>2015</v>
      </c>
      <c r="E5">
        <v>2016</v>
      </c>
      <c r="F5">
        <v>2017</v>
      </c>
      <c r="G5">
        <v>2018</v>
      </c>
      <c r="H5">
        <v>2019</v>
      </c>
      <c r="I5">
        <v>2020</v>
      </c>
      <c r="J5">
        <v>2021</v>
      </c>
      <c r="K5">
        <v>2022</v>
      </c>
      <c r="L5">
        <v>2023</v>
      </c>
      <c r="M5">
        <v>2024</v>
      </c>
      <c r="N5">
        <v>2025</v>
      </c>
    </row>
    <row r="6" spans="1:28">
      <c r="A6" t="s">
        <v>203</v>
      </c>
      <c r="B6" t="s">
        <v>63</v>
      </c>
      <c r="C6" s="14">
        <v>20959.714400000001</v>
      </c>
      <c r="D6" s="14">
        <v>21064.7104</v>
      </c>
      <c r="E6" s="14">
        <v>21400.347399999999</v>
      </c>
      <c r="F6" s="14">
        <v>21825.9444</v>
      </c>
      <c r="G6" s="14">
        <v>22289.073</v>
      </c>
      <c r="H6" s="14">
        <v>22885.7837</v>
      </c>
      <c r="I6" s="14">
        <v>23911.158500000001</v>
      </c>
      <c r="J6" s="14">
        <v>24400.083200000001</v>
      </c>
      <c r="K6" s="14">
        <v>24561.696499999998</v>
      </c>
      <c r="L6" s="14">
        <v>24491.324400000001</v>
      </c>
      <c r="M6" s="14">
        <v>25280.314999999999</v>
      </c>
      <c r="N6" s="14">
        <v>26151.802500000002</v>
      </c>
    </row>
    <row r="7" spans="1:28">
      <c r="B7" t="s">
        <v>62</v>
      </c>
      <c r="C7" s="14">
        <v>6426.1751999999997</v>
      </c>
      <c r="D7" s="14">
        <v>6630.1751999999997</v>
      </c>
      <c r="E7" s="14">
        <v>6672.3135000000002</v>
      </c>
      <c r="F7" s="14">
        <v>6645.9683999999997</v>
      </c>
      <c r="G7" s="14">
        <v>6532.2950000000001</v>
      </c>
      <c r="H7" s="14">
        <v>6559.5002000000004</v>
      </c>
      <c r="I7" s="14">
        <v>6307.2150000000001</v>
      </c>
      <c r="J7" s="14">
        <v>6254.7248</v>
      </c>
      <c r="K7" s="14">
        <v>5865.4535999999998</v>
      </c>
      <c r="L7" s="14">
        <v>5886.0432000000001</v>
      </c>
      <c r="M7" s="14">
        <v>6098.6088</v>
      </c>
      <c r="N7" s="14">
        <v>6320.3733000000002</v>
      </c>
    </row>
    <row r="8" spans="1:28">
      <c r="A8" t="s">
        <v>204</v>
      </c>
      <c r="B8" t="s">
        <v>63</v>
      </c>
      <c r="C8" s="14">
        <v>19009.518499999998</v>
      </c>
      <c r="D8" s="14">
        <v>18896.4866</v>
      </c>
      <c r="E8" s="14">
        <v>19062.175599999999</v>
      </c>
      <c r="F8" s="14">
        <v>19336.6649</v>
      </c>
      <c r="G8" s="14">
        <v>19521.436300000001</v>
      </c>
      <c r="H8" s="14">
        <v>19729.709900000002</v>
      </c>
      <c r="I8" s="14">
        <v>20414.000800000002</v>
      </c>
      <c r="J8" s="14">
        <v>20856.666700000002</v>
      </c>
      <c r="K8" s="14">
        <v>21007.039000000001</v>
      </c>
      <c r="L8" s="14">
        <v>21231.2232</v>
      </c>
      <c r="M8" s="14">
        <v>22074.007799999999</v>
      </c>
      <c r="N8" s="14">
        <v>22683.134399999999</v>
      </c>
    </row>
    <row r="9" spans="1:28">
      <c r="B9" t="s">
        <v>62</v>
      </c>
      <c r="C9" s="14">
        <v>2996.6770000000001</v>
      </c>
      <c r="D9" s="14">
        <v>3166.6749</v>
      </c>
      <c r="E9" s="14">
        <v>3141.627</v>
      </c>
      <c r="F9" s="14">
        <v>3110.4994999999999</v>
      </c>
      <c r="G9" s="14">
        <v>3103.9949000000001</v>
      </c>
      <c r="H9" s="14">
        <v>3157.4090000000001</v>
      </c>
      <c r="I9" s="14">
        <v>3027.7734</v>
      </c>
      <c r="J9" s="14">
        <v>3053.9457000000002</v>
      </c>
      <c r="K9" s="14">
        <v>3004.4034000000001</v>
      </c>
      <c r="L9" s="14">
        <v>2987.1985</v>
      </c>
      <c r="M9" s="14">
        <v>3020.3532</v>
      </c>
      <c r="N9" s="14">
        <v>3228.8771999999999</v>
      </c>
    </row>
    <row r="10" spans="1:28">
      <c r="A10" t="s">
        <v>37</v>
      </c>
      <c r="B10" t="s">
        <v>63</v>
      </c>
      <c r="C10" s="14">
        <v>39969.232900000003</v>
      </c>
      <c r="D10" s="14">
        <v>39961.197</v>
      </c>
      <c r="E10" s="14">
        <v>40462.523000000001</v>
      </c>
      <c r="F10" s="14">
        <v>41162.609299999996</v>
      </c>
      <c r="G10" s="14">
        <v>41810.509299999998</v>
      </c>
      <c r="H10" s="14">
        <v>42615.493600000002</v>
      </c>
      <c r="I10" s="14">
        <v>44325.159299999999</v>
      </c>
      <c r="J10" s="14">
        <v>45256.749900000003</v>
      </c>
      <c r="K10" s="14">
        <v>45568.735500000003</v>
      </c>
      <c r="L10" s="14">
        <v>45722.547599999998</v>
      </c>
      <c r="M10" s="14">
        <v>47354.322800000002</v>
      </c>
      <c r="N10" s="14">
        <v>48834.936900000001</v>
      </c>
    </row>
    <row r="11" spans="1:28">
      <c r="B11" t="s">
        <v>62</v>
      </c>
      <c r="C11" s="14">
        <v>9422.8521999999994</v>
      </c>
      <c r="D11" s="14">
        <v>9796.8500999999997</v>
      </c>
      <c r="E11" s="14">
        <v>9813.9405000000006</v>
      </c>
      <c r="F11" s="14">
        <v>9756.4678999999996</v>
      </c>
      <c r="G11" s="14">
        <v>9636.2898999999998</v>
      </c>
      <c r="H11" s="14">
        <v>9716.9092000000001</v>
      </c>
      <c r="I11" s="14">
        <v>9334.9884000000002</v>
      </c>
      <c r="J11" s="14">
        <v>9308.6705000000002</v>
      </c>
      <c r="K11" s="14">
        <v>8869.857</v>
      </c>
      <c r="L11" s="14">
        <v>8873.2417000000005</v>
      </c>
      <c r="M11" s="14">
        <v>9118.9619999999995</v>
      </c>
      <c r="N11" s="14">
        <v>9549.2505000000001</v>
      </c>
    </row>
  </sheetData>
  <mergeCells count="1">
    <mergeCell ref="A1:AB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B6C72-802D-4149-AC98-80C825CE465E}">
  <dimension ref="A1:AB11"/>
  <sheetViews>
    <sheetView showGridLines="0" workbookViewId="0">
      <selection sqref="A1:AB1"/>
    </sheetView>
  </sheetViews>
  <sheetFormatPr defaultRowHeight="14.5"/>
  <cols>
    <col min="1" max="1" width="12.453125" bestFit="1" customWidth="1"/>
    <col min="2" max="2" width="9.453125" bestFit="1" customWidth="1"/>
    <col min="3" max="20" width="6.54296875" bestFit="1" customWidth="1"/>
  </cols>
  <sheetData>
    <row r="1" spans="1:28" ht="23.5">
      <c r="A1" s="96" t="s">
        <v>220</v>
      </c>
      <c r="B1" s="96"/>
      <c r="C1" s="96"/>
      <c r="D1" s="96"/>
      <c r="E1" s="96"/>
      <c r="F1" s="96"/>
      <c r="G1" s="96"/>
      <c r="H1" s="96"/>
      <c r="I1" s="96"/>
      <c r="J1" s="96"/>
      <c r="K1" s="96"/>
      <c r="L1" s="96"/>
      <c r="M1" s="96"/>
      <c r="N1" s="96"/>
      <c r="O1" s="96"/>
      <c r="P1" s="96"/>
      <c r="Q1" s="96"/>
      <c r="R1" s="96"/>
      <c r="S1" s="96"/>
      <c r="T1" s="96"/>
      <c r="U1" s="96"/>
      <c r="V1" s="96"/>
      <c r="W1" s="96"/>
      <c r="X1" s="96"/>
      <c r="Y1" s="96"/>
      <c r="Z1" s="96"/>
      <c r="AA1" s="96"/>
      <c r="AB1" s="96"/>
    </row>
    <row r="4" spans="1:28">
      <c r="A4" s="10" t="s">
        <v>215</v>
      </c>
    </row>
    <row r="5" spans="1:28">
      <c r="C5">
        <v>2014</v>
      </c>
      <c r="D5">
        <v>2015</v>
      </c>
      <c r="E5">
        <v>2016</v>
      </c>
      <c r="F5">
        <v>2017</v>
      </c>
      <c r="G5">
        <v>2018</v>
      </c>
      <c r="H5">
        <v>2019</v>
      </c>
      <c r="I5">
        <v>2020</v>
      </c>
      <c r="J5">
        <v>2021</v>
      </c>
      <c r="K5">
        <v>2022</v>
      </c>
      <c r="L5">
        <v>2023</v>
      </c>
      <c r="M5">
        <v>2024</v>
      </c>
      <c r="N5">
        <v>2025</v>
      </c>
    </row>
    <row r="6" spans="1:28">
      <c r="A6" t="s">
        <v>203</v>
      </c>
      <c r="B6" t="s">
        <v>159</v>
      </c>
      <c r="C6" s="14">
        <v>23758.267400000001</v>
      </c>
      <c r="D6" s="14">
        <v>24009.2366</v>
      </c>
      <c r="E6" s="14">
        <v>24331.900900000001</v>
      </c>
      <c r="F6" s="14">
        <v>24515.614099999999</v>
      </c>
      <c r="G6" s="14">
        <v>24708.0275</v>
      </c>
      <c r="H6" s="14">
        <v>25030.713599999999</v>
      </c>
      <c r="I6" s="14">
        <v>25826.973999999998</v>
      </c>
      <c r="J6" s="14">
        <v>26003.588100000001</v>
      </c>
      <c r="K6" s="14">
        <v>25638.963500000002</v>
      </c>
      <c r="L6" s="14">
        <v>25476.543600000001</v>
      </c>
      <c r="M6" s="14">
        <v>26170.790799999999</v>
      </c>
      <c r="N6" s="14">
        <v>26816.0851</v>
      </c>
    </row>
    <row r="7" spans="1:28">
      <c r="B7" t="s">
        <v>160</v>
      </c>
      <c r="C7" s="14">
        <v>3627.6221999999998</v>
      </c>
      <c r="D7" s="14">
        <v>3685.6489999999999</v>
      </c>
      <c r="E7" s="14">
        <v>3740.76</v>
      </c>
      <c r="F7" s="14">
        <v>3956.2986999999998</v>
      </c>
      <c r="G7" s="14">
        <v>4113.3405000000002</v>
      </c>
      <c r="H7" s="14">
        <v>4414.5703000000003</v>
      </c>
      <c r="I7" s="14">
        <v>4391.3995000000004</v>
      </c>
      <c r="J7" s="14">
        <v>4651.2199000000001</v>
      </c>
      <c r="K7" s="14">
        <v>4788.1866</v>
      </c>
      <c r="L7" s="14">
        <v>4900.8239999999996</v>
      </c>
      <c r="M7" s="14">
        <v>5208.1329999999998</v>
      </c>
      <c r="N7" s="14">
        <v>5656.0906999999997</v>
      </c>
    </row>
    <row r="8" spans="1:28">
      <c r="A8" t="s">
        <v>204</v>
      </c>
      <c r="B8" t="s">
        <v>159</v>
      </c>
      <c r="C8" s="14">
        <v>19726.965700000001</v>
      </c>
      <c r="D8" s="14">
        <v>19776.8272</v>
      </c>
      <c r="E8" s="14">
        <v>19882.705099999999</v>
      </c>
      <c r="F8" s="14">
        <v>20144.525300000001</v>
      </c>
      <c r="G8" s="14">
        <v>20327.607899999999</v>
      </c>
      <c r="H8" s="14">
        <v>20546.288799999998</v>
      </c>
      <c r="I8" s="14">
        <v>21065.828799999999</v>
      </c>
      <c r="J8" s="14">
        <v>21427.456999999999</v>
      </c>
      <c r="K8" s="14">
        <v>21581.102200000001</v>
      </c>
      <c r="L8" s="14">
        <v>21786.5049</v>
      </c>
      <c r="M8" s="14">
        <v>22545.332999999999</v>
      </c>
      <c r="N8" s="14">
        <v>23145.812699999999</v>
      </c>
    </row>
    <row r="9" spans="1:28">
      <c r="B9" t="s">
        <v>160</v>
      </c>
      <c r="C9" s="14">
        <v>2279.2298000000001</v>
      </c>
      <c r="D9" s="14">
        <v>2286.3343</v>
      </c>
      <c r="E9" s="14">
        <v>2321.0974999999999</v>
      </c>
      <c r="F9" s="14">
        <v>2302.6390999999999</v>
      </c>
      <c r="G9" s="14">
        <v>2297.8233</v>
      </c>
      <c r="H9" s="14">
        <v>2340.8301000000001</v>
      </c>
      <c r="I9" s="14">
        <v>2375.9454000000001</v>
      </c>
      <c r="J9" s="14">
        <v>2483.1554000000001</v>
      </c>
      <c r="K9" s="14">
        <v>2430.3402000000001</v>
      </c>
      <c r="L9" s="14">
        <v>2431.9168</v>
      </c>
      <c r="M9" s="14">
        <v>2549.0279999999998</v>
      </c>
      <c r="N9" s="14">
        <v>2766.1988999999999</v>
      </c>
    </row>
    <row r="10" spans="1:28">
      <c r="A10" t="s">
        <v>37</v>
      </c>
      <c r="B10" t="s">
        <v>159</v>
      </c>
      <c r="C10" s="14">
        <v>43485.233099999998</v>
      </c>
      <c r="D10" s="14">
        <v>43786.063800000004</v>
      </c>
      <c r="E10" s="14">
        <v>44214.606</v>
      </c>
      <c r="F10" s="14">
        <v>44660.1394</v>
      </c>
      <c r="G10" s="14">
        <v>45035.635399999999</v>
      </c>
      <c r="H10" s="14">
        <v>45577.002399999998</v>
      </c>
      <c r="I10" s="14">
        <v>46892.802799999998</v>
      </c>
      <c r="J10" s="14">
        <v>47431.045100000003</v>
      </c>
      <c r="K10" s="14">
        <v>47220.065699999999</v>
      </c>
      <c r="L10" s="14">
        <v>47263.048499999997</v>
      </c>
      <c r="M10" s="14">
        <v>48716.123800000001</v>
      </c>
      <c r="N10" s="14">
        <v>49961.897799999999</v>
      </c>
    </row>
    <row r="11" spans="1:28">
      <c r="B11" t="s">
        <v>160</v>
      </c>
      <c r="C11" s="14">
        <v>5906.8519999999999</v>
      </c>
      <c r="D11" s="14">
        <v>5971.9832999999999</v>
      </c>
      <c r="E11" s="14">
        <v>6061.8575000000001</v>
      </c>
      <c r="F11" s="14">
        <v>6258.9377999999997</v>
      </c>
      <c r="G11" s="14">
        <v>6411.1638000000003</v>
      </c>
      <c r="H11" s="14">
        <v>6755.4004000000004</v>
      </c>
      <c r="I11" s="14">
        <v>6767.3449000000001</v>
      </c>
      <c r="J11" s="14">
        <v>7134.3752999999997</v>
      </c>
      <c r="K11" s="14">
        <v>7218.5267999999996</v>
      </c>
      <c r="L11" s="14">
        <v>7332.7407999999996</v>
      </c>
      <c r="M11" s="14">
        <v>7757.1610000000001</v>
      </c>
      <c r="N11" s="14">
        <v>8422.2896000000001</v>
      </c>
    </row>
  </sheetData>
  <mergeCells count="1">
    <mergeCell ref="A1:AB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8C832-5138-4914-8999-08D649992EC8}">
  <dimension ref="A1:AA29"/>
  <sheetViews>
    <sheetView showGridLines="0" workbookViewId="0">
      <selection sqref="A1:AA1"/>
    </sheetView>
  </sheetViews>
  <sheetFormatPr defaultRowHeight="14.5"/>
  <cols>
    <col min="1" max="1" width="12.453125" customWidth="1"/>
    <col min="2" max="2" width="16.81640625" bestFit="1" customWidth="1"/>
    <col min="3" max="20" width="6.54296875" bestFit="1" customWidth="1"/>
  </cols>
  <sheetData>
    <row r="1" spans="1:27" ht="23.5">
      <c r="A1" s="96" t="s">
        <v>221</v>
      </c>
      <c r="B1" s="96"/>
      <c r="C1" s="96"/>
      <c r="D1" s="96"/>
      <c r="E1" s="96"/>
      <c r="F1" s="96"/>
      <c r="G1" s="96"/>
      <c r="H1" s="96"/>
      <c r="I1" s="96"/>
      <c r="J1" s="96"/>
      <c r="K1" s="96"/>
      <c r="L1" s="96"/>
      <c r="M1" s="96"/>
      <c r="N1" s="96"/>
      <c r="O1" s="96"/>
      <c r="P1" s="96"/>
      <c r="Q1" s="96"/>
      <c r="R1" s="96"/>
      <c r="S1" s="96"/>
      <c r="T1" s="96"/>
      <c r="U1" s="96"/>
      <c r="V1" s="96"/>
      <c r="W1" s="96"/>
      <c r="X1" s="96"/>
      <c r="Y1" s="96"/>
      <c r="Z1" s="96"/>
      <c r="AA1" s="96"/>
    </row>
    <row r="2" spans="1:27">
      <c r="A2" s="13" t="s">
        <v>64</v>
      </c>
    </row>
    <row r="4" spans="1:27">
      <c r="A4" s="10" t="s">
        <v>215</v>
      </c>
    </row>
    <row r="5" spans="1:27">
      <c r="C5">
        <v>2014</v>
      </c>
      <c r="D5">
        <v>2015</v>
      </c>
      <c r="E5">
        <v>2016</v>
      </c>
      <c r="F5">
        <v>2017</v>
      </c>
      <c r="G5">
        <v>2018</v>
      </c>
      <c r="H5">
        <v>2019</v>
      </c>
      <c r="I5">
        <v>2020</v>
      </c>
      <c r="J5">
        <v>2021</v>
      </c>
      <c r="K5">
        <v>2022</v>
      </c>
      <c r="L5">
        <v>2023</v>
      </c>
      <c r="M5">
        <v>2024</v>
      </c>
      <c r="N5">
        <v>2025</v>
      </c>
    </row>
    <row r="6" spans="1:27">
      <c r="A6" t="s">
        <v>203</v>
      </c>
      <c r="B6" t="s">
        <v>154</v>
      </c>
      <c r="C6" s="14">
        <v>2766.4474</v>
      </c>
      <c r="D6" s="14">
        <v>2868.6370000000002</v>
      </c>
      <c r="E6" s="14">
        <v>3023.0482999999999</v>
      </c>
      <c r="F6" s="14">
        <v>3119.8283000000001</v>
      </c>
      <c r="G6" s="14">
        <v>3280.3323</v>
      </c>
      <c r="H6" s="14">
        <v>3487.4196000000002</v>
      </c>
      <c r="I6" s="14">
        <v>3690.922</v>
      </c>
      <c r="J6" s="14">
        <v>3771.6965</v>
      </c>
      <c r="K6" s="14">
        <v>3712.9256</v>
      </c>
      <c r="L6" s="14">
        <v>3713.2860999999998</v>
      </c>
      <c r="M6" s="14">
        <v>3827.8069999999998</v>
      </c>
      <c r="N6" s="14">
        <v>4008.0003000000002</v>
      </c>
    </row>
    <row r="7" spans="1:27">
      <c r="B7" t="s">
        <v>158</v>
      </c>
      <c r="C7" s="14">
        <v>860.52260000000001</v>
      </c>
      <c r="D7" s="14">
        <v>914.56420000000003</v>
      </c>
      <c r="E7" s="14">
        <v>981.28620000000001</v>
      </c>
      <c r="F7" s="14">
        <v>1057.6174000000001</v>
      </c>
      <c r="G7" s="14">
        <v>1171.3380999999999</v>
      </c>
      <c r="H7" s="14">
        <v>1280.3720000000001</v>
      </c>
      <c r="I7" s="14">
        <v>1363.1413</v>
      </c>
      <c r="J7" s="14">
        <v>1437.8819000000001</v>
      </c>
      <c r="K7" s="14">
        <v>1480.7820999999999</v>
      </c>
      <c r="L7" s="14">
        <v>1543.8862999999999</v>
      </c>
      <c r="M7" s="14">
        <v>1643.3656000000001</v>
      </c>
      <c r="N7" s="14">
        <v>1755.4075</v>
      </c>
    </row>
    <row r="8" spans="1:27">
      <c r="B8" t="s">
        <v>152</v>
      </c>
      <c r="C8" s="14">
        <v>781.46960000000001</v>
      </c>
      <c r="D8" s="14">
        <v>823.93939999999998</v>
      </c>
      <c r="E8" s="14">
        <v>898.96450000000004</v>
      </c>
      <c r="F8" s="14">
        <v>971.90329999999994</v>
      </c>
      <c r="G8" s="14">
        <v>1049.6262999999999</v>
      </c>
      <c r="H8" s="14">
        <v>1162.9319</v>
      </c>
      <c r="I8" s="14">
        <v>1264.8131000000001</v>
      </c>
      <c r="J8" s="14">
        <v>1358.8343</v>
      </c>
      <c r="K8" s="14">
        <v>1419.5041000000001</v>
      </c>
      <c r="L8" s="14">
        <v>1529.7284</v>
      </c>
      <c r="M8" s="14">
        <v>1719.2405000000001</v>
      </c>
      <c r="N8" s="14">
        <v>1997.6608000000001</v>
      </c>
    </row>
    <row r="9" spans="1:27">
      <c r="B9" t="s">
        <v>155</v>
      </c>
      <c r="C9" s="14">
        <v>27.728899999999999</v>
      </c>
      <c r="D9" s="14">
        <v>57.1815</v>
      </c>
      <c r="E9" s="14">
        <v>86.702200000000005</v>
      </c>
      <c r="F9" s="14">
        <v>132.60730000000001</v>
      </c>
      <c r="G9" s="14">
        <v>181.7397</v>
      </c>
      <c r="H9" s="14">
        <v>245.58170000000001</v>
      </c>
      <c r="I9" s="14">
        <v>318.31479999999999</v>
      </c>
      <c r="J9" s="14">
        <v>343.53789999999998</v>
      </c>
      <c r="K9" s="14">
        <v>370.56130000000002</v>
      </c>
      <c r="L9" s="14">
        <v>431.83300000000003</v>
      </c>
      <c r="M9" s="14">
        <v>490.05529999999999</v>
      </c>
      <c r="N9" s="14">
        <v>584.3152</v>
      </c>
    </row>
    <row r="10" spans="1:27">
      <c r="B10" t="s">
        <v>153</v>
      </c>
      <c r="C10" s="14">
        <v>20951.3923</v>
      </c>
      <c r="D10" s="14">
        <v>21031.521499999999</v>
      </c>
      <c r="E10" s="14">
        <v>21219.911899999999</v>
      </c>
      <c r="F10" s="14">
        <v>21578.3001</v>
      </c>
      <c r="G10" s="14">
        <v>21941.699799999999</v>
      </c>
      <c r="H10" s="14">
        <v>22285.552199999998</v>
      </c>
      <c r="I10" s="14">
        <v>22875.2084</v>
      </c>
      <c r="J10" s="14">
        <v>23144.397400000002</v>
      </c>
      <c r="K10" s="14">
        <v>22785.955600000001</v>
      </c>
      <c r="L10" s="14">
        <v>22527.286899999999</v>
      </c>
      <c r="M10" s="14">
        <v>22978.536199999999</v>
      </c>
      <c r="N10" s="14">
        <v>23412.375599999999</v>
      </c>
    </row>
    <row r="11" spans="1:27">
      <c r="B11" t="s">
        <v>157</v>
      </c>
      <c r="C11" s="14">
        <v>611.32629999999995</v>
      </c>
      <c r="D11" s="14">
        <v>578.66020000000003</v>
      </c>
      <c r="E11" s="14">
        <v>560.83169999999996</v>
      </c>
      <c r="F11" s="14">
        <v>546.88789999999995</v>
      </c>
      <c r="G11" s="14">
        <v>540.71019999999999</v>
      </c>
      <c r="H11" s="14">
        <v>576.62950000000001</v>
      </c>
      <c r="I11" s="14">
        <v>600.9384</v>
      </c>
      <c r="J11" s="14">
        <v>601.14329999999995</v>
      </c>
      <c r="K11" s="14">
        <v>569.32079999999996</v>
      </c>
      <c r="L11" s="14">
        <v>570.90359999999998</v>
      </c>
      <c r="M11" s="14">
        <v>595.29899999999998</v>
      </c>
      <c r="N11" s="14">
        <v>600.48620000000005</v>
      </c>
    </row>
    <row r="12" spans="1:27">
      <c r="B12" t="s">
        <v>156</v>
      </c>
      <c r="C12" s="14">
        <v>1786.4404</v>
      </c>
      <c r="D12" s="14">
        <v>2141.7881000000002</v>
      </c>
      <c r="E12" s="14">
        <v>2359.1156000000001</v>
      </c>
      <c r="F12" s="14">
        <v>2374.0450999999998</v>
      </c>
      <c r="G12" s="14">
        <v>2270.2042999999999</v>
      </c>
      <c r="H12" s="14">
        <v>2335.7656999999999</v>
      </c>
      <c r="I12" s="14">
        <v>2316.7707</v>
      </c>
      <c r="J12" s="14">
        <v>2335.9168</v>
      </c>
      <c r="K12" s="14">
        <v>2418.6601000000001</v>
      </c>
      <c r="L12" s="14">
        <v>2455.9558999999999</v>
      </c>
      <c r="M12" s="14">
        <v>2641.9495999999999</v>
      </c>
      <c r="N12" s="14">
        <v>2795.8872999999999</v>
      </c>
    </row>
    <row r="13" spans="1:27">
      <c r="B13" t="s">
        <v>37</v>
      </c>
      <c r="C13" s="14">
        <v>27385.889599999999</v>
      </c>
      <c r="D13" s="14">
        <v>27694.885600000001</v>
      </c>
      <c r="E13" s="14">
        <v>28072.660899999999</v>
      </c>
      <c r="F13" s="14">
        <v>28471.912799999998</v>
      </c>
      <c r="G13" s="14">
        <v>28821.367999999999</v>
      </c>
      <c r="H13" s="14">
        <v>29445.283899999999</v>
      </c>
      <c r="I13" s="14">
        <v>30218.373500000002</v>
      </c>
      <c r="J13" s="14">
        <v>30654.808000000001</v>
      </c>
      <c r="K13" s="14">
        <v>30427.150099999999</v>
      </c>
      <c r="L13" s="14">
        <v>30377.367600000001</v>
      </c>
      <c r="M13" s="14">
        <v>31378.9238</v>
      </c>
      <c r="N13" s="14">
        <v>32472.175800000001</v>
      </c>
    </row>
    <row r="14" spans="1:27">
      <c r="A14" t="s">
        <v>204</v>
      </c>
      <c r="B14" t="s">
        <v>154</v>
      </c>
      <c r="C14" s="14">
        <v>2439.3141000000001</v>
      </c>
      <c r="D14" s="14">
        <v>2528.5648000000001</v>
      </c>
      <c r="E14" s="14">
        <v>2647.3229000000001</v>
      </c>
      <c r="F14" s="14">
        <v>2794.2809000000002</v>
      </c>
      <c r="G14" s="14">
        <v>2904.2251999999999</v>
      </c>
      <c r="H14" s="14">
        <v>3033.9809</v>
      </c>
      <c r="I14" s="14">
        <v>3189.5261</v>
      </c>
      <c r="J14" s="14">
        <v>3296.0934999999999</v>
      </c>
      <c r="K14" s="14">
        <v>3397.2305999999999</v>
      </c>
      <c r="L14" s="14">
        <v>3463.0340000000001</v>
      </c>
      <c r="M14" s="14">
        <v>3659.3532</v>
      </c>
      <c r="N14" s="14">
        <v>3863.0027</v>
      </c>
    </row>
    <row r="15" spans="1:27">
      <c r="B15" t="s">
        <v>158</v>
      </c>
      <c r="C15" s="14">
        <v>623.49180000000001</v>
      </c>
      <c r="D15" s="14">
        <v>639.87350000000004</v>
      </c>
      <c r="E15" s="14">
        <v>703.96389999999997</v>
      </c>
      <c r="F15" s="14">
        <v>770.01909999999998</v>
      </c>
      <c r="G15" s="14">
        <v>838.7645</v>
      </c>
      <c r="H15" s="14">
        <v>929.61950000000002</v>
      </c>
      <c r="I15" s="14">
        <v>1014.5008</v>
      </c>
      <c r="J15" s="14">
        <v>1092.7085999999999</v>
      </c>
      <c r="K15" s="14">
        <v>1162.4916000000001</v>
      </c>
      <c r="L15" s="14">
        <v>1238.2587000000001</v>
      </c>
      <c r="M15" s="14">
        <v>1439.8529000000001</v>
      </c>
      <c r="N15" s="14">
        <v>1567.4142999999999</v>
      </c>
    </row>
    <row r="16" spans="1:27">
      <c r="B16" t="s">
        <v>152</v>
      </c>
      <c r="C16" s="14">
        <v>1045.1386</v>
      </c>
      <c r="D16" s="14">
        <v>1072.0495000000001</v>
      </c>
      <c r="E16" s="14">
        <v>1119.1115</v>
      </c>
      <c r="F16" s="14">
        <v>1192.9001000000001</v>
      </c>
      <c r="G16" s="14">
        <v>1288.4715000000001</v>
      </c>
      <c r="H16" s="14">
        <v>1367.6488999999999</v>
      </c>
      <c r="I16" s="14">
        <v>1457.9083000000001</v>
      </c>
      <c r="J16" s="14">
        <v>1537.6805999999999</v>
      </c>
      <c r="K16" s="14">
        <v>1626.0856000000001</v>
      </c>
      <c r="L16" s="14">
        <v>1714.0759</v>
      </c>
      <c r="M16" s="14">
        <v>1978.4176</v>
      </c>
      <c r="N16" s="14">
        <v>2222.7867999999999</v>
      </c>
    </row>
    <row r="17" spans="1:14">
      <c r="B17" t="s">
        <v>155</v>
      </c>
      <c r="C17" s="14">
        <v>25.633199999999999</v>
      </c>
      <c r="D17" s="14">
        <v>47.48</v>
      </c>
      <c r="E17" s="14">
        <v>75.077200000000005</v>
      </c>
      <c r="F17" s="14">
        <v>105.76220000000001</v>
      </c>
      <c r="G17" s="14">
        <v>125.5085</v>
      </c>
      <c r="H17" s="14">
        <v>181.92869999999999</v>
      </c>
      <c r="I17" s="14">
        <v>247.12360000000001</v>
      </c>
      <c r="J17" s="14">
        <v>276.24939999999998</v>
      </c>
      <c r="K17" s="14">
        <v>318.64749999999998</v>
      </c>
      <c r="L17" s="14">
        <v>372.3494</v>
      </c>
      <c r="M17" s="14">
        <v>438.25650000000002</v>
      </c>
      <c r="N17" s="14">
        <v>488.11829999999998</v>
      </c>
    </row>
    <row r="18" spans="1:14">
      <c r="B18" t="s">
        <v>153</v>
      </c>
      <c r="C18" s="14">
        <v>15317.992399999999</v>
      </c>
      <c r="D18" s="14">
        <v>15200.276599999999</v>
      </c>
      <c r="E18" s="14">
        <v>15158.568499999999</v>
      </c>
      <c r="F18" s="14">
        <v>15276.8642</v>
      </c>
      <c r="G18" s="14">
        <v>15434.845300000001</v>
      </c>
      <c r="H18" s="14">
        <v>15475.158600000001</v>
      </c>
      <c r="I18" s="14">
        <v>15845.219300000001</v>
      </c>
      <c r="J18" s="14">
        <v>16083.8482</v>
      </c>
      <c r="K18" s="14">
        <v>15906.64</v>
      </c>
      <c r="L18" s="14">
        <v>15759.1806</v>
      </c>
      <c r="M18" s="14">
        <v>15874.8966</v>
      </c>
      <c r="N18" s="14">
        <v>15999.1672</v>
      </c>
    </row>
    <row r="19" spans="1:14">
      <c r="B19" t="s">
        <v>157</v>
      </c>
      <c r="C19" s="14">
        <v>837.14859999999999</v>
      </c>
      <c r="D19" s="14">
        <v>782.78179999999998</v>
      </c>
      <c r="E19" s="14">
        <v>759.89179999999999</v>
      </c>
      <c r="F19" s="14">
        <v>726.90089999999998</v>
      </c>
      <c r="G19" s="14">
        <v>716.85879999999997</v>
      </c>
      <c r="H19" s="14">
        <v>721.72529999999995</v>
      </c>
      <c r="I19" s="14">
        <v>718.41930000000002</v>
      </c>
      <c r="J19" s="14">
        <v>713.90300000000002</v>
      </c>
      <c r="K19" s="14">
        <v>697.06799999999998</v>
      </c>
      <c r="L19" s="14">
        <v>692.0951</v>
      </c>
      <c r="M19" s="14">
        <v>692.42190000000005</v>
      </c>
      <c r="N19" s="14">
        <v>682.06169999999997</v>
      </c>
    </row>
    <row r="20" spans="1:14">
      <c r="B20" t="s">
        <v>156</v>
      </c>
      <c r="C20" s="14">
        <v>1967.3587</v>
      </c>
      <c r="D20" s="14">
        <v>2237.3969000000002</v>
      </c>
      <c r="E20" s="14">
        <v>2415.8429999999998</v>
      </c>
      <c r="F20" s="14">
        <v>2461.3164999999999</v>
      </c>
      <c r="G20" s="14">
        <v>2417.6907000000001</v>
      </c>
      <c r="H20" s="14">
        <v>2493.1768999999999</v>
      </c>
      <c r="I20" s="14">
        <v>2510.3498</v>
      </c>
      <c r="J20" s="14">
        <v>2565.3227000000002</v>
      </c>
      <c r="K20" s="14">
        <v>2652.2725</v>
      </c>
      <c r="L20" s="14">
        <v>2795.35</v>
      </c>
      <c r="M20" s="14">
        <v>2959.8721</v>
      </c>
      <c r="N20" s="14">
        <v>3123.3152</v>
      </c>
    </row>
    <row r="21" spans="1:14">
      <c r="B21" t="s">
        <v>37</v>
      </c>
      <c r="C21" s="14">
        <v>22006.195500000002</v>
      </c>
      <c r="D21" s="14">
        <v>22063.161499999998</v>
      </c>
      <c r="E21" s="14">
        <v>22203.802599999999</v>
      </c>
      <c r="F21" s="14">
        <v>22447.164400000001</v>
      </c>
      <c r="G21" s="14">
        <v>22625.431199999999</v>
      </c>
      <c r="H21" s="14">
        <v>22887.118900000001</v>
      </c>
      <c r="I21" s="14">
        <v>23441.7742</v>
      </c>
      <c r="J21" s="14">
        <v>23910.612400000002</v>
      </c>
      <c r="K21" s="14">
        <v>24011.4424</v>
      </c>
      <c r="L21" s="14">
        <v>24218.421699999999</v>
      </c>
      <c r="M21" s="14">
        <v>25094.361000000001</v>
      </c>
      <c r="N21" s="14">
        <v>25912.011600000002</v>
      </c>
    </row>
    <row r="22" spans="1:14">
      <c r="A22" t="s">
        <v>37</v>
      </c>
      <c r="B22" t="s">
        <v>154</v>
      </c>
      <c r="C22" s="14">
        <v>5205.7614999999996</v>
      </c>
      <c r="D22" s="14">
        <v>5397.2017999999998</v>
      </c>
      <c r="E22" s="14">
        <v>5670.3711999999996</v>
      </c>
      <c r="F22" s="14">
        <v>5914.1091999999999</v>
      </c>
      <c r="G22" s="14">
        <v>6184.5574999999999</v>
      </c>
      <c r="H22" s="14">
        <v>6521.4004999999997</v>
      </c>
      <c r="I22" s="14">
        <v>6880.4480999999996</v>
      </c>
      <c r="J22" s="14">
        <v>7067.79</v>
      </c>
      <c r="K22" s="14">
        <v>7110.1562000000004</v>
      </c>
      <c r="L22" s="14">
        <v>7176.3200999999999</v>
      </c>
      <c r="M22" s="14">
        <v>7487.1602000000003</v>
      </c>
      <c r="N22" s="14">
        <v>7871.0029999999997</v>
      </c>
    </row>
    <row r="23" spans="1:14">
      <c r="B23" t="s">
        <v>158</v>
      </c>
      <c r="C23" s="14">
        <v>1484.0144</v>
      </c>
      <c r="D23" s="14">
        <v>1554.4376999999999</v>
      </c>
      <c r="E23" s="14">
        <v>1685.2501</v>
      </c>
      <c r="F23" s="14">
        <v>1827.6365000000001</v>
      </c>
      <c r="G23" s="14">
        <v>2010.1025999999999</v>
      </c>
      <c r="H23" s="14">
        <v>2209.9915000000001</v>
      </c>
      <c r="I23" s="14">
        <v>2377.6421</v>
      </c>
      <c r="J23" s="14">
        <v>2530.5904999999998</v>
      </c>
      <c r="K23" s="14">
        <v>2643.2737000000002</v>
      </c>
      <c r="L23" s="14">
        <v>2782.145</v>
      </c>
      <c r="M23" s="14">
        <v>3083.2184999999999</v>
      </c>
      <c r="N23" s="14">
        <v>3322.8218000000002</v>
      </c>
    </row>
    <row r="24" spans="1:14">
      <c r="B24" t="s">
        <v>152</v>
      </c>
      <c r="C24" s="14">
        <v>1826.6081999999999</v>
      </c>
      <c r="D24" s="14">
        <v>1895.9889000000001</v>
      </c>
      <c r="E24" s="14">
        <v>2018.076</v>
      </c>
      <c r="F24" s="14">
        <v>2164.8033999999998</v>
      </c>
      <c r="G24" s="14">
        <v>2338.0978</v>
      </c>
      <c r="H24" s="14">
        <v>2530.5808000000002</v>
      </c>
      <c r="I24" s="14">
        <v>2722.7213999999999</v>
      </c>
      <c r="J24" s="14">
        <v>2896.5149000000001</v>
      </c>
      <c r="K24" s="14">
        <v>3045.5897</v>
      </c>
      <c r="L24" s="14">
        <v>3243.8042999999998</v>
      </c>
      <c r="M24" s="14">
        <v>3697.6581000000001</v>
      </c>
      <c r="N24" s="14">
        <v>4220.4476000000004</v>
      </c>
    </row>
    <row r="25" spans="1:14">
      <c r="B25" t="s">
        <v>155</v>
      </c>
      <c r="C25" s="14">
        <v>53.362099999999998</v>
      </c>
      <c r="D25" s="14">
        <v>104.6615</v>
      </c>
      <c r="E25" s="14">
        <v>161.77940000000001</v>
      </c>
      <c r="F25" s="14">
        <v>238.36949999999999</v>
      </c>
      <c r="G25" s="14">
        <v>307.2482</v>
      </c>
      <c r="H25" s="14">
        <v>427.5104</v>
      </c>
      <c r="I25" s="14">
        <v>565.4384</v>
      </c>
      <c r="J25" s="14">
        <v>619.78729999999996</v>
      </c>
      <c r="K25" s="14">
        <v>689.2088</v>
      </c>
      <c r="L25" s="14">
        <v>804.18240000000003</v>
      </c>
      <c r="M25" s="14">
        <v>928.31179999999995</v>
      </c>
      <c r="N25" s="14">
        <v>1072.4335000000001</v>
      </c>
    </row>
    <row r="26" spans="1:14">
      <c r="B26" t="s">
        <v>153</v>
      </c>
      <c r="C26" s="14">
        <v>36269.384700000002</v>
      </c>
      <c r="D26" s="14">
        <v>36231.7981</v>
      </c>
      <c r="E26" s="14">
        <v>36378.4804</v>
      </c>
      <c r="F26" s="14">
        <v>36855.164299999997</v>
      </c>
      <c r="G26" s="14">
        <v>37376.545100000003</v>
      </c>
      <c r="H26" s="14">
        <v>37760.710800000001</v>
      </c>
      <c r="I26" s="14">
        <v>38720.4277</v>
      </c>
      <c r="J26" s="14">
        <v>39228.245600000002</v>
      </c>
      <c r="K26" s="14">
        <v>38692.595600000001</v>
      </c>
      <c r="L26" s="14">
        <v>38286.467499999999</v>
      </c>
      <c r="M26" s="14">
        <v>38853.432800000002</v>
      </c>
      <c r="N26" s="14">
        <v>39411.542800000003</v>
      </c>
    </row>
    <row r="27" spans="1:14">
      <c r="B27" t="s">
        <v>157</v>
      </c>
      <c r="C27" s="14">
        <v>1448.4748999999999</v>
      </c>
      <c r="D27" s="14">
        <v>1361.442</v>
      </c>
      <c r="E27" s="14">
        <v>1320.7235000000001</v>
      </c>
      <c r="F27" s="14">
        <v>1273.7888</v>
      </c>
      <c r="G27" s="14">
        <v>1257.569</v>
      </c>
      <c r="H27" s="14">
        <v>1298.3548000000001</v>
      </c>
      <c r="I27" s="14">
        <v>1319.3577</v>
      </c>
      <c r="J27" s="14">
        <v>1315.0463</v>
      </c>
      <c r="K27" s="14">
        <v>1266.3887999999999</v>
      </c>
      <c r="L27" s="14">
        <v>1262.9987000000001</v>
      </c>
      <c r="M27" s="14">
        <v>1287.7209</v>
      </c>
      <c r="N27" s="14">
        <v>1282.5479</v>
      </c>
    </row>
    <row r="28" spans="1:14">
      <c r="B28" t="s">
        <v>156</v>
      </c>
      <c r="C28" s="14">
        <v>3753.7991000000002</v>
      </c>
      <c r="D28" s="14">
        <v>4379.1850000000004</v>
      </c>
      <c r="E28" s="14">
        <v>4774.9585999999999</v>
      </c>
      <c r="F28" s="14">
        <v>4835.3616000000002</v>
      </c>
      <c r="G28" s="14">
        <v>4687.8950000000004</v>
      </c>
      <c r="H28" s="14">
        <v>4828.9426000000003</v>
      </c>
      <c r="I28" s="14">
        <v>4827.1205</v>
      </c>
      <c r="J28" s="14">
        <v>4901.2394999999997</v>
      </c>
      <c r="K28" s="14">
        <v>5070.9326000000001</v>
      </c>
      <c r="L28" s="14">
        <v>5251.3059000000003</v>
      </c>
      <c r="M28" s="14">
        <v>5601.8217000000004</v>
      </c>
      <c r="N28" s="14">
        <v>5919.2025000000003</v>
      </c>
    </row>
    <row r="29" spans="1:14">
      <c r="B29" t="s">
        <v>37</v>
      </c>
      <c r="C29" s="14">
        <v>49392.085099999997</v>
      </c>
      <c r="D29" s="14">
        <v>49758.047100000003</v>
      </c>
      <c r="E29" s="14">
        <v>50276.463499999998</v>
      </c>
      <c r="F29" s="14">
        <v>50919.0772</v>
      </c>
      <c r="G29" s="14">
        <v>51446.799200000001</v>
      </c>
      <c r="H29" s="14">
        <v>52332.402800000003</v>
      </c>
      <c r="I29" s="14">
        <v>53660.147700000001</v>
      </c>
      <c r="J29" s="14">
        <v>54565.420400000003</v>
      </c>
      <c r="K29" s="14">
        <v>54438.592499999999</v>
      </c>
      <c r="L29" s="14">
        <v>54595.789299999997</v>
      </c>
      <c r="M29" s="14">
        <v>56473.284800000001</v>
      </c>
      <c r="N29" s="14">
        <v>58384.187400000003</v>
      </c>
    </row>
  </sheetData>
  <mergeCells count="1">
    <mergeCell ref="A1:AA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E2564-CE8C-4CF3-B96E-5F38729F3036}">
  <dimension ref="A1:AB29"/>
  <sheetViews>
    <sheetView showGridLines="0" workbookViewId="0">
      <selection sqref="A1:AB1"/>
    </sheetView>
  </sheetViews>
  <sheetFormatPr defaultRowHeight="14.5"/>
  <cols>
    <col min="1" max="1" width="12.453125" bestFit="1" customWidth="1"/>
    <col min="2" max="2" width="9.453125" bestFit="1" customWidth="1"/>
    <col min="3" max="5" width="6.54296875" bestFit="1" customWidth="1"/>
    <col min="6" max="12" width="6.54296875" customWidth="1"/>
    <col min="13" max="21" width="6.54296875" bestFit="1" customWidth="1"/>
  </cols>
  <sheetData>
    <row r="1" spans="1:28" ht="23.5">
      <c r="A1" s="96" t="s">
        <v>267</v>
      </c>
      <c r="B1" s="96"/>
      <c r="C1" s="96"/>
      <c r="D1" s="96"/>
      <c r="E1" s="96"/>
      <c r="F1" s="96"/>
      <c r="G1" s="96"/>
      <c r="H1" s="96"/>
      <c r="I1" s="96"/>
      <c r="J1" s="96"/>
      <c r="K1" s="96"/>
      <c r="L1" s="96"/>
      <c r="M1" s="96"/>
      <c r="N1" s="96"/>
      <c r="O1" s="96"/>
      <c r="P1" s="96"/>
      <c r="Q1" s="96"/>
      <c r="R1" s="96"/>
      <c r="S1" s="96"/>
      <c r="T1" s="96"/>
      <c r="U1" s="96"/>
      <c r="V1" s="96"/>
      <c r="W1" s="96"/>
      <c r="X1" s="96"/>
      <c r="Y1" s="96"/>
      <c r="Z1" s="96"/>
      <c r="AA1" s="96"/>
      <c r="AB1" s="96"/>
    </row>
    <row r="4" spans="1:28">
      <c r="A4" s="10" t="s">
        <v>215</v>
      </c>
    </row>
    <row r="5" spans="1:28">
      <c r="C5">
        <v>2014</v>
      </c>
      <c r="D5">
        <v>2015</v>
      </c>
      <c r="E5">
        <v>2016</v>
      </c>
      <c r="F5">
        <v>2017</v>
      </c>
      <c r="G5">
        <v>2018</v>
      </c>
      <c r="H5">
        <v>2019</v>
      </c>
      <c r="I5">
        <v>2020</v>
      </c>
      <c r="J5">
        <v>2021</v>
      </c>
      <c r="K5">
        <v>2022</v>
      </c>
      <c r="L5">
        <v>2023</v>
      </c>
      <c r="M5">
        <v>2024</v>
      </c>
      <c r="N5">
        <v>2025</v>
      </c>
    </row>
    <row r="6" spans="1:28">
      <c r="A6" t="s">
        <v>203</v>
      </c>
      <c r="B6" t="s">
        <v>65</v>
      </c>
      <c r="C6" s="14">
        <v>1165.1445000000001</v>
      </c>
      <c r="D6" s="14">
        <v>1224.9829</v>
      </c>
      <c r="E6" s="14">
        <v>1318.1253999999999</v>
      </c>
      <c r="F6" s="14">
        <v>1371.4740999999999</v>
      </c>
      <c r="G6" s="14">
        <v>1385.6618000000001</v>
      </c>
      <c r="H6" s="14">
        <v>1304.7055</v>
      </c>
      <c r="I6" s="14">
        <v>1280.4110000000001</v>
      </c>
      <c r="J6" s="14">
        <v>1253.6458</v>
      </c>
      <c r="K6" s="14">
        <v>1329.1780000000001</v>
      </c>
      <c r="L6" s="14">
        <v>1305.7949000000001</v>
      </c>
      <c r="M6" s="14">
        <v>1318.5981999999999</v>
      </c>
      <c r="N6" s="14">
        <v>1322.4156</v>
      </c>
    </row>
    <row r="7" spans="1:28">
      <c r="B7" t="s">
        <v>66</v>
      </c>
      <c r="C7" s="14">
        <v>5002.0927000000001</v>
      </c>
      <c r="D7" s="14">
        <v>5004.1364999999996</v>
      </c>
      <c r="E7" s="14">
        <v>5054.9407000000001</v>
      </c>
      <c r="F7" s="14">
        <v>5177.6733999999997</v>
      </c>
      <c r="G7" s="14">
        <v>5275.6652000000004</v>
      </c>
      <c r="H7" s="14">
        <v>5533.1639999999998</v>
      </c>
      <c r="I7" s="14">
        <v>5849.0928000000004</v>
      </c>
      <c r="J7" s="14">
        <v>5931.5574999999999</v>
      </c>
      <c r="K7" s="14">
        <v>5800.9580999999998</v>
      </c>
      <c r="L7" s="14">
        <v>5648.3837999999996</v>
      </c>
      <c r="M7" s="14">
        <v>5707.8945000000003</v>
      </c>
      <c r="N7" s="14">
        <v>5750.2664000000004</v>
      </c>
    </row>
    <row r="8" spans="1:28">
      <c r="B8" t="s">
        <v>67</v>
      </c>
      <c r="C8" s="14">
        <v>7342.0276000000003</v>
      </c>
      <c r="D8" s="14">
        <v>7510.3014000000003</v>
      </c>
      <c r="E8" s="14">
        <v>7518.3293999999996</v>
      </c>
      <c r="F8" s="14">
        <v>7472.3815999999997</v>
      </c>
      <c r="G8" s="14">
        <v>7351.0075999999999</v>
      </c>
      <c r="H8" s="14">
        <v>7293.9377000000004</v>
      </c>
      <c r="I8" s="14">
        <v>7243.4628000000002</v>
      </c>
      <c r="J8" s="14">
        <v>7270.9431999999997</v>
      </c>
      <c r="K8" s="14">
        <v>7128.4872999999998</v>
      </c>
      <c r="L8" s="14">
        <v>7204.4421000000002</v>
      </c>
      <c r="M8" s="14">
        <v>7526.1698999999999</v>
      </c>
      <c r="N8" s="14">
        <v>7836.5745999999999</v>
      </c>
    </row>
    <row r="9" spans="1:28">
      <c r="B9" t="s">
        <v>68</v>
      </c>
      <c r="C9" s="14">
        <v>6866.6225999999997</v>
      </c>
      <c r="D9" s="14">
        <v>6901.5241999999998</v>
      </c>
      <c r="E9" s="14">
        <v>7085.7034999999996</v>
      </c>
      <c r="F9" s="14">
        <v>7322.9997000000003</v>
      </c>
      <c r="G9" s="14">
        <v>7609.0848999999998</v>
      </c>
      <c r="H9" s="14">
        <v>7995.5821999999998</v>
      </c>
      <c r="I9" s="14">
        <v>8534.4917000000005</v>
      </c>
      <c r="J9" s="14">
        <v>8825.2337000000007</v>
      </c>
      <c r="K9" s="14">
        <v>8917.0601999999999</v>
      </c>
      <c r="L9" s="14">
        <v>8963.7651000000005</v>
      </c>
      <c r="M9" s="14">
        <v>9255.8899000000001</v>
      </c>
      <c r="N9" s="14">
        <v>9607.8516</v>
      </c>
    </row>
    <row r="10" spans="1:28">
      <c r="B10" t="s">
        <v>69</v>
      </c>
      <c r="C10" s="14">
        <v>5932.8263999999999</v>
      </c>
      <c r="D10" s="14">
        <v>5940.8642</v>
      </c>
      <c r="E10" s="14">
        <v>5928.3728000000001</v>
      </c>
      <c r="F10" s="14">
        <v>5896.6421</v>
      </c>
      <c r="G10" s="14">
        <v>5891.0802000000003</v>
      </c>
      <c r="H10" s="14">
        <v>5907.2601000000004</v>
      </c>
      <c r="I10" s="14">
        <v>5854.6866</v>
      </c>
      <c r="J10" s="14">
        <v>5886.8361999999997</v>
      </c>
      <c r="K10" s="14">
        <v>5717.8014000000003</v>
      </c>
      <c r="L10" s="14">
        <v>5639.3101999999999</v>
      </c>
      <c r="M10" s="14">
        <v>5766.8985000000002</v>
      </c>
      <c r="N10" s="14">
        <v>6000.1544000000004</v>
      </c>
    </row>
    <row r="11" spans="1:28">
      <c r="B11" t="s">
        <v>70</v>
      </c>
      <c r="C11" s="14">
        <v>943.29010000000005</v>
      </c>
      <c r="D11" s="14">
        <v>1010.0171</v>
      </c>
      <c r="E11" s="14">
        <v>1062.7351000000001</v>
      </c>
      <c r="F11" s="14">
        <v>1128.4704999999999</v>
      </c>
      <c r="G11" s="14">
        <v>1209.5802000000001</v>
      </c>
      <c r="H11" s="14">
        <v>1316.829</v>
      </c>
      <c r="I11" s="14">
        <v>1362.2253000000001</v>
      </c>
      <c r="J11" s="14">
        <v>1403.221</v>
      </c>
      <c r="K11" s="14">
        <v>1460.7458999999999</v>
      </c>
      <c r="L11" s="14">
        <v>1532.0933</v>
      </c>
      <c r="M11" s="14">
        <v>1707.1566</v>
      </c>
      <c r="N11" s="14">
        <v>1837.1739</v>
      </c>
    </row>
    <row r="12" spans="1:28">
      <c r="B12" t="s">
        <v>71</v>
      </c>
      <c r="C12" s="14">
        <v>24.084800000000001</v>
      </c>
      <c r="D12" s="14">
        <v>31.752800000000001</v>
      </c>
      <c r="E12" s="14">
        <v>35.247700000000002</v>
      </c>
      <c r="F12" s="14">
        <v>35.437899999999999</v>
      </c>
      <c r="G12" s="14">
        <v>35.0289</v>
      </c>
      <c r="H12" s="14">
        <v>39.2121</v>
      </c>
      <c r="I12" s="14">
        <v>46.754600000000003</v>
      </c>
      <c r="J12" s="14">
        <v>53.267099999999999</v>
      </c>
      <c r="K12" s="14">
        <v>53.217599999999997</v>
      </c>
      <c r="L12" s="14">
        <v>71.714699999999993</v>
      </c>
      <c r="M12" s="14">
        <v>85.304199999999994</v>
      </c>
      <c r="N12" s="14">
        <v>104.8182</v>
      </c>
    </row>
    <row r="13" spans="1:28">
      <c r="B13" t="s">
        <v>72</v>
      </c>
      <c r="C13" s="14">
        <v>109.8009</v>
      </c>
      <c r="D13" s="14">
        <v>71.3065</v>
      </c>
      <c r="E13" s="14">
        <v>69.206299999999999</v>
      </c>
      <c r="F13" s="14">
        <v>66.833500000000001</v>
      </c>
      <c r="G13" s="14">
        <v>64.259200000000007</v>
      </c>
      <c r="H13" s="14">
        <v>54.593299999999999</v>
      </c>
      <c r="I13" s="14">
        <v>47.248699999999999</v>
      </c>
      <c r="J13" s="14">
        <v>30.1035</v>
      </c>
      <c r="K13" s="14">
        <v>19.701599999999999</v>
      </c>
      <c r="L13" s="14">
        <v>11.8635</v>
      </c>
      <c r="M13" s="14">
        <v>11.012</v>
      </c>
      <c r="N13" s="14">
        <v>12.921099999999999</v>
      </c>
    </row>
    <row r="14" spans="1:28">
      <c r="A14" t="s">
        <v>204</v>
      </c>
      <c r="B14" t="s">
        <v>65</v>
      </c>
      <c r="C14" s="14">
        <v>556.59029999999996</v>
      </c>
      <c r="D14" s="14">
        <v>596.48779999999999</v>
      </c>
      <c r="E14" s="14">
        <v>604.08910000000003</v>
      </c>
      <c r="F14" s="14">
        <v>636.01610000000005</v>
      </c>
      <c r="G14" s="14">
        <v>605.01149999999996</v>
      </c>
      <c r="H14" s="14">
        <v>601.53779999999995</v>
      </c>
      <c r="I14" s="14">
        <v>597.40060000000005</v>
      </c>
      <c r="J14" s="14">
        <v>559.01930000000004</v>
      </c>
      <c r="K14" s="14">
        <v>672.38990000000001</v>
      </c>
      <c r="L14" s="14">
        <v>666.43679999999995</v>
      </c>
      <c r="M14" s="14">
        <v>642.27530000000002</v>
      </c>
      <c r="N14" s="14">
        <v>631.27869999999996</v>
      </c>
    </row>
    <row r="15" spans="1:28">
      <c r="B15" t="s">
        <v>66</v>
      </c>
      <c r="C15" s="14">
        <v>4015.5054</v>
      </c>
      <c r="D15" s="14">
        <v>3916.7206999999999</v>
      </c>
      <c r="E15" s="14">
        <v>3899.5127000000002</v>
      </c>
      <c r="F15" s="14">
        <v>4002.5536999999999</v>
      </c>
      <c r="G15" s="14">
        <v>4127.6031000000003</v>
      </c>
      <c r="H15" s="14">
        <v>4266.4228000000003</v>
      </c>
      <c r="I15" s="14">
        <v>4435.9763000000003</v>
      </c>
      <c r="J15" s="14">
        <v>4635.6644999999999</v>
      </c>
      <c r="K15" s="14">
        <v>4609.6607000000004</v>
      </c>
      <c r="L15" s="14">
        <v>4600.4008000000003</v>
      </c>
      <c r="M15" s="14">
        <v>4659.1918999999998</v>
      </c>
      <c r="N15" s="14">
        <v>4737.9561000000003</v>
      </c>
    </row>
    <row r="16" spans="1:28">
      <c r="B16" t="s">
        <v>67</v>
      </c>
      <c r="C16" s="14">
        <v>5383.0052999999998</v>
      </c>
      <c r="D16" s="14">
        <v>5456.7209999999995</v>
      </c>
      <c r="E16" s="14">
        <v>5526.9790000000003</v>
      </c>
      <c r="F16" s="14">
        <v>5530.8</v>
      </c>
      <c r="G16" s="14">
        <v>5527.3770000000004</v>
      </c>
      <c r="H16" s="14">
        <v>5545.1630999999998</v>
      </c>
      <c r="I16" s="14">
        <v>5691.4462999999996</v>
      </c>
      <c r="J16" s="14">
        <v>5724.2614000000003</v>
      </c>
      <c r="K16" s="14">
        <v>5720.2939999999999</v>
      </c>
      <c r="L16" s="14">
        <v>5825.8365000000003</v>
      </c>
      <c r="M16" s="14">
        <v>6165.8342000000002</v>
      </c>
      <c r="N16" s="14">
        <v>6448.9944999999998</v>
      </c>
    </row>
    <row r="17" spans="1:14">
      <c r="B17" t="s">
        <v>68</v>
      </c>
      <c r="C17" s="14">
        <v>5587.5030999999999</v>
      </c>
      <c r="D17" s="14">
        <v>5557.7545</v>
      </c>
      <c r="E17" s="14">
        <v>5573.8499000000002</v>
      </c>
      <c r="F17" s="14">
        <v>5617.2372999999998</v>
      </c>
      <c r="G17" s="14">
        <v>5736.3213999999998</v>
      </c>
      <c r="H17" s="14">
        <v>5866.7946000000002</v>
      </c>
      <c r="I17" s="14">
        <v>6153.7705999999998</v>
      </c>
      <c r="J17" s="14">
        <v>6397.6549999999997</v>
      </c>
      <c r="K17" s="14">
        <v>6528.8733000000002</v>
      </c>
      <c r="L17" s="14">
        <v>6687.4431000000004</v>
      </c>
      <c r="M17" s="14">
        <v>6996.4524000000001</v>
      </c>
      <c r="N17" s="14">
        <v>7238.6669000000002</v>
      </c>
    </row>
    <row r="18" spans="1:14">
      <c r="B18" t="s">
        <v>69</v>
      </c>
      <c r="C18" s="14">
        <v>5401.3202000000001</v>
      </c>
      <c r="D18" s="14">
        <v>5420.7237999999998</v>
      </c>
      <c r="E18" s="14">
        <v>5403.5414000000001</v>
      </c>
      <c r="F18" s="14">
        <v>5410.1445999999996</v>
      </c>
      <c r="G18" s="14">
        <v>5358.5835999999999</v>
      </c>
      <c r="H18" s="14">
        <v>5266.6075000000001</v>
      </c>
      <c r="I18" s="14">
        <v>5128.3334000000004</v>
      </c>
      <c r="J18" s="14">
        <v>5089.2946000000002</v>
      </c>
      <c r="K18" s="14">
        <v>4961.1788999999999</v>
      </c>
      <c r="L18" s="14">
        <v>4944.2452999999996</v>
      </c>
      <c r="M18" s="14">
        <v>5022.9553999999998</v>
      </c>
      <c r="N18" s="14">
        <v>5124.1876000000002</v>
      </c>
    </row>
    <row r="19" spans="1:14">
      <c r="B19" t="s">
        <v>70</v>
      </c>
      <c r="C19" s="14">
        <v>947.28589999999997</v>
      </c>
      <c r="D19" s="14">
        <v>1012.107</v>
      </c>
      <c r="E19" s="14">
        <v>1096.8967</v>
      </c>
      <c r="F19" s="14">
        <v>1152.7003</v>
      </c>
      <c r="G19" s="14">
        <v>1189.9625000000001</v>
      </c>
      <c r="H19" s="14">
        <v>1250.5969</v>
      </c>
      <c r="I19" s="14">
        <v>1340.1778999999999</v>
      </c>
      <c r="J19" s="14">
        <v>1412.3547000000001</v>
      </c>
      <c r="K19" s="14">
        <v>1417.3608999999999</v>
      </c>
      <c r="L19" s="14">
        <v>1403.1862000000001</v>
      </c>
      <c r="M19" s="14">
        <v>1508.0081</v>
      </c>
      <c r="N19" s="14">
        <v>1607.8343</v>
      </c>
    </row>
    <row r="20" spans="1:14">
      <c r="B20" t="s">
        <v>71</v>
      </c>
      <c r="C20" s="14">
        <v>18.4268</v>
      </c>
      <c r="D20" s="14">
        <v>24.21</v>
      </c>
      <c r="E20" s="14">
        <v>34.258400000000002</v>
      </c>
      <c r="F20" s="14">
        <v>39.627499999999998</v>
      </c>
      <c r="G20" s="14">
        <v>34.007100000000001</v>
      </c>
      <c r="H20" s="14">
        <v>44.427700000000002</v>
      </c>
      <c r="I20" s="14">
        <v>54.1541</v>
      </c>
      <c r="J20" s="14">
        <v>63.309199999999997</v>
      </c>
      <c r="K20" s="14">
        <v>81.096500000000006</v>
      </c>
      <c r="L20" s="14">
        <v>76.598799999999997</v>
      </c>
      <c r="M20" s="14">
        <v>86.025400000000005</v>
      </c>
      <c r="N20" s="14">
        <v>109.949</v>
      </c>
    </row>
    <row r="21" spans="1:14">
      <c r="B21" t="s">
        <v>72</v>
      </c>
      <c r="C21" s="14">
        <v>96.558499999999995</v>
      </c>
      <c r="D21" s="14">
        <v>78.436700000000002</v>
      </c>
      <c r="E21" s="14">
        <v>64.675399999999996</v>
      </c>
      <c r="F21" s="14">
        <v>58.084899999999998</v>
      </c>
      <c r="G21" s="14">
        <v>46.564999999999998</v>
      </c>
      <c r="H21" s="14">
        <v>45.5685</v>
      </c>
      <c r="I21" s="14">
        <v>40.515000000000001</v>
      </c>
      <c r="J21" s="14">
        <v>29.053699999999999</v>
      </c>
      <c r="K21" s="14">
        <v>20.588200000000001</v>
      </c>
      <c r="L21" s="14">
        <v>14.2742</v>
      </c>
      <c r="M21" s="14">
        <v>13.6183</v>
      </c>
      <c r="N21" s="14">
        <v>13.144500000000001</v>
      </c>
    </row>
    <row r="22" spans="1:14">
      <c r="A22" t="s">
        <v>37</v>
      </c>
      <c r="B22" t="s">
        <v>65</v>
      </c>
      <c r="C22" s="14">
        <v>1721.7348</v>
      </c>
      <c r="D22" s="14">
        <v>1821.4707000000001</v>
      </c>
      <c r="E22" s="14">
        <v>1922.2145</v>
      </c>
      <c r="F22" s="14">
        <v>2007.4902</v>
      </c>
      <c r="G22" s="14">
        <v>1990.6732999999999</v>
      </c>
      <c r="H22" s="14">
        <v>1906.2433000000001</v>
      </c>
      <c r="I22" s="14">
        <v>1877.8116</v>
      </c>
      <c r="J22" s="14">
        <v>1812.6650999999999</v>
      </c>
      <c r="K22" s="14">
        <v>2001.5679</v>
      </c>
      <c r="L22" s="14">
        <v>1972.2317</v>
      </c>
      <c r="M22" s="14">
        <v>1960.8734999999999</v>
      </c>
      <c r="N22" s="14">
        <v>1953.6943000000001</v>
      </c>
    </row>
    <row r="23" spans="1:14">
      <c r="B23" t="s">
        <v>66</v>
      </c>
      <c r="C23" s="14">
        <v>9017.5980999999992</v>
      </c>
      <c r="D23" s="14">
        <v>8920.8572000000004</v>
      </c>
      <c r="E23" s="14">
        <v>8954.4534000000003</v>
      </c>
      <c r="F23" s="14">
        <v>9180.2271000000001</v>
      </c>
      <c r="G23" s="14">
        <v>9403.2682999999997</v>
      </c>
      <c r="H23" s="14">
        <v>9799.5867999999991</v>
      </c>
      <c r="I23" s="14">
        <v>10285.069100000001</v>
      </c>
      <c r="J23" s="14">
        <v>10567.222</v>
      </c>
      <c r="K23" s="14">
        <v>10410.6188</v>
      </c>
      <c r="L23" s="14">
        <v>10248.784600000001</v>
      </c>
      <c r="M23" s="14">
        <v>10367.0864</v>
      </c>
      <c r="N23" s="14">
        <v>10488.2225</v>
      </c>
    </row>
    <row r="24" spans="1:14">
      <c r="B24" t="s">
        <v>67</v>
      </c>
      <c r="C24" s="14">
        <v>12725.0329</v>
      </c>
      <c r="D24" s="14">
        <v>12967.0224</v>
      </c>
      <c r="E24" s="14">
        <v>13045.3084</v>
      </c>
      <c r="F24" s="14">
        <v>13003.1816</v>
      </c>
      <c r="G24" s="14">
        <v>12878.384599999999</v>
      </c>
      <c r="H24" s="14">
        <v>12839.1008</v>
      </c>
      <c r="I24" s="14">
        <v>12934.909100000001</v>
      </c>
      <c r="J24" s="14">
        <v>12995.204599999999</v>
      </c>
      <c r="K24" s="14">
        <v>12848.781300000001</v>
      </c>
      <c r="L24" s="14">
        <v>13030.2786</v>
      </c>
      <c r="M24" s="14">
        <v>13692.0041</v>
      </c>
      <c r="N24" s="14">
        <v>14285.569100000001</v>
      </c>
    </row>
    <row r="25" spans="1:14">
      <c r="B25" t="s">
        <v>68</v>
      </c>
      <c r="C25" s="14">
        <v>12454.125700000001</v>
      </c>
      <c r="D25" s="14">
        <v>12459.278700000001</v>
      </c>
      <c r="E25" s="14">
        <v>12659.553400000001</v>
      </c>
      <c r="F25" s="14">
        <v>12940.236999999999</v>
      </c>
      <c r="G25" s="14">
        <v>13345.406300000001</v>
      </c>
      <c r="H25" s="14">
        <v>13862.3768</v>
      </c>
      <c r="I25" s="14">
        <v>14688.2623</v>
      </c>
      <c r="J25" s="14">
        <v>15222.8887</v>
      </c>
      <c r="K25" s="14">
        <v>15445.933499999999</v>
      </c>
      <c r="L25" s="14">
        <v>15651.208199999999</v>
      </c>
      <c r="M25" s="14">
        <v>16252.3423</v>
      </c>
      <c r="N25" s="14">
        <v>16846.518499999998</v>
      </c>
    </row>
    <row r="26" spans="1:14">
      <c r="B26" t="s">
        <v>69</v>
      </c>
      <c r="C26" s="14">
        <v>11334.1466</v>
      </c>
      <c r="D26" s="14">
        <v>11361.588</v>
      </c>
      <c r="E26" s="14">
        <v>11331.914199999999</v>
      </c>
      <c r="F26" s="14">
        <v>11306.786700000001</v>
      </c>
      <c r="G26" s="14">
        <v>11249.6638</v>
      </c>
      <c r="H26" s="14">
        <v>11173.8676</v>
      </c>
      <c r="I26" s="14">
        <v>10983.02</v>
      </c>
      <c r="J26" s="14">
        <v>10976.130800000001</v>
      </c>
      <c r="K26" s="14">
        <v>10678.980299999999</v>
      </c>
      <c r="L26" s="14">
        <v>10583.5555</v>
      </c>
      <c r="M26" s="14">
        <v>10789.8539</v>
      </c>
      <c r="N26" s="14">
        <v>11124.342000000001</v>
      </c>
    </row>
    <row r="27" spans="1:14">
      <c r="B27" t="s">
        <v>70</v>
      </c>
      <c r="C27" s="14">
        <v>1890.576</v>
      </c>
      <c r="D27" s="14">
        <v>2022.1241</v>
      </c>
      <c r="E27" s="14">
        <v>2159.6318000000001</v>
      </c>
      <c r="F27" s="14">
        <v>2281.1707999999999</v>
      </c>
      <c r="G27" s="14">
        <v>2399.5427</v>
      </c>
      <c r="H27" s="14">
        <v>2567.4259000000002</v>
      </c>
      <c r="I27" s="14">
        <v>2702.4032000000002</v>
      </c>
      <c r="J27" s="14">
        <v>2815.5756999999999</v>
      </c>
      <c r="K27" s="14">
        <v>2878.1068</v>
      </c>
      <c r="L27" s="14">
        <v>2935.2795000000001</v>
      </c>
      <c r="M27" s="14">
        <v>3215.1646999999998</v>
      </c>
      <c r="N27" s="14">
        <v>3445.0082000000002</v>
      </c>
    </row>
    <row r="28" spans="1:14">
      <c r="B28" t="s">
        <v>71</v>
      </c>
      <c r="C28" s="14">
        <v>42.511600000000001</v>
      </c>
      <c r="D28" s="14">
        <v>55.962800000000001</v>
      </c>
      <c r="E28" s="14">
        <v>69.506100000000004</v>
      </c>
      <c r="F28" s="14">
        <v>75.065399999999997</v>
      </c>
      <c r="G28" s="14">
        <v>69.036000000000001</v>
      </c>
      <c r="H28" s="14">
        <v>83.639799999999994</v>
      </c>
      <c r="I28" s="14">
        <v>100.9087</v>
      </c>
      <c r="J28" s="14">
        <v>116.5763</v>
      </c>
      <c r="K28" s="14">
        <v>134.3141</v>
      </c>
      <c r="L28" s="14">
        <v>148.3135</v>
      </c>
      <c r="M28" s="14">
        <v>171.3296</v>
      </c>
      <c r="N28" s="14">
        <v>214.7672</v>
      </c>
    </row>
    <row r="29" spans="1:14">
      <c r="B29" t="s">
        <v>72</v>
      </c>
      <c r="C29" s="14">
        <v>206.35939999999999</v>
      </c>
      <c r="D29" s="14">
        <v>149.7432</v>
      </c>
      <c r="E29" s="14">
        <v>133.8817</v>
      </c>
      <c r="F29" s="14">
        <v>124.91840000000001</v>
      </c>
      <c r="G29" s="14">
        <v>110.8242</v>
      </c>
      <c r="H29" s="14">
        <v>100.1618</v>
      </c>
      <c r="I29" s="14">
        <v>87.7637</v>
      </c>
      <c r="J29" s="14">
        <v>59.157200000000003</v>
      </c>
      <c r="K29" s="14">
        <v>40.2898</v>
      </c>
      <c r="L29" s="14">
        <v>26.137699999999999</v>
      </c>
      <c r="M29" s="14">
        <v>24.630299999999998</v>
      </c>
      <c r="N29" s="14">
        <v>26.0656</v>
      </c>
    </row>
  </sheetData>
  <mergeCells count="1">
    <mergeCell ref="A1:AB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A2294-8399-4D48-98CF-F3E6C7654AD3}">
  <dimension ref="A1:Z14"/>
  <sheetViews>
    <sheetView showGridLines="0" workbookViewId="0">
      <selection sqref="A1:Z1"/>
    </sheetView>
  </sheetViews>
  <sheetFormatPr defaultRowHeight="14.5"/>
  <cols>
    <col min="1" max="1" width="12.453125" bestFit="1" customWidth="1"/>
    <col min="2" max="2" width="26.1796875" bestFit="1" customWidth="1"/>
    <col min="3" max="21" width="6.54296875" bestFit="1" customWidth="1"/>
  </cols>
  <sheetData>
    <row r="1" spans="1:26" ht="23.5">
      <c r="A1" s="96" t="s">
        <v>222</v>
      </c>
      <c r="B1" s="96"/>
      <c r="C1" s="96"/>
      <c r="D1" s="96"/>
      <c r="E1" s="96"/>
      <c r="F1" s="96"/>
      <c r="G1" s="96"/>
      <c r="H1" s="96"/>
      <c r="I1" s="96"/>
      <c r="J1" s="96"/>
      <c r="K1" s="96"/>
      <c r="L1" s="96"/>
      <c r="M1" s="96"/>
      <c r="N1" s="96"/>
      <c r="O1" s="96"/>
      <c r="P1" s="96"/>
      <c r="Q1" s="96"/>
      <c r="R1" s="96"/>
      <c r="S1" s="96"/>
      <c r="T1" s="96"/>
      <c r="U1" s="96"/>
      <c r="V1" s="96"/>
      <c r="W1" s="96"/>
      <c r="X1" s="96"/>
      <c r="Y1" s="96"/>
      <c r="Z1" s="96"/>
    </row>
    <row r="4" spans="1:26">
      <c r="A4" s="10" t="s">
        <v>215</v>
      </c>
    </row>
    <row r="5" spans="1:26">
      <c r="C5">
        <v>2014</v>
      </c>
      <c r="D5">
        <v>2015</v>
      </c>
      <c r="E5">
        <v>2016</v>
      </c>
      <c r="F5">
        <v>2017</v>
      </c>
      <c r="G5">
        <v>2018</v>
      </c>
      <c r="H5">
        <v>2019</v>
      </c>
      <c r="I5">
        <v>2020</v>
      </c>
      <c r="J5">
        <v>2021</v>
      </c>
      <c r="K5">
        <v>2022</v>
      </c>
      <c r="L5">
        <v>2023</v>
      </c>
      <c r="M5">
        <v>2024</v>
      </c>
      <c r="N5">
        <v>2025</v>
      </c>
    </row>
    <row r="6" spans="1:26">
      <c r="A6" t="s">
        <v>203</v>
      </c>
      <c r="B6" t="s">
        <v>73</v>
      </c>
      <c r="C6" s="14">
        <v>22592.873899999999</v>
      </c>
      <c r="D6" s="14">
        <v>22884.096000000001</v>
      </c>
      <c r="E6" s="14">
        <v>23282.395100000002</v>
      </c>
      <c r="F6" s="14">
        <v>23680.85</v>
      </c>
      <c r="G6" s="14">
        <v>24009.435099999999</v>
      </c>
      <c r="H6" s="14">
        <v>24570.4797</v>
      </c>
      <c r="I6" s="14">
        <v>25271.981</v>
      </c>
      <c r="J6" s="14">
        <v>25611.7772</v>
      </c>
      <c r="K6" s="14">
        <v>25404.313999999998</v>
      </c>
      <c r="L6" s="14">
        <v>25492.882300000001</v>
      </c>
      <c r="M6" s="14">
        <v>26366.835599999999</v>
      </c>
      <c r="N6" s="14">
        <v>27337.082399999999</v>
      </c>
    </row>
    <row r="7" spans="1:26">
      <c r="B7" t="s">
        <v>74</v>
      </c>
      <c r="C7" s="14">
        <v>4771.6013000000003</v>
      </c>
      <c r="D7" s="14">
        <v>4776.9921000000004</v>
      </c>
      <c r="E7" s="14">
        <v>4778.7695999999996</v>
      </c>
      <c r="F7" s="14">
        <v>4769.5919999999996</v>
      </c>
      <c r="G7" s="14">
        <v>4786.3203999999996</v>
      </c>
      <c r="H7" s="14">
        <v>4841.2110000000002</v>
      </c>
      <c r="I7" s="14">
        <v>4899.6587</v>
      </c>
      <c r="J7" s="14">
        <v>4978.7565999999997</v>
      </c>
      <c r="K7" s="14">
        <v>4925.9843000000001</v>
      </c>
      <c r="L7" s="14">
        <v>4777.1005999999998</v>
      </c>
      <c r="M7" s="14">
        <v>4878.4790999999996</v>
      </c>
      <c r="N7" s="14">
        <v>4970.3588</v>
      </c>
    </row>
    <row r="8" spans="1:26">
      <c r="B8" t="s">
        <v>161</v>
      </c>
      <c r="C8" s="14">
        <v>21.414400000000001</v>
      </c>
      <c r="D8" s="14">
        <v>33.797499999999999</v>
      </c>
      <c r="E8" s="14">
        <v>11.4962</v>
      </c>
      <c r="F8" s="14">
        <v>21.470800000000001</v>
      </c>
      <c r="G8" s="14">
        <v>25.612500000000001</v>
      </c>
      <c r="H8" s="14">
        <v>33.593200000000003</v>
      </c>
      <c r="I8" s="14">
        <v>46.733800000000002</v>
      </c>
      <c r="J8" s="14">
        <v>64.274199999999993</v>
      </c>
      <c r="K8" s="14">
        <v>96.851799999999997</v>
      </c>
      <c r="L8" s="14">
        <v>107.3847</v>
      </c>
      <c r="M8" s="14">
        <v>133.60910000000001</v>
      </c>
      <c r="N8" s="14">
        <v>164.7346</v>
      </c>
    </row>
    <row r="9" spans="1:26">
      <c r="A9" t="s">
        <v>204</v>
      </c>
      <c r="B9" t="s">
        <v>73</v>
      </c>
      <c r="C9" s="14">
        <v>13131.490900000001</v>
      </c>
      <c r="D9" s="14">
        <v>13216.127200000001</v>
      </c>
      <c r="E9" s="14">
        <v>13398.0137</v>
      </c>
      <c r="F9" s="14">
        <v>13630.653399999999</v>
      </c>
      <c r="G9" s="14">
        <v>13823.5834</v>
      </c>
      <c r="H9" s="14">
        <v>14012.5296</v>
      </c>
      <c r="I9" s="14">
        <v>14507.854499999999</v>
      </c>
      <c r="J9" s="14">
        <v>14833.1047</v>
      </c>
      <c r="K9" s="14">
        <v>14893.0645</v>
      </c>
      <c r="L9" s="14">
        <v>15055.3632</v>
      </c>
      <c r="M9" s="14">
        <v>15670.375099999999</v>
      </c>
      <c r="N9" s="14">
        <v>16278.755800000001</v>
      </c>
    </row>
    <row r="10" spans="1:26">
      <c r="B10" t="s">
        <v>74</v>
      </c>
      <c r="C10" s="14">
        <v>8866.5517</v>
      </c>
      <c r="D10" s="14">
        <v>8824.9855000000007</v>
      </c>
      <c r="E10" s="14">
        <v>8799.5606000000007</v>
      </c>
      <c r="F10" s="14">
        <v>8797.4559000000008</v>
      </c>
      <c r="G10" s="14">
        <v>8778.1643000000004</v>
      </c>
      <c r="H10" s="14">
        <v>8842.2186999999994</v>
      </c>
      <c r="I10" s="14">
        <v>8886.9308000000001</v>
      </c>
      <c r="J10" s="14">
        <v>9015.7351999999992</v>
      </c>
      <c r="K10" s="14">
        <v>9017.3752999999997</v>
      </c>
      <c r="L10" s="14">
        <v>9023.9876000000004</v>
      </c>
      <c r="M10" s="14">
        <v>9245.3294999999998</v>
      </c>
      <c r="N10" s="14">
        <v>9407.7546000000002</v>
      </c>
    </row>
    <row r="11" spans="1:26">
      <c r="B11" t="s">
        <v>161</v>
      </c>
      <c r="C11" s="14">
        <v>8.1529000000000007</v>
      </c>
      <c r="D11" s="14">
        <v>22.0488</v>
      </c>
      <c r="E11" s="14">
        <v>6.2282999999999999</v>
      </c>
      <c r="F11" s="14">
        <v>19.055099999999999</v>
      </c>
      <c r="G11" s="14">
        <v>23.683499999999999</v>
      </c>
      <c r="H11" s="14">
        <v>32.370600000000003</v>
      </c>
      <c r="I11" s="14">
        <v>46.988900000000001</v>
      </c>
      <c r="J11" s="14">
        <v>61.772500000000001</v>
      </c>
      <c r="K11" s="14">
        <v>101.0026</v>
      </c>
      <c r="L11" s="14">
        <v>139.07089999999999</v>
      </c>
      <c r="M11" s="14">
        <v>178.65639999999999</v>
      </c>
      <c r="N11" s="14">
        <v>225.50120000000001</v>
      </c>
    </row>
    <row r="12" spans="1:26">
      <c r="A12" t="s">
        <v>37</v>
      </c>
      <c r="B12" t="s">
        <v>73</v>
      </c>
      <c r="C12" s="14">
        <v>35724.364800000003</v>
      </c>
      <c r="D12" s="14">
        <v>36100.2232</v>
      </c>
      <c r="E12" s="14">
        <v>36680.408799999997</v>
      </c>
      <c r="F12" s="14">
        <v>37311.503400000001</v>
      </c>
      <c r="G12" s="14">
        <v>37833.018499999998</v>
      </c>
      <c r="H12" s="14">
        <v>38583.009299999998</v>
      </c>
      <c r="I12" s="14">
        <v>39779.835500000001</v>
      </c>
      <c r="J12" s="14">
        <v>40444.8819</v>
      </c>
      <c r="K12" s="14">
        <v>40297.378499999999</v>
      </c>
      <c r="L12" s="14">
        <v>40548.245499999997</v>
      </c>
      <c r="M12" s="14">
        <v>42037.210700000003</v>
      </c>
      <c r="N12" s="14">
        <v>43615.838199999998</v>
      </c>
    </row>
    <row r="13" spans="1:26">
      <c r="B13" t="s">
        <v>74</v>
      </c>
      <c r="C13" s="14">
        <v>13638.153</v>
      </c>
      <c r="D13" s="14">
        <v>13601.9776</v>
      </c>
      <c r="E13" s="14">
        <v>13578.3302</v>
      </c>
      <c r="F13" s="14">
        <v>13567.0479</v>
      </c>
      <c r="G13" s="14">
        <v>13564.484700000001</v>
      </c>
      <c r="H13" s="14">
        <v>13683.429700000001</v>
      </c>
      <c r="I13" s="14">
        <v>13786.5895</v>
      </c>
      <c r="J13" s="14">
        <v>13994.4918</v>
      </c>
      <c r="K13" s="14">
        <v>13943.3596</v>
      </c>
      <c r="L13" s="14">
        <v>13801.0882</v>
      </c>
      <c r="M13" s="14">
        <v>14123.8086</v>
      </c>
      <c r="N13" s="14">
        <v>14378.1134</v>
      </c>
    </row>
    <row r="14" spans="1:26">
      <c r="B14" t="s">
        <v>161</v>
      </c>
      <c r="C14" s="14">
        <v>29.567299999999999</v>
      </c>
      <c r="D14" s="14">
        <v>55.846299999999999</v>
      </c>
      <c r="E14" s="14">
        <v>17.724499999999999</v>
      </c>
      <c r="F14" s="14">
        <v>40.5259</v>
      </c>
      <c r="G14" s="14">
        <v>49.295999999999999</v>
      </c>
      <c r="H14" s="14">
        <v>65.963800000000006</v>
      </c>
      <c r="I14" s="14">
        <v>93.722700000000003</v>
      </c>
      <c r="J14" s="14">
        <v>126.0467</v>
      </c>
      <c r="K14" s="14">
        <v>197.8544</v>
      </c>
      <c r="L14" s="14">
        <v>246.4556</v>
      </c>
      <c r="M14" s="14">
        <v>312.26549999999997</v>
      </c>
      <c r="N14" s="14">
        <v>390.23579999999998</v>
      </c>
    </row>
  </sheetData>
  <mergeCells count="1">
    <mergeCell ref="A1:Z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3ADD6-6A54-4498-A5D9-47DD76AA73A3}">
  <dimension ref="A1:AB14"/>
  <sheetViews>
    <sheetView showGridLines="0" workbookViewId="0">
      <pane ySplit="5" topLeftCell="A6" activePane="bottomLeft" state="frozen"/>
      <selection pane="bottomLeft" sqref="A1:AB1"/>
    </sheetView>
  </sheetViews>
  <sheetFormatPr defaultRowHeight="14.5"/>
  <cols>
    <col min="1" max="1" width="12.453125" bestFit="1" customWidth="1"/>
    <col min="2" max="2" width="15.81640625" bestFit="1" customWidth="1"/>
    <col min="3" max="21" width="6.54296875" bestFit="1" customWidth="1"/>
  </cols>
  <sheetData>
    <row r="1" spans="1:28" ht="23.5">
      <c r="A1" s="96" t="s">
        <v>223</v>
      </c>
      <c r="B1" s="96"/>
      <c r="C1" s="96"/>
      <c r="D1" s="96"/>
      <c r="E1" s="96"/>
      <c r="F1" s="96"/>
      <c r="G1" s="96"/>
      <c r="H1" s="96"/>
      <c r="I1" s="96"/>
      <c r="J1" s="96"/>
      <c r="K1" s="96"/>
      <c r="L1" s="96"/>
      <c r="M1" s="96"/>
      <c r="N1" s="96"/>
      <c r="O1" s="96"/>
      <c r="P1" s="96"/>
      <c r="Q1" s="96"/>
      <c r="R1" s="96"/>
      <c r="S1" s="96"/>
      <c r="T1" s="96"/>
      <c r="U1" s="96"/>
      <c r="V1" s="96"/>
      <c r="W1" s="96"/>
      <c r="X1" s="96"/>
      <c r="Y1" s="96"/>
      <c r="Z1" s="96"/>
      <c r="AA1" s="96"/>
      <c r="AB1" s="96"/>
    </row>
    <row r="4" spans="1:28">
      <c r="A4" s="34" t="s">
        <v>215</v>
      </c>
      <c r="B4" s="19"/>
      <c r="C4" s="20"/>
      <c r="D4" s="20"/>
      <c r="E4" s="20"/>
      <c r="F4" s="20"/>
      <c r="G4" s="20"/>
      <c r="H4" s="20"/>
      <c r="I4" s="20"/>
      <c r="J4" s="20"/>
      <c r="K4" s="20"/>
      <c r="L4" s="20"/>
      <c r="M4" s="20"/>
      <c r="N4" s="21"/>
    </row>
    <row r="5" spans="1:28">
      <c r="A5" s="22"/>
      <c r="B5" s="23"/>
      <c r="C5" s="24">
        <v>2014</v>
      </c>
      <c r="D5" s="24">
        <v>2015</v>
      </c>
      <c r="E5" s="24">
        <v>2016</v>
      </c>
      <c r="F5" s="24">
        <v>2017</v>
      </c>
      <c r="G5" s="24">
        <v>2018</v>
      </c>
      <c r="H5" s="24">
        <v>2019</v>
      </c>
      <c r="I5" s="24">
        <v>2020</v>
      </c>
      <c r="J5" s="24">
        <v>2021</v>
      </c>
      <c r="K5" s="24">
        <v>2022</v>
      </c>
      <c r="L5" s="24">
        <v>2023</v>
      </c>
      <c r="M5" s="24">
        <v>2024</v>
      </c>
      <c r="N5" s="25">
        <v>2025</v>
      </c>
    </row>
    <row r="6" spans="1:28">
      <c r="A6" s="26" t="s">
        <v>203</v>
      </c>
      <c r="B6" s="27" t="s">
        <v>38</v>
      </c>
      <c r="C6" s="35">
        <v>27362.516</v>
      </c>
      <c r="D6" s="36">
        <v>27671.194899999999</v>
      </c>
      <c r="E6" s="35">
        <v>28057.483100000001</v>
      </c>
      <c r="F6" s="36">
        <v>28457.5272</v>
      </c>
      <c r="G6" s="35">
        <v>28808.177299999999</v>
      </c>
      <c r="H6" s="36">
        <v>29431.699000000001</v>
      </c>
      <c r="I6" s="35">
        <v>30204.923599999998</v>
      </c>
      <c r="J6" s="36">
        <v>30640.014200000001</v>
      </c>
      <c r="K6" s="35">
        <v>30411.062600000001</v>
      </c>
      <c r="L6" s="36">
        <v>30360.3344</v>
      </c>
      <c r="M6" s="35">
        <v>31362.680899999999</v>
      </c>
      <c r="N6" s="37">
        <v>32457.626400000001</v>
      </c>
    </row>
    <row r="7" spans="1:28">
      <c r="A7" s="32"/>
      <c r="B7" s="27" t="s">
        <v>40</v>
      </c>
      <c r="C7" s="35">
        <v>7.5335999999999999</v>
      </c>
      <c r="D7" s="36">
        <v>7.5877999999999997</v>
      </c>
      <c r="E7" s="35"/>
      <c r="F7" s="36"/>
      <c r="G7" s="35"/>
      <c r="H7" s="36"/>
      <c r="I7" s="35"/>
      <c r="J7" s="36"/>
      <c r="K7" s="35"/>
      <c r="L7" s="36"/>
      <c r="M7" s="35"/>
      <c r="N7" s="37"/>
    </row>
    <row r="8" spans="1:28">
      <c r="A8" s="33"/>
      <c r="B8" s="29" t="s">
        <v>39</v>
      </c>
      <c r="C8" s="38">
        <v>15.84</v>
      </c>
      <c r="D8" s="39">
        <v>16.102900000000002</v>
      </c>
      <c r="E8" s="38">
        <v>15.1778</v>
      </c>
      <c r="F8" s="39">
        <v>14.3856</v>
      </c>
      <c r="G8" s="38">
        <v>13.1907</v>
      </c>
      <c r="H8" s="39">
        <v>13.584899999999999</v>
      </c>
      <c r="I8" s="38">
        <v>13.4499</v>
      </c>
      <c r="J8" s="39">
        <v>14.793799999999999</v>
      </c>
      <c r="K8" s="38">
        <v>16.087499999999999</v>
      </c>
      <c r="L8" s="39">
        <v>17.033200000000001</v>
      </c>
      <c r="M8" s="38">
        <v>16.242899999999999</v>
      </c>
      <c r="N8" s="40">
        <v>14.5494</v>
      </c>
    </row>
    <row r="9" spans="1:28">
      <c r="A9" s="26" t="s">
        <v>204</v>
      </c>
      <c r="B9" s="27" t="s">
        <v>38</v>
      </c>
      <c r="C9" s="35">
        <v>16221.054</v>
      </c>
      <c r="D9" s="36">
        <v>16261.615900000001</v>
      </c>
      <c r="E9" s="35">
        <v>16358.715099999999</v>
      </c>
      <c r="F9" s="36">
        <v>16600.408800000001</v>
      </c>
      <c r="G9" s="35">
        <v>16773.4787</v>
      </c>
      <c r="H9" s="36">
        <v>17002.358700000001</v>
      </c>
      <c r="I9" s="35">
        <v>17494.756099999999</v>
      </c>
      <c r="J9" s="36">
        <v>17948.774700000002</v>
      </c>
      <c r="K9" s="35">
        <v>18063.253799999999</v>
      </c>
      <c r="L9" s="36">
        <v>18275.900399999999</v>
      </c>
      <c r="M9" s="35">
        <v>18982.436900000001</v>
      </c>
      <c r="N9" s="37">
        <v>19684.278699999999</v>
      </c>
    </row>
    <row r="10" spans="1:28">
      <c r="A10" s="28"/>
      <c r="B10" s="29" t="s">
        <v>40</v>
      </c>
      <c r="C10" s="38">
        <v>2828.2433000000001</v>
      </c>
      <c r="D10" s="39">
        <v>2850.4969000000001</v>
      </c>
      <c r="E10" s="38">
        <v>2894.1504</v>
      </c>
      <c r="F10" s="39">
        <v>2894.2579000000001</v>
      </c>
      <c r="G10" s="38">
        <v>2921.2966000000001</v>
      </c>
      <c r="H10" s="39">
        <v>2936.9694</v>
      </c>
      <c r="I10" s="38">
        <v>2967.4403000000002</v>
      </c>
      <c r="J10" s="39">
        <v>2952.8895000000002</v>
      </c>
      <c r="K10" s="38">
        <v>2965.8661000000002</v>
      </c>
      <c r="L10" s="39">
        <v>2963.6261</v>
      </c>
      <c r="M10" s="38">
        <v>3064.3058999999998</v>
      </c>
      <c r="N10" s="40">
        <v>3128.9063000000001</v>
      </c>
    </row>
    <row r="11" spans="1:28">
      <c r="A11" s="30"/>
      <c r="B11" s="27" t="s">
        <v>39</v>
      </c>
      <c r="C11" s="35">
        <v>2956.8982000000001</v>
      </c>
      <c r="D11" s="36">
        <v>2951.0486999999998</v>
      </c>
      <c r="E11" s="35">
        <v>2950.9371000000001</v>
      </c>
      <c r="F11" s="36">
        <v>2952.4976999999999</v>
      </c>
      <c r="G11" s="35">
        <v>2930.6559000000002</v>
      </c>
      <c r="H11" s="36">
        <v>2947.7908000000002</v>
      </c>
      <c r="I11" s="35">
        <v>2979.5778</v>
      </c>
      <c r="J11" s="36">
        <v>3008.9481999999998</v>
      </c>
      <c r="K11" s="35">
        <v>2982.3225000000002</v>
      </c>
      <c r="L11" s="36">
        <v>2978.8951999999999</v>
      </c>
      <c r="M11" s="35">
        <v>3047.6181999999999</v>
      </c>
      <c r="N11" s="37">
        <v>3098.8265999999999</v>
      </c>
    </row>
    <row r="12" spans="1:28">
      <c r="A12" s="31" t="s">
        <v>37</v>
      </c>
      <c r="B12" s="29" t="s">
        <v>38</v>
      </c>
      <c r="C12" s="38">
        <v>43583.57</v>
      </c>
      <c r="D12" s="39">
        <v>43932.810799999999</v>
      </c>
      <c r="E12" s="38">
        <v>44416.198199999999</v>
      </c>
      <c r="F12" s="39">
        <v>45057.936000000002</v>
      </c>
      <c r="G12" s="38">
        <v>45581.656000000003</v>
      </c>
      <c r="H12" s="39">
        <v>46434.057699999998</v>
      </c>
      <c r="I12" s="38">
        <v>47699.679700000001</v>
      </c>
      <c r="J12" s="39">
        <v>48588.7889</v>
      </c>
      <c r="K12" s="38">
        <v>48474.316400000003</v>
      </c>
      <c r="L12" s="39">
        <v>48636.234799999998</v>
      </c>
      <c r="M12" s="38">
        <v>50345.1178</v>
      </c>
      <c r="N12" s="40">
        <v>52141.905100000004</v>
      </c>
    </row>
    <row r="13" spans="1:28">
      <c r="A13" s="32"/>
      <c r="B13" s="27" t="s">
        <v>40</v>
      </c>
      <c r="C13" s="35">
        <v>2835.7768999999998</v>
      </c>
      <c r="D13" s="36">
        <v>2858.0846999999999</v>
      </c>
      <c r="E13" s="35">
        <v>2894.1504</v>
      </c>
      <c r="F13" s="36">
        <v>2894.2579000000001</v>
      </c>
      <c r="G13" s="35">
        <v>2921.2966000000001</v>
      </c>
      <c r="H13" s="36">
        <v>2936.9694</v>
      </c>
      <c r="I13" s="35">
        <v>2967.4403000000002</v>
      </c>
      <c r="J13" s="36">
        <v>2952.8895000000002</v>
      </c>
      <c r="K13" s="35">
        <v>2965.8661000000002</v>
      </c>
      <c r="L13" s="36">
        <v>2963.6261</v>
      </c>
      <c r="M13" s="35">
        <v>3064.3058999999998</v>
      </c>
      <c r="N13" s="37">
        <v>3128.9063000000001</v>
      </c>
    </row>
    <row r="14" spans="1:28">
      <c r="A14" s="33"/>
      <c r="B14" s="29" t="s">
        <v>39</v>
      </c>
      <c r="C14" s="38">
        <v>2972.7381999999998</v>
      </c>
      <c r="D14" s="39">
        <v>2967.1516000000001</v>
      </c>
      <c r="E14" s="38">
        <v>2966.1149</v>
      </c>
      <c r="F14" s="39">
        <v>2966.8833</v>
      </c>
      <c r="G14" s="38">
        <v>2943.8465999999999</v>
      </c>
      <c r="H14" s="39">
        <v>2961.3757000000001</v>
      </c>
      <c r="I14" s="38">
        <v>2993.0277000000001</v>
      </c>
      <c r="J14" s="39">
        <v>3023.7420000000002</v>
      </c>
      <c r="K14" s="38">
        <v>2998.41</v>
      </c>
      <c r="L14" s="39">
        <v>2995.9283999999998</v>
      </c>
      <c r="M14" s="38">
        <v>3063.8611000000001</v>
      </c>
      <c r="N14" s="40">
        <v>3113.3760000000002</v>
      </c>
    </row>
  </sheetData>
  <mergeCells count="1">
    <mergeCell ref="A1:AB1"/>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EBFAC-9A9F-447D-A222-CBA6283C7080}">
  <dimension ref="A1:AH29"/>
  <sheetViews>
    <sheetView showGridLines="0" workbookViewId="0">
      <selection sqref="A1:AH1"/>
    </sheetView>
  </sheetViews>
  <sheetFormatPr defaultRowHeight="14.5"/>
  <cols>
    <col min="1" max="1" width="12.453125" bestFit="1" customWidth="1"/>
    <col min="2" max="2" width="14.54296875" bestFit="1" customWidth="1"/>
    <col min="3" max="7" width="6.54296875" bestFit="1" customWidth="1"/>
    <col min="8" max="13" width="5.54296875" bestFit="1" customWidth="1"/>
    <col min="14" max="21" width="6.54296875" bestFit="1" customWidth="1"/>
  </cols>
  <sheetData>
    <row r="1" spans="1:34" ht="23.5">
      <c r="A1" s="96" t="s">
        <v>227</v>
      </c>
      <c r="B1" s="96"/>
      <c r="C1" s="96"/>
      <c r="D1" s="96"/>
      <c r="E1" s="96"/>
      <c r="F1" s="96"/>
      <c r="G1" s="96"/>
      <c r="H1" s="96"/>
      <c r="I1" s="96"/>
      <c r="J1" s="96"/>
      <c r="K1" s="96"/>
      <c r="L1" s="96"/>
      <c r="M1" s="96"/>
      <c r="N1" s="96"/>
      <c r="O1" s="96"/>
      <c r="P1" s="96"/>
      <c r="Q1" s="96"/>
      <c r="R1" s="96"/>
      <c r="S1" s="96"/>
      <c r="T1" s="96"/>
      <c r="U1" s="96"/>
      <c r="V1" s="96"/>
      <c r="W1" s="96"/>
      <c r="X1" s="96"/>
      <c r="Y1" s="96"/>
      <c r="Z1" s="96"/>
      <c r="AA1" s="96"/>
      <c r="AB1" s="96"/>
      <c r="AC1" s="96"/>
      <c r="AD1" s="96"/>
      <c r="AE1" s="96"/>
      <c r="AF1" s="96"/>
      <c r="AG1" s="96"/>
      <c r="AH1" s="96"/>
    </row>
    <row r="4" spans="1:34">
      <c r="A4" s="10" t="s">
        <v>215</v>
      </c>
    </row>
    <row r="5" spans="1:34">
      <c r="C5">
        <v>2014</v>
      </c>
      <c r="D5">
        <v>2015</v>
      </c>
      <c r="E5">
        <v>2016</v>
      </c>
      <c r="F5">
        <v>2017</v>
      </c>
      <c r="G5">
        <v>2018</v>
      </c>
      <c r="H5">
        <v>2019</v>
      </c>
      <c r="I5">
        <v>2020</v>
      </c>
      <c r="J5">
        <v>2021</v>
      </c>
      <c r="K5">
        <v>2022</v>
      </c>
      <c r="L5">
        <v>2023</v>
      </c>
      <c r="M5">
        <v>2024</v>
      </c>
      <c r="N5">
        <v>2025</v>
      </c>
    </row>
    <row r="6" spans="1:34">
      <c r="A6" t="s">
        <v>203</v>
      </c>
      <c r="B6" t="s">
        <v>194</v>
      </c>
      <c r="C6" s="14"/>
      <c r="D6" s="14"/>
      <c r="E6" s="14"/>
      <c r="F6" s="14"/>
      <c r="G6" s="14"/>
      <c r="H6" s="14">
        <v>6847.6397999999999</v>
      </c>
      <c r="I6" s="14">
        <v>6925.3315000000002</v>
      </c>
      <c r="J6" s="14">
        <v>6999.2047000000002</v>
      </c>
      <c r="K6" s="14">
        <v>6846.6055999999999</v>
      </c>
      <c r="L6" s="14">
        <v>6761.0613999999996</v>
      </c>
      <c r="M6" s="14">
        <v>7023.1445000000003</v>
      </c>
      <c r="N6" s="14">
        <v>7132.2030999999997</v>
      </c>
    </row>
    <row r="7" spans="1:34">
      <c r="B7" t="s">
        <v>193</v>
      </c>
      <c r="C7" s="14"/>
      <c r="D7" s="14"/>
      <c r="E7" s="14"/>
      <c r="F7" s="14"/>
      <c r="G7" s="14"/>
      <c r="H7" s="14">
        <v>4482.4459999999999</v>
      </c>
      <c r="I7" s="14">
        <v>4611.9039000000002</v>
      </c>
      <c r="J7" s="14">
        <v>4691.3119999999999</v>
      </c>
      <c r="K7" s="14">
        <v>4711.4494999999997</v>
      </c>
      <c r="L7" s="14">
        <v>4740.9862999999996</v>
      </c>
      <c r="M7" s="14">
        <v>4996.3555999999999</v>
      </c>
      <c r="N7" s="14">
        <v>5209.3579</v>
      </c>
    </row>
    <row r="8" spans="1:34">
      <c r="B8" t="s">
        <v>192</v>
      </c>
      <c r="C8" s="14"/>
      <c r="D8" s="14"/>
      <c r="E8" s="14"/>
      <c r="F8" s="14"/>
      <c r="G8" s="14"/>
      <c r="H8" s="14">
        <v>3925.3069999999998</v>
      </c>
      <c r="I8" s="14">
        <v>4068.154</v>
      </c>
      <c r="J8" s="14">
        <v>4141.2903999999999</v>
      </c>
      <c r="K8" s="14">
        <v>4121.0200000000004</v>
      </c>
      <c r="L8" s="14">
        <v>4129.8873999999996</v>
      </c>
      <c r="M8" s="14">
        <v>4020.0437999999999</v>
      </c>
      <c r="N8" s="14">
        <v>4337.5439999999999</v>
      </c>
    </row>
    <row r="9" spans="1:34">
      <c r="B9" t="s">
        <v>191</v>
      </c>
      <c r="C9" s="14"/>
      <c r="D9" s="14"/>
      <c r="E9" s="14"/>
      <c r="F9" s="14"/>
      <c r="G9" s="14"/>
      <c r="H9" s="14">
        <v>3571.8805000000002</v>
      </c>
      <c r="I9" s="14">
        <v>3662.1192000000001</v>
      </c>
      <c r="J9" s="14">
        <v>3748.8533000000002</v>
      </c>
      <c r="K9" s="14">
        <v>3780.5704999999998</v>
      </c>
      <c r="L9" s="14">
        <v>3729.7939000000001</v>
      </c>
      <c r="M9" s="14">
        <v>3910.9472000000001</v>
      </c>
      <c r="N9" s="14">
        <v>3988.8301999999999</v>
      </c>
    </row>
    <row r="10" spans="1:34">
      <c r="B10" t="s">
        <v>190</v>
      </c>
      <c r="C10" s="14"/>
      <c r="D10" s="14"/>
      <c r="E10" s="14"/>
      <c r="F10" s="14"/>
      <c r="G10" s="14"/>
      <c r="H10" s="14">
        <v>3727.4054999999998</v>
      </c>
      <c r="I10" s="14">
        <v>3859.0740000000001</v>
      </c>
      <c r="J10" s="14">
        <v>3887.2157999999999</v>
      </c>
      <c r="K10" s="14">
        <v>3862.98</v>
      </c>
      <c r="L10" s="14">
        <v>3868.8643000000002</v>
      </c>
      <c r="M10" s="14">
        <v>4241.0456999999997</v>
      </c>
      <c r="N10" s="14">
        <v>4489.3347000000003</v>
      </c>
    </row>
    <row r="11" spans="1:34">
      <c r="B11" t="s">
        <v>195</v>
      </c>
      <c r="C11" s="14"/>
      <c r="D11" s="14"/>
      <c r="E11" s="14"/>
      <c r="F11" s="14"/>
      <c r="G11" s="14"/>
      <c r="H11" s="14">
        <v>3859.1574999999998</v>
      </c>
      <c r="I11" s="14">
        <v>3998.0309999999999</v>
      </c>
      <c r="J11" s="14">
        <v>4201.1439</v>
      </c>
      <c r="K11" s="14">
        <v>4166.5313999999998</v>
      </c>
      <c r="L11" s="14">
        <v>4198.6040999999996</v>
      </c>
      <c r="M11" s="14">
        <v>4144.8418000000001</v>
      </c>
      <c r="N11" s="14">
        <v>4179.0807999999997</v>
      </c>
    </row>
    <row r="12" spans="1:34">
      <c r="B12" t="s">
        <v>196</v>
      </c>
      <c r="C12" s="14"/>
      <c r="D12" s="14"/>
      <c r="E12" s="14"/>
      <c r="F12" s="14"/>
      <c r="G12" s="14"/>
      <c r="H12" s="14">
        <v>2569.3703999999998</v>
      </c>
      <c r="I12" s="14">
        <v>2659.5061000000001</v>
      </c>
      <c r="J12" s="14">
        <v>2698.8053</v>
      </c>
      <c r="K12" s="14">
        <v>2635.4677999999999</v>
      </c>
      <c r="L12" s="14">
        <v>2652.9131000000002</v>
      </c>
      <c r="M12" s="14">
        <v>2714.2982999999999</v>
      </c>
      <c r="N12" s="14">
        <v>2783.0700999999999</v>
      </c>
    </row>
    <row r="13" spans="1:34">
      <c r="B13" t="s">
        <v>197</v>
      </c>
      <c r="C13" s="14">
        <v>27385.889599999999</v>
      </c>
      <c r="D13" s="14">
        <v>27694.885600000001</v>
      </c>
      <c r="E13" s="14">
        <v>28072.660899999999</v>
      </c>
      <c r="F13" s="14">
        <v>28471.912799999998</v>
      </c>
      <c r="G13" s="14">
        <v>28821.367999999999</v>
      </c>
      <c r="H13" s="14">
        <v>462.0772</v>
      </c>
      <c r="I13" s="14">
        <v>434.25380000000001</v>
      </c>
      <c r="J13" s="14">
        <v>286.98259999999999</v>
      </c>
      <c r="K13" s="14">
        <v>302.52530000000002</v>
      </c>
      <c r="L13" s="14">
        <v>295.25709999999998</v>
      </c>
      <c r="M13" s="14">
        <v>328.24689999999998</v>
      </c>
      <c r="N13" s="14">
        <v>352.755</v>
      </c>
    </row>
    <row r="14" spans="1:34">
      <c r="A14" t="s">
        <v>204</v>
      </c>
      <c r="B14" t="s">
        <v>194</v>
      </c>
      <c r="C14" s="14"/>
      <c r="D14" s="14"/>
      <c r="E14" s="14"/>
      <c r="F14" s="14"/>
      <c r="G14" s="14"/>
      <c r="H14" s="14">
        <v>2698.0817000000002</v>
      </c>
      <c r="I14" s="14">
        <v>2740.5871999999999</v>
      </c>
      <c r="J14" s="14">
        <v>2727.7510000000002</v>
      </c>
      <c r="K14" s="14">
        <v>2704.6927000000001</v>
      </c>
      <c r="L14" s="14">
        <v>2734.3092999999999</v>
      </c>
      <c r="M14" s="14">
        <v>2957.4508000000001</v>
      </c>
      <c r="N14" s="14">
        <v>3004.2728999999999</v>
      </c>
    </row>
    <row r="15" spans="1:34">
      <c r="B15" t="s">
        <v>193</v>
      </c>
      <c r="C15" s="14"/>
      <c r="D15" s="14"/>
      <c r="E15" s="14"/>
      <c r="F15" s="14"/>
      <c r="G15" s="14"/>
      <c r="H15" s="14">
        <v>3496.6462000000001</v>
      </c>
      <c r="I15" s="14">
        <v>3584.9270999999999</v>
      </c>
      <c r="J15" s="14">
        <v>3618.2824999999998</v>
      </c>
      <c r="K15" s="14">
        <v>3620.7970999999998</v>
      </c>
      <c r="L15" s="14">
        <v>3637.4985000000001</v>
      </c>
      <c r="M15" s="14">
        <v>3794.7716</v>
      </c>
      <c r="N15" s="14">
        <v>3988.3775000000001</v>
      </c>
    </row>
    <row r="16" spans="1:34">
      <c r="B16" t="s">
        <v>192</v>
      </c>
      <c r="C16" s="14"/>
      <c r="D16" s="14"/>
      <c r="E16" s="14"/>
      <c r="F16" s="14"/>
      <c r="G16" s="14"/>
      <c r="H16" s="14">
        <v>4408.0774000000001</v>
      </c>
      <c r="I16" s="14">
        <v>4499.1968999999999</v>
      </c>
      <c r="J16" s="14">
        <v>4557.7299000000003</v>
      </c>
      <c r="K16" s="14">
        <v>4535.8293999999996</v>
      </c>
      <c r="L16" s="14">
        <v>4574.4273999999996</v>
      </c>
      <c r="M16" s="14">
        <v>4163.942</v>
      </c>
      <c r="N16" s="14">
        <v>4286.8527000000004</v>
      </c>
    </row>
    <row r="17" spans="1:14">
      <c r="B17" t="s">
        <v>191</v>
      </c>
      <c r="C17" s="14"/>
      <c r="D17" s="14"/>
      <c r="E17" s="14"/>
      <c r="F17" s="14"/>
      <c r="G17" s="14"/>
      <c r="H17" s="14">
        <v>3679.1612</v>
      </c>
      <c r="I17" s="14">
        <v>3781.6966000000002</v>
      </c>
      <c r="J17" s="14">
        <v>3881.8006</v>
      </c>
      <c r="K17" s="14">
        <v>3898.3020999999999</v>
      </c>
      <c r="L17" s="14">
        <v>3939.6266000000001</v>
      </c>
      <c r="M17" s="14">
        <v>4153.8037999999997</v>
      </c>
      <c r="N17" s="14">
        <v>4330.4168</v>
      </c>
    </row>
    <row r="18" spans="1:14">
      <c r="B18" t="s">
        <v>190</v>
      </c>
      <c r="C18" s="14"/>
      <c r="D18" s="14"/>
      <c r="E18" s="14"/>
      <c r="F18" s="14"/>
      <c r="G18" s="14"/>
      <c r="H18" s="14">
        <v>3468.0399000000002</v>
      </c>
      <c r="I18" s="14">
        <v>3572.1095999999998</v>
      </c>
      <c r="J18" s="14">
        <v>3652.9816000000001</v>
      </c>
      <c r="K18" s="14">
        <v>3678.9081000000001</v>
      </c>
      <c r="L18" s="14">
        <v>3670.8746000000001</v>
      </c>
      <c r="M18" s="14">
        <v>4165.8371999999999</v>
      </c>
      <c r="N18" s="14">
        <v>4081.4137999999998</v>
      </c>
    </row>
    <row r="19" spans="1:14">
      <c r="B19" t="s">
        <v>195</v>
      </c>
      <c r="C19" s="14"/>
      <c r="D19" s="14"/>
      <c r="E19" s="14"/>
      <c r="F19" s="14"/>
      <c r="G19" s="14"/>
      <c r="H19" s="14">
        <v>2814.7637</v>
      </c>
      <c r="I19" s="14">
        <v>2860.6965</v>
      </c>
      <c r="J19" s="14">
        <v>2937.9812000000002</v>
      </c>
      <c r="K19" s="14">
        <v>2936.2885000000001</v>
      </c>
      <c r="L19" s="14">
        <v>3000.2219</v>
      </c>
      <c r="M19" s="14">
        <v>3086.4760000000001</v>
      </c>
      <c r="N19" s="14">
        <v>3121.3654000000001</v>
      </c>
    </row>
    <row r="20" spans="1:14">
      <c r="B20" t="s">
        <v>196</v>
      </c>
      <c r="C20" s="14"/>
      <c r="D20" s="14"/>
      <c r="E20" s="14"/>
      <c r="F20" s="14"/>
      <c r="G20" s="14"/>
      <c r="H20" s="14">
        <v>1965.0921000000001</v>
      </c>
      <c r="I20" s="14">
        <v>2029.8665000000001</v>
      </c>
      <c r="J20" s="14">
        <v>2134.2507000000001</v>
      </c>
      <c r="K20" s="14">
        <v>2180.9895000000001</v>
      </c>
      <c r="L20" s="14">
        <v>2203.1016</v>
      </c>
      <c r="M20" s="14">
        <v>2337.7546000000002</v>
      </c>
      <c r="N20" s="14">
        <v>2626.5387999999998</v>
      </c>
    </row>
    <row r="21" spans="1:14">
      <c r="B21" t="s">
        <v>197</v>
      </c>
      <c r="C21" s="14">
        <v>22006.195500000002</v>
      </c>
      <c r="D21" s="14">
        <v>22063.161499999998</v>
      </c>
      <c r="E21" s="14">
        <v>22203.802599999999</v>
      </c>
      <c r="F21" s="14">
        <v>22447.164400000001</v>
      </c>
      <c r="G21" s="14">
        <v>22625.431199999999</v>
      </c>
      <c r="H21" s="14">
        <v>357.25670000000002</v>
      </c>
      <c r="I21" s="14">
        <v>372.69380000000001</v>
      </c>
      <c r="J21" s="14">
        <v>399.8349</v>
      </c>
      <c r="K21" s="14">
        <v>455.63499999999999</v>
      </c>
      <c r="L21" s="14">
        <v>458.36180000000002</v>
      </c>
      <c r="M21" s="14">
        <v>434.32499999999999</v>
      </c>
      <c r="N21" s="14">
        <v>472.77370000000002</v>
      </c>
    </row>
    <row r="22" spans="1:14">
      <c r="A22" t="s">
        <v>37</v>
      </c>
      <c r="B22" t="s">
        <v>194</v>
      </c>
      <c r="C22" s="14"/>
      <c r="D22" s="14"/>
      <c r="E22" s="14"/>
      <c r="F22" s="14"/>
      <c r="G22" s="14"/>
      <c r="H22" s="14">
        <v>9545.7214999999997</v>
      </c>
      <c r="I22" s="14">
        <v>9665.9187000000002</v>
      </c>
      <c r="J22" s="14">
        <v>9726.9557000000004</v>
      </c>
      <c r="K22" s="14">
        <v>9551.2983000000004</v>
      </c>
      <c r="L22" s="14">
        <v>9495.3706999999995</v>
      </c>
      <c r="M22" s="14">
        <v>9980.5953000000009</v>
      </c>
      <c r="N22" s="14">
        <v>10136.476000000001</v>
      </c>
    </row>
    <row r="23" spans="1:14">
      <c r="B23" t="s">
        <v>193</v>
      </c>
      <c r="C23" s="14"/>
      <c r="D23" s="14"/>
      <c r="E23" s="14"/>
      <c r="F23" s="14"/>
      <c r="G23" s="14"/>
      <c r="H23" s="14">
        <v>7979.0922</v>
      </c>
      <c r="I23" s="14">
        <v>8196.8310000000001</v>
      </c>
      <c r="J23" s="14">
        <v>8309.5944999999992</v>
      </c>
      <c r="K23" s="14">
        <v>8332.2466000000004</v>
      </c>
      <c r="L23" s="14">
        <v>8378.4848000000002</v>
      </c>
      <c r="M23" s="14">
        <v>8791.1272000000008</v>
      </c>
      <c r="N23" s="14">
        <v>9197.7353999999996</v>
      </c>
    </row>
    <row r="24" spans="1:14">
      <c r="B24" t="s">
        <v>192</v>
      </c>
      <c r="C24" s="14"/>
      <c r="D24" s="14"/>
      <c r="E24" s="14"/>
      <c r="F24" s="14"/>
      <c r="G24" s="14"/>
      <c r="H24" s="14">
        <v>8333.3844000000008</v>
      </c>
      <c r="I24" s="14">
        <v>8567.3508999999995</v>
      </c>
      <c r="J24" s="14">
        <v>8699.0203000000001</v>
      </c>
      <c r="K24" s="14">
        <v>8656.8493999999992</v>
      </c>
      <c r="L24" s="14">
        <v>8704.3148000000001</v>
      </c>
      <c r="M24" s="14">
        <v>8183.9858000000004</v>
      </c>
      <c r="N24" s="14">
        <v>8624.3966999999993</v>
      </c>
    </row>
    <row r="25" spans="1:14">
      <c r="B25" t="s">
        <v>191</v>
      </c>
      <c r="C25" s="14"/>
      <c r="D25" s="14"/>
      <c r="E25" s="14"/>
      <c r="F25" s="14"/>
      <c r="G25" s="14"/>
      <c r="H25" s="14">
        <v>7251.0416999999998</v>
      </c>
      <c r="I25" s="14">
        <v>7443.8158000000003</v>
      </c>
      <c r="J25" s="14">
        <v>7630.6539000000002</v>
      </c>
      <c r="K25" s="14">
        <v>7678.8725999999997</v>
      </c>
      <c r="L25" s="14">
        <v>7669.4205000000002</v>
      </c>
      <c r="M25" s="14">
        <v>8064.7510000000002</v>
      </c>
      <c r="N25" s="14">
        <v>8319.2469999999994</v>
      </c>
    </row>
    <row r="26" spans="1:14">
      <c r="B26" t="s">
        <v>190</v>
      </c>
      <c r="C26" s="14"/>
      <c r="D26" s="14"/>
      <c r="E26" s="14"/>
      <c r="F26" s="14"/>
      <c r="G26" s="14"/>
      <c r="H26" s="14">
        <v>7195.4453999999996</v>
      </c>
      <c r="I26" s="14">
        <v>7431.1836000000003</v>
      </c>
      <c r="J26" s="14">
        <v>7540.1974</v>
      </c>
      <c r="K26" s="14">
        <v>7541.8881000000001</v>
      </c>
      <c r="L26" s="14">
        <v>7539.7389000000003</v>
      </c>
      <c r="M26" s="14">
        <v>8406.8829000000005</v>
      </c>
      <c r="N26" s="14">
        <v>8570.7484999999997</v>
      </c>
    </row>
    <row r="27" spans="1:14">
      <c r="B27" t="s">
        <v>195</v>
      </c>
      <c r="C27" s="14"/>
      <c r="D27" s="14"/>
      <c r="E27" s="14"/>
      <c r="F27" s="14"/>
      <c r="G27" s="14"/>
      <c r="H27" s="14">
        <v>6673.9211999999998</v>
      </c>
      <c r="I27" s="14">
        <v>6858.7275</v>
      </c>
      <c r="J27" s="14">
        <v>7139.1251000000002</v>
      </c>
      <c r="K27" s="14">
        <v>7102.8199000000004</v>
      </c>
      <c r="L27" s="14">
        <v>7198.826</v>
      </c>
      <c r="M27" s="14">
        <v>7231.3177999999998</v>
      </c>
      <c r="N27" s="14">
        <v>7300.4462000000003</v>
      </c>
    </row>
    <row r="28" spans="1:14">
      <c r="B28" t="s">
        <v>196</v>
      </c>
      <c r="C28" s="14"/>
      <c r="D28" s="14"/>
      <c r="E28" s="14"/>
      <c r="F28" s="14"/>
      <c r="G28" s="14"/>
      <c r="H28" s="14">
        <v>4534.4624999999996</v>
      </c>
      <c r="I28" s="14">
        <v>4689.3725999999997</v>
      </c>
      <c r="J28" s="14">
        <v>4833.0559999999996</v>
      </c>
      <c r="K28" s="14">
        <v>4816.4573</v>
      </c>
      <c r="L28" s="14">
        <v>4856.0146999999997</v>
      </c>
      <c r="M28" s="14">
        <v>5052.0528999999997</v>
      </c>
      <c r="N28" s="14">
        <v>5409.6089000000002</v>
      </c>
    </row>
    <row r="29" spans="1:14">
      <c r="B29" t="s">
        <v>197</v>
      </c>
      <c r="C29" s="14">
        <v>49392.085099999997</v>
      </c>
      <c r="D29" s="14">
        <v>49758.047100000003</v>
      </c>
      <c r="E29" s="14">
        <v>50276.463499999998</v>
      </c>
      <c r="F29" s="14">
        <v>50919.0772</v>
      </c>
      <c r="G29" s="14">
        <v>51446.799200000001</v>
      </c>
      <c r="H29" s="14">
        <v>819.33389999999997</v>
      </c>
      <c r="I29" s="14">
        <v>806.94759999999997</v>
      </c>
      <c r="J29" s="14">
        <v>686.8175</v>
      </c>
      <c r="K29" s="14">
        <v>758.16030000000001</v>
      </c>
      <c r="L29" s="14">
        <v>753.61890000000005</v>
      </c>
      <c r="M29" s="14">
        <v>762.57190000000003</v>
      </c>
      <c r="N29" s="14">
        <v>825.52869999999996</v>
      </c>
    </row>
  </sheetData>
  <mergeCells count="1">
    <mergeCell ref="A1:AH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0BDC1-47F4-4E8D-809E-212C84EB1192}">
  <dimension ref="A1:AH17"/>
  <sheetViews>
    <sheetView showGridLines="0" workbookViewId="0">
      <selection sqref="A1:AH1"/>
    </sheetView>
  </sheetViews>
  <sheetFormatPr defaultRowHeight="14.5"/>
  <cols>
    <col min="1" max="1" width="12.453125" bestFit="1" customWidth="1"/>
    <col min="2" max="2" width="11.1796875" bestFit="1" customWidth="1"/>
    <col min="3" max="21" width="6.54296875" bestFit="1" customWidth="1"/>
  </cols>
  <sheetData>
    <row r="1" spans="1:34" ht="23.5">
      <c r="A1" s="96" t="s">
        <v>265</v>
      </c>
      <c r="B1" s="96"/>
      <c r="C1" s="96"/>
      <c r="D1" s="96"/>
      <c r="E1" s="96"/>
      <c r="F1" s="96"/>
      <c r="G1" s="96"/>
      <c r="H1" s="96"/>
      <c r="I1" s="96"/>
      <c r="J1" s="96"/>
      <c r="K1" s="96"/>
      <c r="L1" s="96"/>
      <c r="M1" s="96"/>
      <c r="N1" s="96"/>
      <c r="O1" s="96"/>
      <c r="P1" s="96"/>
      <c r="Q1" s="96"/>
      <c r="R1" s="96"/>
      <c r="S1" s="96"/>
      <c r="T1" s="96"/>
      <c r="U1" s="96"/>
      <c r="V1" s="96"/>
      <c r="W1" s="96"/>
      <c r="X1" s="96"/>
      <c r="Y1" s="96"/>
      <c r="Z1" s="96"/>
      <c r="AA1" s="96"/>
      <c r="AB1" s="96"/>
      <c r="AC1" s="96"/>
      <c r="AD1" s="96"/>
      <c r="AE1" s="96"/>
      <c r="AF1" s="96"/>
      <c r="AG1" s="96"/>
      <c r="AH1" s="96"/>
    </row>
    <row r="4" spans="1:34">
      <c r="A4" s="10" t="s">
        <v>215</v>
      </c>
    </row>
    <row r="5" spans="1:34">
      <c r="C5">
        <v>2014</v>
      </c>
      <c r="D5">
        <v>2015</v>
      </c>
      <c r="E5">
        <v>2016</v>
      </c>
      <c r="F5">
        <v>2017</v>
      </c>
      <c r="G5">
        <v>2018</v>
      </c>
      <c r="H5">
        <v>2019</v>
      </c>
      <c r="I5">
        <v>2020</v>
      </c>
      <c r="J5">
        <v>2021</v>
      </c>
      <c r="K5">
        <v>2022</v>
      </c>
      <c r="L5">
        <v>2023</v>
      </c>
      <c r="M5">
        <v>2024</v>
      </c>
      <c r="N5">
        <v>2025</v>
      </c>
    </row>
    <row r="6" spans="1:34">
      <c r="A6" t="s">
        <v>203</v>
      </c>
      <c r="B6" t="s">
        <v>236</v>
      </c>
      <c r="C6" s="14"/>
      <c r="D6" s="14"/>
      <c r="E6" s="14"/>
      <c r="F6" s="14"/>
      <c r="G6" s="14"/>
      <c r="H6" s="14">
        <v>11330.085800000001</v>
      </c>
      <c r="I6" s="14">
        <v>11537.2354</v>
      </c>
      <c r="J6" s="14">
        <v>11690.5167</v>
      </c>
      <c r="K6" s="14">
        <v>11558.0551</v>
      </c>
      <c r="L6" s="14">
        <v>11502.047699999999</v>
      </c>
      <c r="M6" s="14">
        <v>12019.500099999999</v>
      </c>
      <c r="N6" s="14">
        <v>12341.561</v>
      </c>
    </row>
    <row r="7" spans="1:34">
      <c r="B7" t="s">
        <v>237</v>
      </c>
      <c r="C7" s="14"/>
      <c r="D7" s="14"/>
      <c r="E7" s="14"/>
      <c r="F7" s="14"/>
      <c r="G7" s="14"/>
      <c r="H7" s="14">
        <v>11224.593000000001</v>
      </c>
      <c r="I7" s="14">
        <v>11589.3472</v>
      </c>
      <c r="J7" s="14">
        <v>11777.3595</v>
      </c>
      <c r="K7" s="14">
        <v>11764.5705</v>
      </c>
      <c r="L7" s="14">
        <v>11728.545599999999</v>
      </c>
      <c r="M7" s="14">
        <v>12172.036700000001</v>
      </c>
      <c r="N7" s="14">
        <v>12815.7089</v>
      </c>
    </row>
    <row r="8" spans="1:34">
      <c r="B8" t="s">
        <v>238</v>
      </c>
      <c r="C8" s="14"/>
      <c r="D8" s="14"/>
      <c r="E8" s="14"/>
      <c r="F8" s="14"/>
      <c r="G8" s="14"/>
      <c r="H8" s="14">
        <v>6428.5279</v>
      </c>
      <c r="I8" s="14">
        <v>6657.5370999999996</v>
      </c>
      <c r="J8" s="14">
        <v>6899.9492</v>
      </c>
      <c r="K8" s="14">
        <v>6801.9992000000002</v>
      </c>
      <c r="L8" s="14">
        <v>6851.5172000000002</v>
      </c>
      <c r="M8" s="14">
        <v>6859.1400999999996</v>
      </c>
      <c r="N8" s="14">
        <v>6962.1508999999996</v>
      </c>
    </row>
    <row r="9" spans="1:34">
      <c r="B9" t="s">
        <v>197</v>
      </c>
      <c r="C9" s="14">
        <v>27385.889599999999</v>
      </c>
      <c r="D9" s="14">
        <v>27694.885600000001</v>
      </c>
      <c r="E9" s="14">
        <v>28072.660899999999</v>
      </c>
      <c r="F9" s="14">
        <v>28471.912799999998</v>
      </c>
      <c r="G9" s="14">
        <v>28821.367999999999</v>
      </c>
      <c r="H9" s="14">
        <v>462.0772</v>
      </c>
      <c r="I9" s="14">
        <v>434.25380000000001</v>
      </c>
      <c r="J9" s="14">
        <v>286.98259999999999</v>
      </c>
      <c r="K9" s="14">
        <v>302.52530000000002</v>
      </c>
      <c r="L9" s="14">
        <v>295.25709999999998</v>
      </c>
      <c r="M9" s="14">
        <v>328.24689999999998</v>
      </c>
      <c r="N9" s="14">
        <v>352.755</v>
      </c>
    </row>
    <row r="10" spans="1:34">
      <c r="A10" t="s">
        <v>204</v>
      </c>
      <c r="B10" t="s">
        <v>236</v>
      </c>
      <c r="C10" s="14"/>
      <c r="D10" s="14"/>
      <c r="E10" s="14"/>
      <c r="F10" s="14"/>
      <c r="G10" s="14"/>
      <c r="H10" s="14">
        <v>6194.7278999999999</v>
      </c>
      <c r="I10" s="14">
        <v>6325.5142999999998</v>
      </c>
      <c r="J10" s="14">
        <v>6346.0334999999995</v>
      </c>
      <c r="K10" s="14">
        <v>6325.4898000000003</v>
      </c>
      <c r="L10" s="14">
        <v>6371.8077999999996</v>
      </c>
      <c r="M10" s="14">
        <v>6752.2223999999997</v>
      </c>
      <c r="N10" s="14">
        <v>6992.6504000000004</v>
      </c>
    </row>
    <row r="11" spans="1:34">
      <c r="B11" t="s">
        <v>237</v>
      </c>
      <c r="C11" s="14"/>
      <c r="D11" s="14"/>
      <c r="E11" s="14"/>
      <c r="F11" s="14"/>
      <c r="G11" s="14"/>
      <c r="H11" s="14">
        <v>11555.2785</v>
      </c>
      <c r="I11" s="14">
        <v>11853.0031</v>
      </c>
      <c r="J11" s="14">
        <v>12092.5121</v>
      </c>
      <c r="K11" s="14">
        <v>12113.0396</v>
      </c>
      <c r="L11" s="14">
        <v>12184.928599999999</v>
      </c>
      <c r="M11" s="14">
        <v>12483.583000000001</v>
      </c>
      <c r="N11" s="14">
        <v>12698.683300000001</v>
      </c>
    </row>
    <row r="12" spans="1:34">
      <c r="B12" t="s">
        <v>238</v>
      </c>
      <c r="C12" s="14"/>
      <c r="D12" s="14"/>
      <c r="E12" s="14"/>
      <c r="F12" s="14"/>
      <c r="G12" s="14"/>
      <c r="H12" s="14">
        <v>4779.8558000000003</v>
      </c>
      <c r="I12" s="14">
        <v>4890.5630000000001</v>
      </c>
      <c r="J12" s="14">
        <v>5072.2318999999998</v>
      </c>
      <c r="K12" s="14">
        <v>5117.2780000000002</v>
      </c>
      <c r="L12" s="14">
        <v>5203.3235000000004</v>
      </c>
      <c r="M12" s="14">
        <v>5424.2305999999999</v>
      </c>
      <c r="N12" s="14">
        <v>5747.9041999999999</v>
      </c>
    </row>
    <row r="13" spans="1:34">
      <c r="B13" t="s">
        <v>197</v>
      </c>
      <c r="C13" s="14">
        <v>22006.195500000002</v>
      </c>
      <c r="D13" s="14">
        <v>22063.161499999998</v>
      </c>
      <c r="E13" s="14">
        <v>22203.802599999999</v>
      </c>
      <c r="F13" s="14">
        <v>22447.164400000001</v>
      </c>
      <c r="G13" s="14">
        <v>22625.431199999999</v>
      </c>
      <c r="H13" s="14">
        <v>357.25670000000002</v>
      </c>
      <c r="I13" s="14">
        <v>372.69380000000001</v>
      </c>
      <c r="J13" s="14">
        <v>399.8349</v>
      </c>
      <c r="K13" s="14">
        <v>455.63499999999999</v>
      </c>
      <c r="L13" s="14">
        <v>458.36180000000002</v>
      </c>
      <c r="M13" s="14">
        <v>434.32499999999999</v>
      </c>
      <c r="N13" s="14">
        <v>472.77370000000002</v>
      </c>
    </row>
    <row r="14" spans="1:34">
      <c r="A14" t="s">
        <v>37</v>
      </c>
      <c r="B14" t="s">
        <v>236</v>
      </c>
      <c r="C14" s="14"/>
      <c r="D14" s="14"/>
      <c r="E14" s="14"/>
      <c r="F14" s="14"/>
      <c r="G14" s="14"/>
      <c r="H14" s="14">
        <v>17524.813699999999</v>
      </c>
      <c r="I14" s="14">
        <v>17862.7497</v>
      </c>
      <c r="J14" s="14">
        <v>18036.550200000001</v>
      </c>
      <c r="K14" s="14">
        <v>17883.544900000001</v>
      </c>
      <c r="L14" s="14">
        <v>17873.855500000001</v>
      </c>
      <c r="M14" s="14">
        <v>18771.7225</v>
      </c>
      <c r="N14" s="14">
        <v>19334.2114</v>
      </c>
    </row>
    <row r="15" spans="1:34">
      <c r="B15" t="s">
        <v>237</v>
      </c>
      <c r="C15" s="14"/>
      <c r="D15" s="14"/>
      <c r="E15" s="14"/>
      <c r="F15" s="14"/>
      <c r="G15" s="14"/>
      <c r="H15" s="14">
        <v>22779.871500000001</v>
      </c>
      <c r="I15" s="14">
        <v>23442.350299999998</v>
      </c>
      <c r="J15" s="14">
        <v>23869.871599999999</v>
      </c>
      <c r="K15" s="14">
        <v>23877.610100000002</v>
      </c>
      <c r="L15" s="14">
        <v>23913.474200000001</v>
      </c>
      <c r="M15" s="14">
        <v>24655.619699999999</v>
      </c>
      <c r="N15" s="14">
        <v>25514.392199999998</v>
      </c>
    </row>
    <row r="16" spans="1:34">
      <c r="B16" t="s">
        <v>238</v>
      </c>
      <c r="C16" s="14"/>
      <c r="D16" s="14"/>
      <c r="E16" s="14"/>
      <c r="F16" s="14"/>
      <c r="G16" s="14"/>
      <c r="H16" s="14">
        <v>11208.3837</v>
      </c>
      <c r="I16" s="14">
        <v>11548.1001</v>
      </c>
      <c r="J16" s="14">
        <v>11972.1811</v>
      </c>
      <c r="K16" s="14">
        <v>11919.2772</v>
      </c>
      <c r="L16" s="14">
        <v>12054.840700000001</v>
      </c>
      <c r="M16" s="14">
        <v>12283.370699999999</v>
      </c>
      <c r="N16" s="14">
        <v>12710.0551</v>
      </c>
    </row>
    <row r="17" spans="2:14">
      <c r="B17" t="s">
        <v>197</v>
      </c>
      <c r="C17" s="14">
        <v>49392.085099999997</v>
      </c>
      <c r="D17" s="14">
        <v>49758.047100000003</v>
      </c>
      <c r="E17" s="14">
        <v>50276.463499999998</v>
      </c>
      <c r="F17" s="14">
        <v>50919.0772</v>
      </c>
      <c r="G17" s="14">
        <v>51446.799200000001</v>
      </c>
      <c r="H17" s="14">
        <v>819.33389999999997</v>
      </c>
      <c r="I17" s="14">
        <v>806.94759999999997</v>
      </c>
      <c r="J17" s="14">
        <v>686.8175</v>
      </c>
      <c r="K17" s="14">
        <v>758.16030000000001</v>
      </c>
      <c r="L17" s="14">
        <v>753.61890000000005</v>
      </c>
      <c r="M17" s="14">
        <v>762.57190000000003</v>
      </c>
      <c r="N17" s="14">
        <v>825.52869999999996</v>
      </c>
    </row>
  </sheetData>
  <mergeCells count="1">
    <mergeCell ref="A1:AH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6F402-A1B6-49A8-AD1E-F774139A9E54}">
  <dimension ref="A1:Z38"/>
  <sheetViews>
    <sheetView showGridLines="0" workbookViewId="0">
      <selection sqref="A1:Z1"/>
    </sheetView>
  </sheetViews>
  <sheetFormatPr defaultRowHeight="14.5"/>
  <cols>
    <col min="1" max="1" width="12.453125" bestFit="1" customWidth="1"/>
    <col min="2" max="2" width="23.81640625" bestFit="1" customWidth="1"/>
    <col min="3" max="11" width="5.54296875" bestFit="1" customWidth="1"/>
    <col min="12" max="21" width="6.54296875" bestFit="1" customWidth="1"/>
  </cols>
  <sheetData>
    <row r="1" spans="1:26" ht="23.5">
      <c r="A1" s="96" t="s">
        <v>225</v>
      </c>
      <c r="B1" s="96"/>
      <c r="C1" s="96"/>
      <c r="D1" s="96"/>
      <c r="E1" s="96"/>
      <c r="F1" s="96"/>
      <c r="G1" s="96"/>
      <c r="H1" s="96"/>
      <c r="I1" s="96"/>
      <c r="J1" s="96"/>
      <c r="K1" s="96"/>
      <c r="L1" s="96"/>
      <c r="M1" s="96"/>
      <c r="N1" s="96"/>
      <c r="O1" s="96"/>
      <c r="P1" s="96"/>
      <c r="Q1" s="96"/>
      <c r="R1" s="96"/>
      <c r="S1" s="96"/>
      <c r="T1" s="96"/>
      <c r="U1" s="96"/>
      <c r="V1" s="96"/>
      <c r="W1" s="96"/>
      <c r="X1" s="96"/>
      <c r="Y1" s="96"/>
      <c r="Z1" s="96"/>
    </row>
    <row r="4" spans="1:26">
      <c r="A4" s="10" t="s">
        <v>215</v>
      </c>
    </row>
    <row r="5" spans="1:26">
      <c r="C5">
        <v>2014</v>
      </c>
      <c r="D5">
        <v>2015</v>
      </c>
      <c r="E5">
        <v>2016</v>
      </c>
      <c r="F5">
        <v>2017</v>
      </c>
      <c r="G5">
        <v>2018</v>
      </c>
      <c r="H5">
        <v>2019</v>
      </c>
      <c r="I5">
        <v>2020</v>
      </c>
      <c r="J5">
        <v>2021</v>
      </c>
      <c r="K5">
        <v>2022</v>
      </c>
      <c r="L5">
        <v>2023</v>
      </c>
      <c r="M5">
        <v>2024</v>
      </c>
      <c r="N5">
        <v>2025</v>
      </c>
    </row>
    <row r="6" spans="1:26">
      <c r="A6" t="s">
        <v>203</v>
      </c>
      <c r="B6" t="s">
        <v>43</v>
      </c>
      <c r="C6" s="14">
        <v>2497.3361</v>
      </c>
      <c r="D6" s="14">
        <v>2774.9627999999998</v>
      </c>
      <c r="E6" s="14">
        <v>2785.3984</v>
      </c>
      <c r="F6" s="14">
        <v>2762.9413</v>
      </c>
      <c r="G6" s="14">
        <v>2839.9919</v>
      </c>
      <c r="H6" s="14">
        <v>2923.8532</v>
      </c>
      <c r="I6" s="14">
        <v>2995.5639000000001</v>
      </c>
      <c r="J6" s="14">
        <v>3076.8670000000002</v>
      </c>
      <c r="K6" s="14">
        <v>3065.5019000000002</v>
      </c>
      <c r="L6" s="14"/>
      <c r="M6" s="14"/>
      <c r="N6" s="14"/>
    </row>
    <row r="7" spans="1:26">
      <c r="B7" t="s">
        <v>44</v>
      </c>
      <c r="C7" s="14">
        <v>2635.3575000000001</v>
      </c>
      <c r="D7" s="14">
        <v>2642.8094999999998</v>
      </c>
      <c r="E7" s="14">
        <v>2669.5637999999999</v>
      </c>
      <c r="F7" s="14">
        <v>2678.3013999999998</v>
      </c>
      <c r="G7" s="14">
        <v>2691.3638000000001</v>
      </c>
      <c r="H7" s="14">
        <v>2722.4843000000001</v>
      </c>
      <c r="I7" s="14">
        <v>2786.8863000000001</v>
      </c>
      <c r="J7" s="14">
        <v>2722.7658999999999</v>
      </c>
      <c r="K7" s="14">
        <v>2714.1205</v>
      </c>
      <c r="L7" s="14"/>
      <c r="M7" s="14"/>
      <c r="N7" s="14"/>
    </row>
    <row r="8" spans="1:26">
      <c r="B8" t="s">
        <v>45</v>
      </c>
      <c r="C8" s="14">
        <v>2634.1439</v>
      </c>
      <c r="D8" s="14">
        <v>2564.0992000000001</v>
      </c>
      <c r="E8" s="14">
        <v>2587.4425000000001</v>
      </c>
      <c r="F8" s="14">
        <v>2646.2601</v>
      </c>
      <c r="G8" s="14">
        <v>2668.3427999999999</v>
      </c>
      <c r="H8" s="14">
        <v>2780.8521999999998</v>
      </c>
      <c r="I8" s="14">
        <v>2881.5468000000001</v>
      </c>
      <c r="J8" s="14">
        <v>3134.6909999999998</v>
      </c>
      <c r="K8" s="14">
        <v>3080.5787999999998</v>
      </c>
      <c r="L8" s="14"/>
      <c r="M8" s="14"/>
      <c r="N8" s="14"/>
    </row>
    <row r="9" spans="1:26">
      <c r="B9" t="s">
        <v>46</v>
      </c>
      <c r="C9" s="14">
        <v>2599.9063999999998</v>
      </c>
      <c r="D9" s="14">
        <v>2640.0848000000001</v>
      </c>
      <c r="E9" s="14">
        <v>2675.4947999999999</v>
      </c>
      <c r="F9" s="14">
        <v>2677.5450999999998</v>
      </c>
      <c r="G9" s="14">
        <v>2699.2887999999998</v>
      </c>
      <c r="H9" s="14">
        <v>2730.7321999999999</v>
      </c>
      <c r="I9" s="14">
        <v>2878.9283</v>
      </c>
      <c r="J9" s="14">
        <v>2825.7586999999999</v>
      </c>
      <c r="K9" s="14">
        <v>2814.6833000000001</v>
      </c>
      <c r="L9" s="14"/>
      <c r="M9" s="14"/>
      <c r="N9" s="14"/>
    </row>
    <row r="10" spans="1:26">
      <c r="B10" t="s">
        <v>47</v>
      </c>
      <c r="C10" s="14">
        <v>2678.8528000000001</v>
      </c>
      <c r="D10" s="14">
        <v>2808.1806999999999</v>
      </c>
      <c r="E10" s="14">
        <v>2838.3775999999998</v>
      </c>
      <c r="F10" s="14">
        <v>2918.6586000000002</v>
      </c>
      <c r="G10" s="14">
        <v>2951.6574000000001</v>
      </c>
      <c r="H10" s="14">
        <v>3026.8496</v>
      </c>
      <c r="I10" s="14">
        <v>3127.5201000000002</v>
      </c>
      <c r="J10" s="14">
        <v>3180.2640999999999</v>
      </c>
      <c r="K10" s="14">
        <v>3141.9065000000001</v>
      </c>
      <c r="L10" s="14"/>
      <c r="M10" s="14"/>
      <c r="N10" s="14"/>
    </row>
    <row r="11" spans="1:26">
      <c r="B11" t="s">
        <v>48</v>
      </c>
      <c r="C11" s="14">
        <v>2449.4061999999999</v>
      </c>
      <c r="D11" s="14">
        <v>2074.4207999999999</v>
      </c>
      <c r="E11" s="14">
        <v>2104.1525999999999</v>
      </c>
      <c r="F11" s="14">
        <v>2144.6498000000001</v>
      </c>
      <c r="G11" s="14">
        <v>2185.3258000000001</v>
      </c>
      <c r="H11" s="14">
        <v>2201.3717999999999</v>
      </c>
      <c r="I11" s="14">
        <v>2243.9630000000002</v>
      </c>
      <c r="J11" s="14">
        <v>2306.1655000000001</v>
      </c>
      <c r="K11" s="14">
        <v>2328.8031000000001</v>
      </c>
      <c r="L11" s="14"/>
      <c r="M11" s="14"/>
      <c r="N11" s="14"/>
    </row>
    <row r="12" spans="1:26">
      <c r="B12" t="s">
        <v>49</v>
      </c>
      <c r="C12" s="14">
        <v>2233.7858000000001</v>
      </c>
      <c r="D12" s="14">
        <v>2611.9389999999999</v>
      </c>
      <c r="E12" s="14">
        <v>2659.6662999999999</v>
      </c>
      <c r="F12" s="14">
        <v>2691.5817999999999</v>
      </c>
      <c r="G12" s="14">
        <v>2740.0261999999998</v>
      </c>
      <c r="H12" s="14">
        <v>2786.8099000000002</v>
      </c>
      <c r="I12" s="14">
        <v>2924.6923999999999</v>
      </c>
      <c r="J12" s="14">
        <v>2976.8528999999999</v>
      </c>
      <c r="K12" s="14">
        <v>2986.4591999999998</v>
      </c>
      <c r="L12" s="14"/>
      <c r="M12" s="14"/>
      <c r="N12" s="14"/>
    </row>
    <row r="13" spans="1:26">
      <c r="B13" t="s">
        <v>50</v>
      </c>
      <c r="C13" s="14">
        <v>2767.1194</v>
      </c>
      <c r="D13" s="14">
        <v>2922.6288</v>
      </c>
      <c r="E13" s="14">
        <v>2934.1725000000001</v>
      </c>
      <c r="F13" s="14">
        <v>2975.5401000000002</v>
      </c>
      <c r="G13" s="14">
        <v>2973.9357</v>
      </c>
      <c r="H13" s="14">
        <v>3092.7864</v>
      </c>
      <c r="I13" s="14">
        <v>3122.8499000000002</v>
      </c>
      <c r="J13" s="14">
        <v>3125.3564000000001</v>
      </c>
      <c r="K13" s="14">
        <v>3058.3706000000002</v>
      </c>
      <c r="L13" s="14"/>
      <c r="M13" s="14"/>
      <c r="N13" s="14"/>
    </row>
    <row r="14" spans="1:26">
      <c r="B14" t="s">
        <v>51</v>
      </c>
      <c r="C14" s="14">
        <v>3106.7051000000001</v>
      </c>
      <c r="D14" s="14">
        <v>2959.7311</v>
      </c>
      <c r="E14" s="14">
        <v>2999.1215999999999</v>
      </c>
      <c r="F14" s="14">
        <v>3064.5776000000001</v>
      </c>
      <c r="G14" s="14">
        <v>3091.9814000000001</v>
      </c>
      <c r="H14" s="14">
        <v>3126.9229999999998</v>
      </c>
      <c r="I14" s="14">
        <v>3142.8501000000001</v>
      </c>
      <c r="J14" s="14">
        <v>3145.6064000000001</v>
      </c>
      <c r="K14" s="14">
        <v>3144.4209000000001</v>
      </c>
      <c r="L14" s="14"/>
      <c r="M14" s="14"/>
      <c r="N14" s="14"/>
    </row>
    <row r="15" spans="1:26">
      <c r="B15" t="s">
        <v>52</v>
      </c>
      <c r="C15" s="14">
        <v>3766.4803999999999</v>
      </c>
      <c r="D15" s="14">
        <v>3696.0288999999998</v>
      </c>
      <c r="E15" s="14">
        <v>3819.2707999999998</v>
      </c>
      <c r="F15" s="14">
        <v>3911.857</v>
      </c>
      <c r="G15" s="14">
        <v>3979.4542000000001</v>
      </c>
      <c r="H15" s="14">
        <v>4052.6212999999998</v>
      </c>
      <c r="I15" s="14">
        <v>4079.7561999999998</v>
      </c>
      <c r="J15" s="14">
        <v>4145.2664999999997</v>
      </c>
      <c r="K15" s="14">
        <v>4085.9425999999999</v>
      </c>
      <c r="L15" s="14"/>
      <c r="M15" s="14"/>
      <c r="N15" s="14"/>
    </row>
    <row r="16" spans="1:26">
      <c r="B16" t="s">
        <v>41</v>
      </c>
      <c r="C16" s="14">
        <v>16.795999999999999</v>
      </c>
      <c r="D16" s="14"/>
      <c r="E16" s="14"/>
      <c r="F16" s="14"/>
      <c r="G16" s="14"/>
      <c r="H16" s="14"/>
      <c r="I16" s="14">
        <v>33.816499999999998</v>
      </c>
      <c r="J16" s="14">
        <v>15.2136</v>
      </c>
      <c r="K16" s="14">
        <v>6.3627000000000002</v>
      </c>
      <c r="L16" s="14">
        <v>30377.367600000001</v>
      </c>
      <c r="M16" s="14">
        <v>31378.9238</v>
      </c>
      <c r="N16" s="14">
        <v>32472.175800000001</v>
      </c>
    </row>
    <row r="17" spans="1:14">
      <c r="A17" t="s">
        <v>204</v>
      </c>
      <c r="B17" t="s">
        <v>43</v>
      </c>
      <c r="C17" s="14">
        <v>1389.1813999999999</v>
      </c>
      <c r="D17" s="14">
        <v>1612.7969000000001</v>
      </c>
      <c r="E17" s="14">
        <v>1656.9589000000001</v>
      </c>
      <c r="F17" s="14">
        <v>1706.4512999999999</v>
      </c>
      <c r="G17" s="14">
        <v>1718.173</v>
      </c>
      <c r="H17" s="14">
        <v>1700.2239</v>
      </c>
      <c r="I17" s="14">
        <v>1733.5618999999999</v>
      </c>
      <c r="J17" s="14">
        <v>1802.4727</v>
      </c>
      <c r="K17" s="14">
        <v>1824.7177999999999</v>
      </c>
      <c r="L17" s="14"/>
      <c r="M17" s="14"/>
      <c r="N17" s="14"/>
    </row>
    <row r="18" spans="1:14">
      <c r="B18" t="s">
        <v>44</v>
      </c>
      <c r="C18" s="14">
        <v>1765.1775</v>
      </c>
      <c r="D18" s="14">
        <v>1546.1917000000001</v>
      </c>
      <c r="E18" s="14">
        <v>1510.0032000000001</v>
      </c>
      <c r="F18" s="14">
        <v>1489.7397000000001</v>
      </c>
      <c r="G18" s="14">
        <v>1466.1320000000001</v>
      </c>
      <c r="H18" s="14">
        <v>1481.2505000000001</v>
      </c>
      <c r="I18" s="14">
        <v>1540.1038000000001</v>
      </c>
      <c r="J18" s="14">
        <v>1604.9341999999999</v>
      </c>
      <c r="K18" s="14">
        <v>1621.9566</v>
      </c>
      <c r="L18" s="14"/>
      <c r="M18" s="14"/>
      <c r="N18" s="14"/>
    </row>
    <row r="19" spans="1:14">
      <c r="B19" t="s">
        <v>45</v>
      </c>
      <c r="C19" s="14">
        <v>1622.4142999999999</v>
      </c>
      <c r="D19" s="14">
        <v>1937.4641999999999</v>
      </c>
      <c r="E19" s="14">
        <v>1918.6837</v>
      </c>
      <c r="F19" s="14">
        <v>1883.6724999999999</v>
      </c>
      <c r="G19" s="14">
        <v>1909.4158</v>
      </c>
      <c r="H19" s="14">
        <v>1968.7380000000001</v>
      </c>
      <c r="I19" s="14">
        <v>2019.7021</v>
      </c>
      <c r="J19" s="14">
        <v>2084.3982000000001</v>
      </c>
      <c r="K19" s="14">
        <v>2113.0781999999999</v>
      </c>
      <c r="L19" s="14"/>
      <c r="M19" s="14"/>
      <c r="N19" s="14"/>
    </row>
    <row r="20" spans="1:14">
      <c r="B20" t="s">
        <v>46</v>
      </c>
      <c r="C20" s="14">
        <v>1947.921</v>
      </c>
      <c r="D20" s="14">
        <v>2145.2662</v>
      </c>
      <c r="E20" s="14">
        <v>2134.3211000000001</v>
      </c>
      <c r="F20" s="14">
        <v>2155.3768</v>
      </c>
      <c r="G20" s="14">
        <v>2153.3886000000002</v>
      </c>
      <c r="H20" s="14">
        <v>2182.7532000000001</v>
      </c>
      <c r="I20" s="14">
        <v>2246.2737999999999</v>
      </c>
      <c r="J20" s="14">
        <v>2285.7292000000002</v>
      </c>
      <c r="K20" s="14">
        <v>2260.8989000000001</v>
      </c>
      <c r="L20" s="14"/>
      <c r="M20" s="14"/>
      <c r="N20" s="14"/>
    </row>
    <row r="21" spans="1:14">
      <c r="B21" t="s">
        <v>47</v>
      </c>
      <c r="C21" s="14">
        <v>2320.5569999999998</v>
      </c>
      <c r="D21" s="14">
        <v>1875.171</v>
      </c>
      <c r="E21" s="14">
        <v>1890.0751</v>
      </c>
      <c r="F21" s="14">
        <v>1884.0081</v>
      </c>
      <c r="G21" s="14">
        <v>1888.9385</v>
      </c>
      <c r="H21" s="14">
        <v>1956.3412000000001</v>
      </c>
      <c r="I21" s="14">
        <v>1976.7874999999999</v>
      </c>
      <c r="J21" s="14">
        <v>2023.3096</v>
      </c>
      <c r="K21" s="14">
        <v>2035.396</v>
      </c>
      <c r="L21" s="14"/>
      <c r="M21" s="14"/>
      <c r="N21" s="14"/>
    </row>
    <row r="22" spans="1:14">
      <c r="B22" t="s">
        <v>48</v>
      </c>
      <c r="C22" s="14">
        <v>2770.3141000000001</v>
      </c>
      <c r="D22" s="14">
        <v>2952.7294000000002</v>
      </c>
      <c r="E22" s="14">
        <v>2940.6896999999999</v>
      </c>
      <c r="F22" s="14">
        <v>2955.4962</v>
      </c>
      <c r="G22" s="14">
        <v>2966.3285999999998</v>
      </c>
      <c r="H22" s="14">
        <v>2919.5016000000001</v>
      </c>
      <c r="I22" s="14">
        <v>3021.2179000000001</v>
      </c>
      <c r="J22" s="14">
        <v>3089.5994000000001</v>
      </c>
      <c r="K22" s="14">
        <v>3099.4994999999999</v>
      </c>
      <c r="L22" s="14"/>
      <c r="M22" s="14"/>
      <c r="N22" s="14"/>
    </row>
    <row r="23" spans="1:14">
      <c r="B23" t="s">
        <v>49</v>
      </c>
      <c r="C23" s="14">
        <v>2266.9059999999999</v>
      </c>
      <c r="D23" s="14">
        <v>2722.0328</v>
      </c>
      <c r="E23" s="14">
        <v>2725.6394</v>
      </c>
      <c r="F23" s="14">
        <v>2759.2826</v>
      </c>
      <c r="G23" s="14">
        <v>2812.1041</v>
      </c>
      <c r="H23" s="14">
        <v>2928.8204999999998</v>
      </c>
      <c r="I23" s="14">
        <v>2974.5897</v>
      </c>
      <c r="J23" s="14">
        <v>3023.0659000000001</v>
      </c>
      <c r="K23" s="14">
        <v>3027.9274</v>
      </c>
      <c r="L23" s="14"/>
      <c r="M23" s="14"/>
      <c r="N23" s="14"/>
    </row>
    <row r="24" spans="1:14">
      <c r="B24" t="s">
        <v>50</v>
      </c>
      <c r="C24" s="14">
        <v>2973.9396999999999</v>
      </c>
      <c r="D24" s="14">
        <v>2706.1309000000001</v>
      </c>
      <c r="E24" s="14">
        <v>2731.078</v>
      </c>
      <c r="F24" s="14">
        <v>2771.1644999999999</v>
      </c>
      <c r="G24" s="14">
        <v>2796.5756000000001</v>
      </c>
      <c r="H24" s="14">
        <v>2749.5864999999999</v>
      </c>
      <c r="I24" s="14">
        <v>2771.1086</v>
      </c>
      <c r="J24" s="14">
        <v>2790.2491</v>
      </c>
      <c r="K24" s="14">
        <v>2757.3141000000001</v>
      </c>
      <c r="L24" s="14"/>
      <c r="M24" s="14"/>
      <c r="N24" s="14"/>
    </row>
    <row r="25" spans="1:14">
      <c r="B25" t="s">
        <v>51</v>
      </c>
      <c r="C25" s="14">
        <v>2487.6803</v>
      </c>
      <c r="D25" s="14">
        <v>2727.7292000000002</v>
      </c>
      <c r="E25" s="14">
        <v>2763.1619999999998</v>
      </c>
      <c r="F25" s="14">
        <v>2809.7865999999999</v>
      </c>
      <c r="G25" s="14">
        <v>2842.5074</v>
      </c>
      <c r="H25" s="14">
        <v>2864.1585</v>
      </c>
      <c r="I25" s="14">
        <v>2951.1093999999998</v>
      </c>
      <c r="J25" s="14">
        <v>2948.5551</v>
      </c>
      <c r="K25" s="14">
        <v>2959.7865999999999</v>
      </c>
      <c r="L25" s="14"/>
      <c r="M25" s="14"/>
      <c r="N25" s="14"/>
    </row>
    <row r="26" spans="1:14">
      <c r="B26" t="s">
        <v>52</v>
      </c>
      <c r="C26" s="14">
        <v>2169.8863000000001</v>
      </c>
      <c r="D26" s="14">
        <v>1550.7361000000001</v>
      </c>
      <c r="E26" s="14">
        <v>1656.2882</v>
      </c>
      <c r="F26" s="14">
        <v>1748.3569</v>
      </c>
      <c r="G26" s="14">
        <v>1787.9644000000001</v>
      </c>
      <c r="H26" s="14">
        <v>1847.2971</v>
      </c>
      <c r="I26" s="14">
        <v>1897.2777000000001</v>
      </c>
      <c r="J26" s="14">
        <v>1928.2476999999999</v>
      </c>
      <c r="K26" s="14">
        <v>1917.6253999999999</v>
      </c>
      <c r="L26" s="14"/>
      <c r="M26" s="14"/>
      <c r="N26" s="14"/>
    </row>
    <row r="27" spans="1:14">
      <c r="B27" t="s">
        <v>41</v>
      </c>
      <c r="C27" s="14">
        <v>292.21789999999999</v>
      </c>
      <c r="D27" s="14">
        <v>286.91309999999999</v>
      </c>
      <c r="E27" s="14">
        <v>276.9033</v>
      </c>
      <c r="F27" s="14">
        <v>283.82920000000001</v>
      </c>
      <c r="G27" s="14">
        <v>283.90320000000003</v>
      </c>
      <c r="H27" s="14">
        <v>288.4479</v>
      </c>
      <c r="I27" s="14">
        <v>310.04180000000002</v>
      </c>
      <c r="J27" s="14">
        <v>330.05130000000003</v>
      </c>
      <c r="K27" s="14">
        <v>393.24189999999999</v>
      </c>
      <c r="L27" s="14">
        <v>24218.421699999999</v>
      </c>
      <c r="M27" s="14">
        <v>25094.361000000001</v>
      </c>
      <c r="N27" s="14">
        <v>25912.011600000002</v>
      </c>
    </row>
    <row r="28" spans="1:14">
      <c r="A28" t="s">
        <v>37</v>
      </c>
      <c r="B28" t="s">
        <v>43</v>
      </c>
      <c r="C28" s="14">
        <v>3886.5174999999999</v>
      </c>
      <c r="D28" s="14">
        <v>4387.7596999999996</v>
      </c>
      <c r="E28" s="14">
        <v>4442.3572999999997</v>
      </c>
      <c r="F28" s="14">
        <v>4469.3926000000001</v>
      </c>
      <c r="G28" s="14">
        <v>4558.1648999999998</v>
      </c>
      <c r="H28" s="14">
        <v>4624.0771000000004</v>
      </c>
      <c r="I28" s="14">
        <v>4729.1257999999998</v>
      </c>
      <c r="J28" s="14">
        <v>4879.3397000000004</v>
      </c>
      <c r="K28" s="14">
        <v>4890.2196999999996</v>
      </c>
      <c r="L28" s="14"/>
      <c r="M28" s="14"/>
      <c r="N28" s="14"/>
    </row>
    <row r="29" spans="1:14">
      <c r="B29" t="s">
        <v>44</v>
      </c>
      <c r="C29" s="14">
        <v>4400.5349999999999</v>
      </c>
      <c r="D29" s="14">
        <v>4189.0011999999997</v>
      </c>
      <c r="E29" s="14">
        <v>4179.567</v>
      </c>
      <c r="F29" s="14">
        <v>4168.0411000000004</v>
      </c>
      <c r="G29" s="14">
        <v>4157.4957999999997</v>
      </c>
      <c r="H29" s="14">
        <v>4203.7348000000002</v>
      </c>
      <c r="I29" s="14">
        <v>4326.9901</v>
      </c>
      <c r="J29" s="14">
        <v>4327.7001</v>
      </c>
      <c r="K29" s="14">
        <v>4336.0771000000004</v>
      </c>
      <c r="L29" s="14"/>
      <c r="M29" s="14"/>
      <c r="N29" s="14"/>
    </row>
    <row r="30" spans="1:14">
      <c r="B30" t="s">
        <v>45</v>
      </c>
      <c r="C30" s="14">
        <v>4256.5582000000004</v>
      </c>
      <c r="D30" s="14">
        <v>4501.5634</v>
      </c>
      <c r="E30" s="14">
        <v>4506.1261999999997</v>
      </c>
      <c r="F30" s="14">
        <v>4529.9326000000001</v>
      </c>
      <c r="G30" s="14">
        <v>4577.7586000000001</v>
      </c>
      <c r="H30" s="14">
        <v>4749.5901999999996</v>
      </c>
      <c r="I30" s="14">
        <v>4901.2488999999996</v>
      </c>
      <c r="J30" s="14">
        <v>5219.0892000000003</v>
      </c>
      <c r="K30" s="14">
        <v>5193.6570000000002</v>
      </c>
      <c r="L30" s="14"/>
      <c r="M30" s="14"/>
      <c r="N30" s="14"/>
    </row>
    <row r="31" spans="1:14">
      <c r="B31" t="s">
        <v>46</v>
      </c>
      <c r="C31" s="14">
        <v>4547.8274000000001</v>
      </c>
      <c r="D31" s="14">
        <v>4785.3509999999997</v>
      </c>
      <c r="E31" s="14">
        <v>4809.8158999999996</v>
      </c>
      <c r="F31" s="14">
        <v>4832.9219000000003</v>
      </c>
      <c r="G31" s="14">
        <v>4852.6773999999996</v>
      </c>
      <c r="H31" s="14">
        <v>4913.4853999999996</v>
      </c>
      <c r="I31" s="14">
        <v>5125.2021000000004</v>
      </c>
      <c r="J31" s="14">
        <v>5111.4879000000001</v>
      </c>
      <c r="K31" s="14">
        <v>5075.5821999999998</v>
      </c>
      <c r="L31" s="14"/>
      <c r="M31" s="14"/>
      <c r="N31" s="14"/>
    </row>
    <row r="32" spans="1:14">
      <c r="B32" t="s">
        <v>47</v>
      </c>
      <c r="C32" s="14">
        <v>4999.4098000000004</v>
      </c>
      <c r="D32" s="14">
        <v>4683.3517000000002</v>
      </c>
      <c r="E32" s="14">
        <v>4728.4526999999998</v>
      </c>
      <c r="F32" s="14">
        <v>4802.6666999999998</v>
      </c>
      <c r="G32" s="14">
        <v>4840.5959000000003</v>
      </c>
      <c r="H32" s="14">
        <v>4983.1908000000003</v>
      </c>
      <c r="I32" s="14">
        <v>5104.3076000000001</v>
      </c>
      <c r="J32" s="14">
        <v>5203.5736999999999</v>
      </c>
      <c r="K32" s="14">
        <v>5177.3024999999998</v>
      </c>
      <c r="L32" s="14"/>
      <c r="M32" s="14"/>
      <c r="N32" s="14"/>
    </row>
    <row r="33" spans="2:14">
      <c r="B33" t="s">
        <v>48</v>
      </c>
      <c r="C33" s="14">
        <v>5219.7203</v>
      </c>
      <c r="D33" s="14">
        <v>5027.1502</v>
      </c>
      <c r="E33" s="14">
        <v>5044.8423000000003</v>
      </c>
      <c r="F33" s="14">
        <v>5100.1459999999997</v>
      </c>
      <c r="G33" s="14">
        <v>5151.6544000000004</v>
      </c>
      <c r="H33" s="14">
        <v>5120.8734000000004</v>
      </c>
      <c r="I33" s="14">
        <v>5265.1809000000003</v>
      </c>
      <c r="J33" s="14">
        <v>5395.7649000000001</v>
      </c>
      <c r="K33" s="14">
        <v>5428.3026</v>
      </c>
      <c r="L33" s="14"/>
      <c r="M33" s="14"/>
      <c r="N33" s="14"/>
    </row>
    <row r="34" spans="2:14">
      <c r="B34" t="s">
        <v>49</v>
      </c>
      <c r="C34" s="14">
        <v>4500.6917999999996</v>
      </c>
      <c r="D34" s="14">
        <v>5333.9718000000003</v>
      </c>
      <c r="E34" s="14">
        <v>5385.3056999999999</v>
      </c>
      <c r="F34" s="14">
        <v>5450.8644000000004</v>
      </c>
      <c r="G34" s="14">
        <v>5552.1302999999998</v>
      </c>
      <c r="H34" s="14">
        <v>5715.6304</v>
      </c>
      <c r="I34" s="14">
        <v>5899.2821000000004</v>
      </c>
      <c r="J34" s="14">
        <v>5999.9188000000004</v>
      </c>
      <c r="K34" s="14">
        <v>6014.3865999999998</v>
      </c>
      <c r="L34" s="14"/>
      <c r="M34" s="14"/>
      <c r="N34" s="14"/>
    </row>
    <row r="35" spans="2:14">
      <c r="B35" t="s">
        <v>50</v>
      </c>
      <c r="C35" s="14">
        <v>5741.0591000000004</v>
      </c>
      <c r="D35" s="14">
        <v>5628.7596999999996</v>
      </c>
      <c r="E35" s="14">
        <v>5665.2505000000001</v>
      </c>
      <c r="F35" s="14">
        <v>5746.7046</v>
      </c>
      <c r="G35" s="14">
        <v>5770.5113000000001</v>
      </c>
      <c r="H35" s="14">
        <v>5842.3729000000003</v>
      </c>
      <c r="I35" s="14">
        <v>5893.9584999999997</v>
      </c>
      <c r="J35" s="14">
        <v>5915.6054999999997</v>
      </c>
      <c r="K35" s="14">
        <v>5815.6846999999998</v>
      </c>
      <c r="L35" s="14"/>
      <c r="M35" s="14"/>
      <c r="N35" s="14"/>
    </row>
    <row r="36" spans="2:14">
      <c r="B36" t="s">
        <v>51</v>
      </c>
      <c r="C36" s="14">
        <v>5594.3854000000001</v>
      </c>
      <c r="D36" s="14">
        <v>5687.4602999999997</v>
      </c>
      <c r="E36" s="14">
        <v>5762.2835999999998</v>
      </c>
      <c r="F36" s="14">
        <v>5874.3642</v>
      </c>
      <c r="G36" s="14">
        <v>5934.4888000000001</v>
      </c>
      <c r="H36" s="14">
        <v>5991.0815000000002</v>
      </c>
      <c r="I36" s="14">
        <v>6093.9594999999999</v>
      </c>
      <c r="J36" s="14">
        <v>6094.1615000000002</v>
      </c>
      <c r="K36" s="14">
        <v>6104.2075000000004</v>
      </c>
      <c r="L36" s="14"/>
      <c r="M36" s="14"/>
      <c r="N36" s="14"/>
    </row>
    <row r="37" spans="2:14">
      <c r="B37" t="s">
        <v>52</v>
      </c>
      <c r="C37" s="14">
        <v>5936.3666999999996</v>
      </c>
      <c r="D37" s="14">
        <v>5246.7650000000003</v>
      </c>
      <c r="E37" s="14">
        <v>5475.5590000000002</v>
      </c>
      <c r="F37" s="14">
        <v>5660.2138999999997</v>
      </c>
      <c r="G37" s="14">
        <v>5767.4186</v>
      </c>
      <c r="H37" s="14">
        <v>5899.9183999999996</v>
      </c>
      <c r="I37" s="14">
        <v>5977.0339000000004</v>
      </c>
      <c r="J37" s="14">
        <v>6073.5141999999996</v>
      </c>
      <c r="K37" s="14">
        <v>6003.5680000000002</v>
      </c>
      <c r="L37" s="14"/>
      <c r="M37" s="14"/>
      <c r="N37" s="14"/>
    </row>
    <row r="38" spans="2:14">
      <c r="B38" t="s">
        <v>41</v>
      </c>
      <c r="C38" s="14">
        <v>309.01389999999998</v>
      </c>
      <c r="D38" s="14">
        <v>286.91309999999999</v>
      </c>
      <c r="E38" s="14">
        <v>276.9033</v>
      </c>
      <c r="F38" s="14">
        <v>283.82920000000001</v>
      </c>
      <c r="G38" s="14">
        <v>283.90320000000003</v>
      </c>
      <c r="H38" s="14">
        <v>288.4479</v>
      </c>
      <c r="I38" s="14">
        <v>343.85829999999999</v>
      </c>
      <c r="J38" s="14">
        <v>345.26490000000001</v>
      </c>
      <c r="K38" s="14">
        <v>399.6046</v>
      </c>
      <c r="L38" s="14">
        <v>54595.789299999997</v>
      </c>
      <c r="M38" s="14">
        <v>56473.284800000001</v>
      </c>
      <c r="N38" s="14">
        <v>58384.187400000003</v>
      </c>
    </row>
  </sheetData>
  <mergeCells count="1">
    <mergeCell ref="A1:Z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31FA4-AA9B-45BC-AABC-DE8CEFB85544}">
  <dimension ref="A1:AA17"/>
  <sheetViews>
    <sheetView showGridLines="0" workbookViewId="0">
      <selection sqref="A1:AA1"/>
    </sheetView>
  </sheetViews>
  <sheetFormatPr defaultRowHeight="14.5"/>
  <cols>
    <col min="1" max="1" width="12.453125" bestFit="1" customWidth="1"/>
    <col min="2" max="2" width="23.81640625" bestFit="1" customWidth="1"/>
    <col min="3" max="21" width="6.54296875" bestFit="1" customWidth="1"/>
  </cols>
  <sheetData>
    <row r="1" spans="1:27" ht="23.5">
      <c r="A1" s="96" t="s">
        <v>226</v>
      </c>
      <c r="B1" s="96"/>
      <c r="C1" s="96"/>
      <c r="D1" s="96"/>
      <c r="E1" s="96"/>
      <c r="F1" s="96"/>
      <c r="G1" s="96"/>
      <c r="H1" s="96"/>
      <c r="I1" s="96"/>
      <c r="J1" s="96"/>
      <c r="K1" s="96"/>
      <c r="L1" s="96"/>
      <c r="M1" s="96"/>
      <c r="N1" s="96"/>
      <c r="O1" s="96"/>
      <c r="P1" s="96"/>
      <c r="Q1" s="96"/>
      <c r="R1" s="96"/>
      <c r="S1" s="96"/>
      <c r="T1" s="96"/>
      <c r="U1" s="96"/>
      <c r="V1" s="96"/>
      <c r="W1" s="96"/>
      <c r="X1" s="96"/>
      <c r="Y1" s="96"/>
      <c r="Z1" s="96"/>
      <c r="AA1" s="96"/>
    </row>
    <row r="4" spans="1:27">
      <c r="A4" s="10" t="s">
        <v>215</v>
      </c>
    </row>
    <row r="5" spans="1:27">
      <c r="C5">
        <v>2014</v>
      </c>
      <c r="D5">
        <v>2015</v>
      </c>
      <c r="E5">
        <v>2016</v>
      </c>
      <c r="F5">
        <v>2017</v>
      </c>
      <c r="G5">
        <v>2018</v>
      </c>
      <c r="H5">
        <v>2019</v>
      </c>
      <c r="I5">
        <v>2020</v>
      </c>
      <c r="J5">
        <v>2021</v>
      </c>
      <c r="K5">
        <v>2022</v>
      </c>
      <c r="L5">
        <v>2023</v>
      </c>
      <c r="M5">
        <v>2024</v>
      </c>
      <c r="N5">
        <v>2025</v>
      </c>
    </row>
    <row r="6" spans="1:27">
      <c r="A6" t="s">
        <v>203</v>
      </c>
      <c r="B6" t="s">
        <v>53</v>
      </c>
      <c r="C6" s="14">
        <v>7766.8374999999996</v>
      </c>
      <c r="D6" s="14">
        <v>7981.8715000000002</v>
      </c>
      <c r="E6" s="14">
        <v>8042.4047</v>
      </c>
      <c r="F6" s="14">
        <v>8087.5028000000002</v>
      </c>
      <c r="G6" s="14">
        <v>8199.6985000000004</v>
      </c>
      <c r="H6" s="14">
        <v>8427.1897000000008</v>
      </c>
      <c r="I6" s="14">
        <v>8663.9969999999994</v>
      </c>
      <c r="J6" s="14">
        <v>8934.3238999999994</v>
      </c>
      <c r="K6" s="14">
        <v>8860.2011999999995</v>
      </c>
      <c r="L6" s="14"/>
      <c r="M6" s="14"/>
      <c r="N6" s="14"/>
    </row>
    <row r="7" spans="1:27">
      <c r="B7" t="s">
        <v>54</v>
      </c>
      <c r="C7" s="14">
        <v>9961.9511999999995</v>
      </c>
      <c r="D7" s="14">
        <v>10134.6253</v>
      </c>
      <c r="E7" s="14">
        <v>10277.6913</v>
      </c>
      <c r="F7" s="14">
        <v>10432.435299999999</v>
      </c>
      <c r="G7" s="14">
        <v>10576.298199999999</v>
      </c>
      <c r="H7" s="14">
        <v>10745.763499999999</v>
      </c>
      <c r="I7" s="14">
        <v>11175.103800000001</v>
      </c>
      <c r="J7" s="14">
        <v>11289.0412</v>
      </c>
      <c r="K7" s="14">
        <v>11271.8521</v>
      </c>
      <c r="L7" s="14"/>
      <c r="M7" s="14"/>
      <c r="N7" s="14"/>
    </row>
    <row r="8" spans="1:27">
      <c r="B8" t="s">
        <v>55</v>
      </c>
      <c r="C8" s="14">
        <v>9640.3048999999992</v>
      </c>
      <c r="D8" s="14">
        <v>9578.3888000000006</v>
      </c>
      <c r="E8" s="14">
        <v>9752.5648999999994</v>
      </c>
      <c r="F8" s="14">
        <v>9951.9747000000007</v>
      </c>
      <c r="G8" s="14">
        <v>10045.371300000001</v>
      </c>
      <c r="H8" s="14">
        <v>10272.3307</v>
      </c>
      <c r="I8" s="14">
        <v>10345.456200000001</v>
      </c>
      <c r="J8" s="14">
        <v>10416.229300000001</v>
      </c>
      <c r="K8" s="14">
        <v>10288.7341</v>
      </c>
      <c r="L8" s="14"/>
      <c r="M8" s="14"/>
      <c r="N8" s="14"/>
    </row>
    <row r="9" spans="1:27">
      <c r="B9" t="s">
        <v>41</v>
      </c>
      <c r="C9" s="14">
        <v>16.795999999999999</v>
      </c>
      <c r="D9" s="14"/>
      <c r="E9" s="14"/>
      <c r="F9" s="14"/>
      <c r="G9" s="14"/>
      <c r="H9" s="14"/>
      <c r="I9" s="14">
        <v>33.816499999999998</v>
      </c>
      <c r="J9" s="14">
        <v>15.2136</v>
      </c>
      <c r="K9" s="14">
        <v>6.3627000000000002</v>
      </c>
      <c r="L9" s="14">
        <v>30377.367600000001</v>
      </c>
      <c r="M9" s="14">
        <v>31378.9238</v>
      </c>
      <c r="N9" s="14">
        <v>32472.175800000001</v>
      </c>
    </row>
    <row r="10" spans="1:27">
      <c r="A10" t="s">
        <v>204</v>
      </c>
      <c r="B10" t="s">
        <v>53</v>
      </c>
      <c r="C10" s="14">
        <v>4776.7731999999996</v>
      </c>
      <c r="D10" s="14">
        <v>5096.4528</v>
      </c>
      <c r="E10" s="14">
        <v>5085.6458000000002</v>
      </c>
      <c r="F10" s="14">
        <v>5079.8635000000004</v>
      </c>
      <c r="G10" s="14">
        <v>5093.7208000000001</v>
      </c>
      <c r="H10" s="14">
        <v>5150.2124000000003</v>
      </c>
      <c r="I10" s="14">
        <v>5293.3678</v>
      </c>
      <c r="J10" s="14">
        <v>5491.8050999999996</v>
      </c>
      <c r="K10" s="14">
        <v>5559.7525999999998</v>
      </c>
      <c r="L10" s="14"/>
      <c r="M10" s="14"/>
      <c r="N10" s="14"/>
    </row>
    <row r="11" spans="1:27">
      <c r="B11" t="s">
        <v>54</v>
      </c>
      <c r="C11" s="14">
        <v>9305.6980999999996</v>
      </c>
      <c r="D11" s="14">
        <v>9695.1993999999995</v>
      </c>
      <c r="E11" s="14">
        <v>9690.7253000000001</v>
      </c>
      <c r="F11" s="14">
        <v>9754.1636999999992</v>
      </c>
      <c r="G11" s="14">
        <v>9820.7597999999998</v>
      </c>
      <c r="H11" s="14">
        <v>9987.4164999999994</v>
      </c>
      <c r="I11" s="14">
        <v>10218.868899999999</v>
      </c>
      <c r="J11" s="14">
        <v>10421.704100000001</v>
      </c>
      <c r="K11" s="14">
        <v>10423.721799999999</v>
      </c>
      <c r="L11" s="14"/>
      <c r="M11" s="14"/>
      <c r="N11" s="14"/>
    </row>
    <row r="12" spans="1:27">
      <c r="B12" t="s">
        <v>55</v>
      </c>
      <c r="C12" s="14">
        <v>7631.5063</v>
      </c>
      <c r="D12" s="14">
        <v>6984.5962</v>
      </c>
      <c r="E12" s="14">
        <v>7150.5281999999997</v>
      </c>
      <c r="F12" s="14">
        <v>7329.308</v>
      </c>
      <c r="G12" s="14">
        <v>7427.0474000000004</v>
      </c>
      <c r="H12" s="14">
        <v>7461.0420999999997</v>
      </c>
      <c r="I12" s="14">
        <v>7619.4957000000004</v>
      </c>
      <c r="J12" s="14">
        <v>7667.0519000000004</v>
      </c>
      <c r="K12" s="14">
        <v>7634.7260999999999</v>
      </c>
      <c r="L12" s="14"/>
      <c r="M12" s="14"/>
      <c r="N12" s="14"/>
    </row>
    <row r="13" spans="1:27">
      <c r="B13" t="s">
        <v>41</v>
      </c>
      <c r="C13" s="14">
        <v>292.21789999999999</v>
      </c>
      <c r="D13" s="14">
        <v>286.91309999999999</v>
      </c>
      <c r="E13" s="14">
        <v>276.9033</v>
      </c>
      <c r="F13" s="14">
        <v>283.82920000000001</v>
      </c>
      <c r="G13" s="14">
        <v>283.90320000000003</v>
      </c>
      <c r="H13" s="14">
        <v>288.4479</v>
      </c>
      <c r="I13" s="14">
        <v>310.04180000000002</v>
      </c>
      <c r="J13" s="14">
        <v>330.05130000000003</v>
      </c>
      <c r="K13" s="14">
        <v>393.24189999999999</v>
      </c>
      <c r="L13" s="14">
        <v>24218.421699999999</v>
      </c>
      <c r="M13" s="14">
        <v>25094.361000000001</v>
      </c>
      <c r="N13" s="14">
        <v>25912.011600000002</v>
      </c>
    </row>
    <row r="14" spans="1:27">
      <c r="A14" t="s">
        <v>37</v>
      </c>
      <c r="B14" t="s">
        <v>53</v>
      </c>
      <c r="C14" s="14">
        <v>12543.610699999999</v>
      </c>
      <c r="D14" s="14">
        <v>13078.3243</v>
      </c>
      <c r="E14" s="14">
        <v>13128.050499999999</v>
      </c>
      <c r="F14" s="14">
        <v>13167.3663</v>
      </c>
      <c r="G14" s="14">
        <v>13293.4193</v>
      </c>
      <c r="H14" s="14">
        <v>13577.402099999999</v>
      </c>
      <c r="I14" s="14">
        <v>13957.364799999999</v>
      </c>
      <c r="J14" s="14">
        <v>14426.129000000001</v>
      </c>
      <c r="K14" s="14">
        <v>14419.953799999999</v>
      </c>
      <c r="L14" s="14"/>
      <c r="M14" s="14"/>
      <c r="N14" s="14"/>
    </row>
    <row r="15" spans="1:27">
      <c r="B15" t="s">
        <v>54</v>
      </c>
      <c r="C15" s="14">
        <v>19267.649300000001</v>
      </c>
      <c r="D15" s="14">
        <v>19829.824700000001</v>
      </c>
      <c r="E15" s="14">
        <v>19968.4166</v>
      </c>
      <c r="F15" s="14">
        <v>20186.598999999998</v>
      </c>
      <c r="G15" s="14">
        <v>20397.058000000001</v>
      </c>
      <c r="H15" s="14">
        <v>20733.18</v>
      </c>
      <c r="I15" s="14">
        <v>21393.972699999998</v>
      </c>
      <c r="J15" s="14">
        <v>21710.745299999999</v>
      </c>
      <c r="K15" s="14">
        <v>21695.573899999999</v>
      </c>
      <c r="L15" s="14"/>
      <c r="M15" s="14"/>
      <c r="N15" s="14"/>
    </row>
    <row r="16" spans="1:27">
      <c r="B16" t="s">
        <v>55</v>
      </c>
      <c r="C16" s="14">
        <v>17271.8112</v>
      </c>
      <c r="D16" s="14">
        <v>16562.985000000001</v>
      </c>
      <c r="E16" s="14">
        <v>16903.093099999998</v>
      </c>
      <c r="F16" s="14">
        <v>17281.2827</v>
      </c>
      <c r="G16" s="14">
        <v>17472.418699999998</v>
      </c>
      <c r="H16" s="14">
        <v>17733.372800000001</v>
      </c>
      <c r="I16" s="14">
        <v>17964.9519</v>
      </c>
      <c r="J16" s="14">
        <v>18083.281200000001</v>
      </c>
      <c r="K16" s="14">
        <v>17923.460200000001</v>
      </c>
      <c r="L16" s="14"/>
      <c r="M16" s="14"/>
      <c r="N16" s="14"/>
    </row>
    <row r="17" spans="2:14">
      <c r="B17" t="s">
        <v>41</v>
      </c>
      <c r="C17" s="14">
        <v>309.01389999999998</v>
      </c>
      <c r="D17" s="14">
        <v>286.91309999999999</v>
      </c>
      <c r="E17" s="14">
        <v>276.9033</v>
      </c>
      <c r="F17" s="14">
        <v>283.82920000000001</v>
      </c>
      <c r="G17" s="14">
        <v>283.90320000000003</v>
      </c>
      <c r="H17" s="14">
        <v>288.4479</v>
      </c>
      <c r="I17" s="14">
        <v>343.85829999999999</v>
      </c>
      <c r="J17" s="14">
        <v>345.26490000000001</v>
      </c>
      <c r="K17" s="14">
        <v>399.6046</v>
      </c>
      <c r="L17" s="14">
        <v>54595.789299999997</v>
      </c>
      <c r="M17" s="14">
        <v>56473.284800000001</v>
      </c>
      <c r="N17" s="14">
        <v>58384.187400000003</v>
      </c>
    </row>
  </sheetData>
  <mergeCells count="1">
    <mergeCell ref="A1:AA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C7EBD-DEC9-49AE-802A-C83C05918144}">
  <dimension ref="A1:AA25"/>
  <sheetViews>
    <sheetView showGridLines="0" workbookViewId="0">
      <selection sqref="A1:AA1"/>
    </sheetView>
  </sheetViews>
  <sheetFormatPr defaultRowHeight="14.5"/>
  <cols>
    <col min="1" max="1" width="12.453125" bestFit="1" customWidth="1"/>
    <col min="2" max="2" width="18.54296875" bestFit="1" customWidth="1"/>
    <col min="3" max="21" width="6.54296875" bestFit="1" customWidth="1"/>
  </cols>
  <sheetData>
    <row r="1" spans="1:27" ht="23.5">
      <c r="A1" s="96" t="s">
        <v>224</v>
      </c>
      <c r="B1" s="96"/>
      <c r="C1" s="96"/>
      <c r="D1" s="96"/>
      <c r="E1" s="96"/>
      <c r="F1" s="96"/>
      <c r="G1" s="96"/>
      <c r="H1" s="96"/>
      <c r="I1" s="96"/>
      <c r="J1" s="96"/>
      <c r="K1" s="96"/>
      <c r="L1" s="96"/>
      <c r="M1" s="96"/>
      <c r="N1" s="96"/>
      <c r="O1" s="96"/>
      <c r="P1" s="96"/>
      <c r="Q1" s="96"/>
      <c r="R1" s="96"/>
      <c r="S1" s="96"/>
      <c r="T1" s="96"/>
      <c r="U1" s="96"/>
      <c r="V1" s="96"/>
      <c r="W1" s="96"/>
      <c r="X1" s="96"/>
      <c r="Y1" s="96"/>
      <c r="Z1" s="96"/>
      <c r="AA1" s="96"/>
    </row>
    <row r="4" spans="1:27">
      <c r="A4" s="10" t="s">
        <v>215</v>
      </c>
    </row>
    <row r="5" spans="1:27">
      <c r="C5">
        <v>2014</v>
      </c>
      <c r="D5">
        <v>2015</v>
      </c>
      <c r="E5">
        <v>2016</v>
      </c>
      <c r="F5">
        <v>2017</v>
      </c>
      <c r="G5">
        <v>2018</v>
      </c>
      <c r="H5">
        <v>2019</v>
      </c>
      <c r="I5">
        <v>2020</v>
      </c>
      <c r="J5">
        <v>2021</v>
      </c>
      <c r="K5">
        <v>2022</v>
      </c>
      <c r="L5">
        <v>2023</v>
      </c>
      <c r="M5">
        <v>2024</v>
      </c>
      <c r="N5">
        <v>2025</v>
      </c>
    </row>
    <row r="6" spans="1:27">
      <c r="A6" t="s">
        <v>203</v>
      </c>
      <c r="B6" t="s">
        <v>270</v>
      </c>
      <c r="C6" s="14">
        <v>14103.2965</v>
      </c>
      <c r="D6" s="14">
        <v>14264.3657</v>
      </c>
      <c r="E6" s="14">
        <v>14482.1513</v>
      </c>
      <c r="F6" s="14">
        <v>14637.8145</v>
      </c>
      <c r="G6" s="14">
        <v>14805.945299999999</v>
      </c>
      <c r="H6" s="14">
        <v>15200.312</v>
      </c>
      <c r="I6" s="14">
        <v>15521.5123</v>
      </c>
      <c r="J6" s="14">
        <v>15748.8428</v>
      </c>
      <c r="K6" s="14">
        <v>15504.431500000001</v>
      </c>
      <c r="L6" s="14">
        <v>15486.6651</v>
      </c>
      <c r="M6" s="14">
        <v>16019.7788</v>
      </c>
      <c r="N6" s="14">
        <v>16563.054599999999</v>
      </c>
    </row>
    <row r="7" spans="1:27">
      <c r="B7" t="s">
        <v>269</v>
      </c>
      <c r="C7" s="14">
        <v>4082.8899000000001</v>
      </c>
      <c r="D7" s="14">
        <v>4115.7138999999997</v>
      </c>
      <c r="E7" s="14">
        <v>4181.2496000000001</v>
      </c>
      <c r="F7" s="14">
        <v>4259.7999</v>
      </c>
      <c r="G7" s="14">
        <v>4310.0595999999996</v>
      </c>
      <c r="H7" s="14">
        <v>4391.8086999999996</v>
      </c>
      <c r="I7" s="14">
        <v>4491.6755999999996</v>
      </c>
      <c r="J7" s="14">
        <v>4573.9652999999998</v>
      </c>
      <c r="K7" s="14">
        <v>4540.5147999999999</v>
      </c>
      <c r="L7" s="14">
        <v>4574.6207999999997</v>
      </c>
      <c r="M7" s="14">
        <v>4723.1140999999998</v>
      </c>
      <c r="N7" s="14">
        <v>4859.9805999999999</v>
      </c>
    </row>
    <row r="8" spans="1:27">
      <c r="B8" t="s">
        <v>271</v>
      </c>
      <c r="C8" s="14">
        <v>2436.3235</v>
      </c>
      <c r="D8" s="14">
        <v>2493.152</v>
      </c>
      <c r="E8" s="14">
        <v>2519.17</v>
      </c>
      <c r="F8" s="14">
        <v>2563.0174999999999</v>
      </c>
      <c r="G8" s="14">
        <v>2595.5263</v>
      </c>
      <c r="H8" s="14">
        <v>2631.5203000000001</v>
      </c>
      <c r="I8" s="14">
        <v>2759.0592999999999</v>
      </c>
      <c r="J8" s="14">
        <v>2807.9670000000001</v>
      </c>
      <c r="K8" s="14">
        <v>2851.1302999999998</v>
      </c>
      <c r="L8" s="14">
        <v>2865.0389</v>
      </c>
      <c r="M8" s="14">
        <v>2976.4194000000002</v>
      </c>
      <c r="N8" s="14">
        <v>3098.8121999999998</v>
      </c>
    </row>
    <row r="9" spans="1:27">
      <c r="B9" t="s">
        <v>274</v>
      </c>
      <c r="C9" s="14">
        <v>3047.4529000000002</v>
      </c>
      <c r="D9" s="14">
        <v>3091.5140000000001</v>
      </c>
      <c r="E9" s="14">
        <v>3113.3145</v>
      </c>
      <c r="F9" s="14">
        <v>3178.2703000000001</v>
      </c>
      <c r="G9" s="14">
        <v>3221.6297</v>
      </c>
      <c r="H9" s="14">
        <v>3277.6588999999999</v>
      </c>
      <c r="I9" s="14">
        <v>3375.6707000000001</v>
      </c>
      <c r="J9" s="14">
        <v>3407.9897000000001</v>
      </c>
      <c r="K9" s="14">
        <v>3395.6012000000001</v>
      </c>
      <c r="L9" s="14">
        <v>3336.3681000000001</v>
      </c>
      <c r="M9" s="14">
        <v>3458.415</v>
      </c>
      <c r="N9" s="14">
        <v>3613.2244999999998</v>
      </c>
    </row>
    <row r="10" spans="1:27">
      <c r="B10" t="s">
        <v>273</v>
      </c>
      <c r="C10" s="14">
        <v>1138.4076</v>
      </c>
      <c r="D10" s="14">
        <v>1151.7154</v>
      </c>
      <c r="E10" s="14">
        <v>1152.2182</v>
      </c>
      <c r="F10" s="14">
        <v>1176.4170999999999</v>
      </c>
      <c r="G10" s="14">
        <v>1184.6135999999999</v>
      </c>
      <c r="H10" s="14">
        <v>1206.4772</v>
      </c>
      <c r="I10" s="14">
        <v>1236.9380000000001</v>
      </c>
      <c r="J10" s="14">
        <v>1243.1301000000001</v>
      </c>
      <c r="K10" s="14">
        <v>1229.0999999999999</v>
      </c>
      <c r="L10" s="14">
        <v>1232.2705000000001</v>
      </c>
      <c r="M10" s="14">
        <v>1272.4375</v>
      </c>
      <c r="N10" s="14">
        <v>1317.0101999999999</v>
      </c>
    </row>
    <row r="11" spans="1:27">
      <c r="B11" t="s">
        <v>272</v>
      </c>
      <c r="C11" s="14">
        <v>2577.5192000000002</v>
      </c>
      <c r="D11" s="14">
        <v>2578.4245999999998</v>
      </c>
      <c r="E11" s="14">
        <v>2624.5572999999999</v>
      </c>
      <c r="F11" s="14">
        <v>2656.5934999999999</v>
      </c>
      <c r="G11" s="14">
        <v>2703.5934999999999</v>
      </c>
      <c r="H11" s="14">
        <v>2737.5068000000001</v>
      </c>
      <c r="I11" s="14">
        <v>2833.5176000000001</v>
      </c>
      <c r="J11" s="14">
        <v>2872.9131000000002</v>
      </c>
      <c r="K11" s="14">
        <v>2906.3723</v>
      </c>
      <c r="L11" s="14">
        <v>2882.4041999999999</v>
      </c>
      <c r="M11" s="14">
        <v>2928.759</v>
      </c>
      <c r="N11" s="14">
        <v>3020.0936999999999</v>
      </c>
    </row>
    <row r="12" spans="1:27">
      <c r="A12" t="s">
        <v>204</v>
      </c>
      <c r="B12" t="s">
        <v>270</v>
      </c>
      <c r="C12" s="14">
        <v>10722.2045</v>
      </c>
      <c r="D12" s="14">
        <v>10808.2395</v>
      </c>
      <c r="E12" s="14">
        <v>10947.4349</v>
      </c>
      <c r="F12" s="14">
        <v>11092.7232</v>
      </c>
      <c r="G12" s="14">
        <v>11207.4864</v>
      </c>
      <c r="H12" s="14">
        <v>11338.382299999999</v>
      </c>
      <c r="I12" s="14">
        <v>11567.5872</v>
      </c>
      <c r="J12" s="14">
        <v>11711.810600000001</v>
      </c>
      <c r="K12" s="14">
        <v>11704.193499999999</v>
      </c>
      <c r="L12" s="14">
        <v>11825.062400000001</v>
      </c>
      <c r="M12" s="14">
        <v>12314.6086</v>
      </c>
      <c r="N12" s="14">
        <v>12746.8909</v>
      </c>
    </row>
    <row r="13" spans="1:27">
      <c r="B13" t="s">
        <v>269</v>
      </c>
      <c r="C13" s="14">
        <v>4119.4228000000003</v>
      </c>
      <c r="D13" s="14">
        <v>4101.3977000000004</v>
      </c>
      <c r="E13" s="14">
        <v>4142.0074000000004</v>
      </c>
      <c r="F13" s="14">
        <v>4152.9385000000002</v>
      </c>
      <c r="G13" s="14">
        <v>4180.5960999999998</v>
      </c>
      <c r="H13" s="14">
        <v>4248.6081000000004</v>
      </c>
      <c r="I13" s="14">
        <v>4374.1704</v>
      </c>
      <c r="J13" s="14">
        <v>4458.7723999999998</v>
      </c>
      <c r="K13" s="14">
        <v>4468.6836000000003</v>
      </c>
      <c r="L13" s="14">
        <v>4502.0964000000004</v>
      </c>
      <c r="M13" s="14">
        <v>4603.6967999999997</v>
      </c>
      <c r="N13" s="14">
        <v>4719.1121999999996</v>
      </c>
    </row>
    <row r="14" spans="1:27">
      <c r="B14" t="s">
        <v>271</v>
      </c>
      <c r="C14" s="14">
        <v>2390.8215</v>
      </c>
      <c r="D14" s="14">
        <v>2370.8894</v>
      </c>
      <c r="E14" s="14">
        <v>2379.0581000000002</v>
      </c>
      <c r="F14" s="14">
        <v>2452.3667999999998</v>
      </c>
      <c r="G14" s="14">
        <v>2500.7514999999999</v>
      </c>
      <c r="H14" s="14">
        <v>2542.7856999999999</v>
      </c>
      <c r="I14" s="14">
        <v>2622.0835999999999</v>
      </c>
      <c r="J14" s="14">
        <v>2715.0754999999999</v>
      </c>
      <c r="K14" s="14">
        <v>2729.6594</v>
      </c>
      <c r="L14" s="14">
        <v>2761.6988999999999</v>
      </c>
      <c r="M14" s="14">
        <v>2874.1855</v>
      </c>
      <c r="N14" s="14">
        <v>2952.5005999999998</v>
      </c>
    </row>
    <row r="15" spans="1:27">
      <c r="B15" t="s">
        <v>274</v>
      </c>
      <c r="C15" s="14">
        <v>3386.9967000000001</v>
      </c>
      <c r="D15" s="14">
        <v>3398.8047999999999</v>
      </c>
      <c r="E15" s="14">
        <v>3371.4614999999999</v>
      </c>
      <c r="F15" s="14">
        <v>3385.9733999999999</v>
      </c>
      <c r="G15" s="14">
        <v>3400.9506000000001</v>
      </c>
      <c r="H15" s="14">
        <v>3414.9504000000002</v>
      </c>
      <c r="I15" s="14">
        <v>3489.4989999999998</v>
      </c>
      <c r="J15" s="14">
        <v>3564.0286999999998</v>
      </c>
      <c r="K15" s="14">
        <v>3553.8204999999998</v>
      </c>
      <c r="L15" s="14">
        <v>3516.6695</v>
      </c>
      <c r="M15" s="14">
        <v>3620.21</v>
      </c>
      <c r="N15" s="14">
        <v>3691.3474999999999</v>
      </c>
    </row>
    <row r="16" spans="1:27">
      <c r="B16" t="s">
        <v>273</v>
      </c>
      <c r="C16" s="14">
        <v>663.08100000000002</v>
      </c>
      <c r="D16" s="14">
        <v>665.58180000000004</v>
      </c>
      <c r="E16" s="14">
        <v>640.76880000000006</v>
      </c>
      <c r="F16" s="14">
        <v>630.1046</v>
      </c>
      <c r="G16" s="14">
        <v>601.4239</v>
      </c>
      <c r="H16" s="14">
        <v>595.41430000000003</v>
      </c>
      <c r="I16" s="14">
        <v>609.14520000000005</v>
      </c>
      <c r="J16" s="14">
        <v>622.8691</v>
      </c>
      <c r="K16" s="14">
        <v>640.04300000000001</v>
      </c>
      <c r="L16" s="14">
        <v>643.64859999999999</v>
      </c>
      <c r="M16" s="14">
        <v>658.48850000000004</v>
      </c>
      <c r="N16" s="14">
        <v>697.03359999999998</v>
      </c>
    </row>
    <row r="17" spans="1:14">
      <c r="B17" t="s">
        <v>272</v>
      </c>
      <c r="C17" s="14">
        <v>431.4511</v>
      </c>
      <c r="D17" s="14">
        <v>431.37639999999999</v>
      </c>
      <c r="E17" s="14">
        <v>446.16860000000003</v>
      </c>
      <c r="F17" s="14">
        <v>449.2287</v>
      </c>
      <c r="G17" s="14">
        <v>450.31950000000001</v>
      </c>
      <c r="H17" s="14">
        <v>458.53019999999998</v>
      </c>
      <c r="I17" s="14">
        <v>474.19110000000001</v>
      </c>
      <c r="J17" s="14">
        <v>508.00479999999999</v>
      </c>
      <c r="K17" s="14">
        <v>527.98159999999996</v>
      </c>
      <c r="L17" s="14">
        <v>553.89009999999996</v>
      </c>
      <c r="M17" s="14">
        <v>592.2183</v>
      </c>
      <c r="N17" s="14">
        <v>632.35310000000004</v>
      </c>
    </row>
    <row r="18" spans="1:14">
      <c r="B18" t="s">
        <v>42</v>
      </c>
      <c r="C18" s="14">
        <v>292.21789999999999</v>
      </c>
      <c r="D18" s="14">
        <v>286.87189999999998</v>
      </c>
      <c r="E18" s="14">
        <v>276.9033</v>
      </c>
      <c r="F18" s="14">
        <v>283.82920000000001</v>
      </c>
      <c r="G18" s="14">
        <v>283.90320000000003</v>
      </c>
      <c r="H18" s="14">
        <v>288.4479</v>
      </c>
      <c r="I18" s="14">
        <v>305.09769999999997</v>
      </c>
      <c r="J18" s="14">
        <v>330.05130000000003</v>
      </c>
      <c r="K18" s="14">
        <v>387.06079999999997</v>
      </c>
      <c r="L18" s="14">
        <v>415.35579999999999</v>
      </c>
      <c r="M18" s="14">
        <v>430.95330000000001</v>
      </c>
      <c r="N18" s="14">
        <v>472.77370000000002</v>
      </c>
    </row>
    <row r="19" spans="1:14">
      <c r="A19" t="s">
        <v>37</v>
      </c>
      <c r="B19" t="s">
        <v>270</v>
      </c>
      <c r="C19" s="14">
        <v>24825.501</v>
      </c>
      <c r="D19" s="14">
        <v>25072.605200000002</v>
      </c>
      <c r="E19" s="14">
        <v>25429.586200000002</v>
      </c>
      <c r="F19" s="14">
        <v>25730.537700000001</v>
      </c>
      <c r="G19" s="14">
        <v>26013.431700000001</v>
      </c>
      <c r="H19" s="14">
        <v>26538.694299999999</v>
      </c>
      <c r="I19" s="14">
        <v>27089.0995</v>
      </c>
      <c r="J19" s="14">
        <v>27460.653399999999</v>
      </c>
      <c r="K19" s="14">
        <v>27208.625</v>
      </c>
      <c r="L19" s="14">
        <v>27311.727500000001</v>
      </c>
      <c r="M19" s="14">
        <v>28334.3874</v>
      </c>
      <c r="N19" s="14">
        <v>29309.945500000002</v>
      </c>
    </row>
    <row r="20" spans="1:14">
      <c r="B20" t="s">
        <v>269</v>
      </c>
      <c r="C20" s="14">
        <v>8202.3127000000004</v>
      </c>
      <c r="D20" s="14">
        <v>8217.1116000000002</v>
      </c>
      <c r="E20" s="14">
        <v>8323.2569999999996</v>
      </c>
      <c r="F20" s="14">
        <v>8412.7384000000002</v>
      </c>
      <c r="G20" s="14">
        <v>8490.6556999999993</v>
      </c>
      <c r="H20" s="14">
        <v>8640.4168000000009</v>
      </c>
      <c r="I20" s="14">
        <v>8865.8459999999995</v>
      </c>
      <c r="J20" s="14">
        <v>9032.7376999999997</v>
      </c>
      <c r="K20" s="14">
        <v>9009.1983999999993</v>
      </c>
      <c r="L20" s="14">
        <v>9076.7171999999991</v>
      </c>
      <c r="M20" s="14">
        <v>9326.8109000000004</v>
      </c>
      <c r="N20" s="14">
        <v>9579.0928000000004</v>
      </c>
    </row>
    <row r="21" spans="1:14">
      <c r="B21" t="s">
        <v>271</v>
      </c>
      <c r="C21" s="14">
        <v>4827.1450000000004</v>
      </c>
      <c r="D21" s="14">
        <v>4864.0414000000001</v>
      </c>
      <c r="E21" s="14">
        <v>4898.2281000000003</v>
      </c>
      <c r="F21" s="14">
        <v>5015.3842999999997</v>
      </c>
      <c r="G21" s="14">
        <v>5096.2777999999998</v>
      </c>
      <c r="H21" s="14">
        <v>5174.3059999999996</v>
      </c>
      <c r="I21" s="14">
        <v>5381.1428999999998</v>
      </c>
      <c r="J21" s="14">
        <v>5523.0424999999996</v>
      </c>
      <c r="K21" s="14">
        <v>5580.7897000000003</v>
      </c>
      <c r="L21" s="14">
        <v>5626.7377999999999</v>
      </c>
      <c r="M21" s="14">
        <v>5850.6049000000003</v>
      </c>
      <c r="N21" s="14">
        <v>6051.3127999999997</v>
      </c>
    </row>
    <row r="22" spans="1:14">
      <c r="B22" t="s">
        <v>274</v>
      </c>
      <c r="C22" s="14">
        <v>6434.4495999999999</v>
      </c>
      <c r="D22" s="14">
        <v>6490.3188</v>
      </c>
      <c r="E22" s="14">
        <v>6484.7759999999998</v>
      </c>
      <c r="F22" s="14">
        <v>6564.2437</v>
      </c>
      <c r="G22" s="14">
        <v>6622.5802999999996</v>
      </c>
      <c r="H22" s="14">
        <v>6692.6093000000001</v>
      </c>
      <c r="I22" s="14">
        <v>6865.1697000000004</v>
      </c>
      <c r="J22" s="14">
        <v>6972.0183999999999</v>
      </c>
      <c r="K22" s="14">
        <v>6949.4216999999999</v>
      </c>
      <c r="L22" s="14">
        <v>6853.0375999999997</v>
      </c>
      <c r="M22" s="14">
        <v>7078.625</v>
      </c>
      <c r="N22" s="14">
        <v>7304.5720000000001</v>
      </c>
    </row>
    <row r="23" spans="1:14">
      <c r="B23" t="s">
        <v>273</v>
      </c>
      <c r="C23" s="14">
        <v>1801.4885999999999</v>
      </c>
      <c r="D23" s="14">
        <v>1817.2972</v>
      </c>
      <c r="E23" s="14">
        <v>1792.9870000000001</v>
      </c>
      <c r="F23" s="14">
        <v>1806.5217</v>
      </c>
      <c r="G23" s="14">
        <v>1786.0374999999999</v>
      </c>
      <c r="H23" s="14">
        <v>1801.8915</v>
      </c>
      <c r="I23" s="14">
        <v>1846.0832</v>
      </c>
      <c r="J23" s="14">
        <v>1865.9992</v>
      </c>
      <c r="K23" s="14">
        <v>1869.143</v>
      </c>
      <c r="L23" s="14">
        <v>1875.9191000000001</v>
      </c>
      <c r="M23" s="14">
        <v>1930.9259999999999</v>
      </c>
      <c r="N23" s="14">
        <v>2014.0437999999999</v>
      </c>
    </row>
    <row r="24" spans="1:14">
      <c r="B24" t="s">
        <v>272</v>
      </c>
      <c r="C24" s="14">
        <v>3008.9703</v>
      </c>
      <c r="D24" s="14">
        <v>3009.8009999999999</v>
      </c>
      <c r="E24" s="14">
        <v>3070.7258999999999</v>
      </c>
      <c r="F24" s="14">
        <v>3105.8222000000001</v>
      </c>
      <c r="G24" s="14">
        <v>3153.913</v>
      </c>
      <c r="H24" s="14">
        <v>3196.0369999999998</v>
      </c>
      <c r="I24" s="14">
        <v>3307.7087000000001</v>
      </c>
      <c r="J24" s="14">
        <v>3380.9178999999999</v>
      </c>
      <c r="K24" s="14">
        <v>3434.3539000000001</v>
      </c>
      <c r="L24" s="14">
        <v>3436.2943</v>
      </c>
      <c r="M24" s="14">
        <v>3520.9773</v>
      </c>
      <c r="N24" s="14">
        <v>3652.4468000000002</v>
      </c>
    </row>
    <row r="25" spans="1:14">
      <c r="B25" t="s">
        <v>42</v>
      </c>
      <c r="C25" s="14">
        <v>292.21789999999999</v>
      </c>
      <c r="D25" s="14">
        <v>286.87189999999998</v>
      </c>
      <c r="E25" s="14">
        <v>276.9033</v>
      </c>
      <c r="F25" s="14">
        <v>283.82920000000001</v>
      </c>
      <c r="G25" s="14">
        <v>283.90320000000003</v>
      </c>
      <c r="H25" s="14">
        <v>288.4479</v>
      </c>
      <c r="I25" s="14">
        <v>305.09769999999997</v>
      </c>
      <c r="J25" s="14">
        <v>330.05130000000003</v>
      </c>
      <c r="K25" s="14">
        <v>387.06079999999997</v>
      </c>
      <c r="L25" s="14">
        <v>415.35579999999999</v>
      </c>
      <c r="M25" s="14">
        <v>430.95330000000001</v>
      </c>
      <c r="N25" s="14">
        <v>472.77370000000002</v>
      </c>
    </row>
  </sheetData>
  <mergeCells count="1">
    <mergeCell ref="A1:AA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D0CCE-6125-4BDE-95CB-DBBB6FC5D2B8}">
  <dimension ref="A1:AB41"/>
  <sheetViews>
    <sheetView showGridLines="0" workbookViewId="0">
      <selection sqref="A1:AB1"/>
    </sheetView>
  </sheetViews>
  <sheetFormatPr defaultRowHeight="14.5"/>
  <cols>
    <col min="1" max="1" width="12.453125" bestFit="1" customWidth="1"/>
    <col min="2" max="2" width="31" bestFit="1" customWidth="1"/>
    <col min="3" max="14" width="5.54296875" bestFit="1" customWidth="1"/>
    <col min="15" max="21" width="6.54296875" bestFit="1" customWidth="1"/>
  </cols>
  <sheetData>
    <row r="1" spans="1:28" ht="23.5">
      <c r="A1" s="96" t="s">
        <v>266</v>
      </c>
      <c r="B1" s="96"/>
      <c r="C1" s="96"/>
      <c r="D1" s="96"/>
      <c r="E1" s="96"/>
      <c r="F1" s="96"/>
      <c r="G1" s="96"/>
      <c r="H1" s="96"/>
      <c r="I1" s="96"/>
      <c r="J1" s="96"/>
      <c r="K1" s="96"/>
      <c r="L1" s="96"/>
      <c r="M1" s="96"/>
      <c r="N1" s="96"/>
      <c r="O1" s="96"/>
      <c r="P1" s="96"/>
      <c r="Q1" s="96"/>
      <c r="R1" s="96"/>
      <c r="S1" s="96"/>
      <c r="T1" s="96"/>
      <c r="U1" s="96"/>
      <c r="V1" s="96"/>
      <c r="W1" s="96"/>
      <c r="X1" s="96"/>
      <c r="Y1" s="96"/>
      <c r="Z1" s="96"/>
      <c r="AA1" s="96"/>
      <c r="AB1" s="96"/>
    </row>
    <row r="4" spans="1:28">
      <c r="A4" s="10" t="s">
        <v>215</v>
      </c>
    </row>
    <row r="5" spans="1:28">
      <c r="C5">
        <v>2014</v>
      </c>
      <c r="D5">
        <v>2015</v>
      </c>
      <c r="E5">
        <v>2016</v>
      </c>
      <c r="F5">
        <v>2017</v>
      </c>
      <c r="G5">
        <v>2018</v>
      </c>
      <c r="H5">
        <v>2019</v>
      </c>
      <c r="I5">
        <v>2020</v>
      </c>
      <c r="J5">
        <v>2021</v>
      </c>
      <c r="K5">
        <v>2022</v>
      </c>
      <c r="L5">
        <v>2023</v>
      </c>
      <c r="M5">
        <v>2024</v>
      </c>
      <c r="N5">
        <v>2025</v>
      </c>
    </row>
    <row r="6" spans="1:28">
      <c r="A6" t="s">
        <v>203</v>
      </c>
      <c r="B6" t="s">
        <v>183</v>
      </c>
      <c r="C6" s="14">
        <v>1013.874</v>
      </c>
      <c r="D6" s="14">
        <v>1016.2024</v>
      </c>
      <c r="E6" s="14">
        <v>1046.3806999999999</v>
      </c>
      <c r="F6" s="14">
        <v>1068.7370000000001</v>
      </c>
      <c r="G6" s="14">
        <v>1111.8421000000001</v>
      </c>
      <c r="H6" s="14">
        <v>1125.2801999999999</v>
      </c>
      <c r="I6" s="14">
        <v>1177.1973</v>
      </c>
      <c r="J6" s="14">
        <v>1191.5636</v>
      </c>
      <c r="K6" s="14">
        <v>1182.5048999999999</v>
      </c>
      <c r="L6" s="14">
        <v>1167.3124</v>
      </c>
      <c r="M6" s="14">
        <v>1224.3646000000001</v>
      </c>
      <c r="N6" s="14">
        <v>1275.6087</v>
      </c>
    </row>
    <row r="7" spans="1:28">
      <c r="B7" t="s">
        <v>234</v>
      </c>
      <c r="C7" s="14">
        <v>3282.8841000000002</v>
      </c>
      <c r="D7" s="14">
        <v>3324.3836000000001</v>
      </c>
      <c r="E7" s="14">
        <v>3382.098</v>
      </c>
      <c r="F7" s="14">
        <v>3441.7152999999998</v>
      </c>
      <c r="G7" s="14">
        <v>3532.1307000000002</v>
      </c>
      <c r="H7" s="14">
        <v>3608.6736000000001</v>
      </c>
      <c r="I7" s="14">
        <v>3752.2905999999998</v>
      </c>
      <c r="J7" s="14">
        <v>3915.6518000000001</v>
      </c>
      <c r="K7" s="14">
        <v>3886.3512999999998</v>
      </c>
      <c r="L7" s="14">
        <v>3874.2150999999999</v>
      </c>
      <c r="M7" s="14">
        <v>4033.2258999999999</v>
      </c>
      <c r="N7" s="14">
        <v>4172.1021000000001</v>
      </c>
    </row>
    <row r="8" spans="1:28">
      <c r="B8" t="s">
        <v>233</v>
      </c>
      <c r="C8" s="14">
        <v>3287.4711000000002</v>
      </c>
      <c r="D8" s="14">
        <v>3324.0718999999999</v>
      </c>
      <c r="E8" s="14">
        <v>3370.0473000000002</v>
      </c>
      <c r="F8" s="14">
        <v>3418.4483</v>
      </c>
      <c r="G8" s="14">
        <v>3429.7148999999999</v>
      </c>
      <c r="H8" s="14">
        <v>3490.4029999999998</v>
      </c>
      <c r="I8" s="14">
        <v>3577.5634</v>
      </c>
      <c r="J8" s="14">
        <v>3614.2927</v>
      </c>
      <c r="K8" s="14">
        <v>3553.4875999999999</v>
      </c>
      <c r="L8" s="14">
        <v>3581.4182000000001</v>
      </c>
      <c r="M8" s="14">
        <v>3630.1423</v>
      </c>
      <c r="N8" s="14">
        <v>3699.1779999999999</v>
      </c>
    </row>
    <row r="9" spans="1:28">
      <c r="B9" t="s">
        <v>235</v>
      </c>
      <c r="C9" s="14">
        <v>2906.0083</v>
      </c>
      <c r="D9" s="14">
        <v>2940.4227000000001</v>
      </c>
      <c r="E9" s="14">
        <v>2943.3020000000001</v>
      </c>
      <c r="F9" s="14">
        <v>2987.1161000000002</v>
      </c>
      <c r="G9" s="14">
        <v>3012.5904999999998</v>
      </c>
      <c r="H9" s="14">
        <v>3133.18</v>
      </c>
      <c r="I9" s="14">
        <v>3210.9522999999999</v>
      </c>
      <c r="J9" s="14">
        <v>3300.6010999999999</v>
      </c>
      <c r="K9" s="14">
        <v>3280.0709999999999</v>
      </c>
      <c r="L9" s="14">
        <v>3281.1071999999999</v>
      </c>
      <c r="M9" s="14">
        <v>3433.2601</v>
      </c>
      <c r="N9" s="14">
        <v>3626.9245999999998</v>
      </c>
    </row>
    <row r="10" spans="1:28">
      <c r="B10" t="s">
        <v>185</v>
      </c>
      <c r="C10" s="14">
        <v>2468.2701999999999</v>
      </c>
      <c r="D10" s="14">
        <v>2512.3278</v>
      </c>
      <c r="E10" s="14">
        <v>2548.0895</v>
      </c>
      <c r="F10" s="14">
        <v>2600.9014999999999</v>
      </c>
      <c r="G10" s="14">
        <v>2627.4627</v>
      </c>
      <c r="H10" s="14">
        <v>2688.8186000000001</v>
      </c>
      <c r="I10" s="14">
        <v>2781.1756</v>
      </c>
      <c r="J10" s="14">
        <v>2796.5219999999999</v>
      </c>
      <c r="K10" s="14">
        <v>2768.4171999999999</v>
      </c>
      <c r="L10" s="14">
        <v>2788.5969</v>
      </c>
      <c r="M10" s="14">
        <v>2910.8202999999999</v>
      </c>
      <c r="N10" s="14">
        <v>3000.6597000000002</v>
      </c>
    </row>
    <row r="11" spans="1:28">
      <c r="B11" t="s">
        <v>178</v>
      </c>
      <c r="C11" s="14">
        <v>2047.0227</v>
      </c>
      <c r="D11" s="14">
        <v>2086.5614999999998</v>
      </c>
      <c r="E11" s="14">
        <v>2124.0284999999999</v>
      </c>
      <c r="F11" s="14">
        <v>2166.7595999999999</v>
      </c>
      <c r="G11" s="14">
        <v>2168.3678</v>
      </c>
      <c r="H11" s="14">
        <v>2219.0446000000002</v>
      </c>
      <c r="I11" s="14">
        <v>2276.9982</v>
      </c>
      <c r="J11" s="14">
        <v>2335.1858000000002</v>
      </c>
      <c r="K11" s="14">
        <v>2319.8083000000001</v>
      </c>
      <c r="L11" s="14">
        <v>2321.9881999999998</v>
      </c>
      <c r="M11" s="14">
        <v>2387.3841000000002</v>
      </c>
      <c r="N11" s="14">
        <v>2492.3199</v>
      </c>
    </row>
    <row r="12" spans="1:28">
      <c r="B12" t="s">
        <v>184</v>
      </c>
      <c r="C12" s="14">
        <v>1840.3802000000001</v>
      </c>
      <c r="D12" s="14">
        <v>1853.1406999999999</v>
      </c>
      <c r="E12" s="14">
        <v>1893.1958999999999</v>
      </c>
      <c r="F12" s="14">
        <v>1909.4076</v>
      </c>
      <c r="G12" s="14">
        <v>1948.0327</v>
      </c>
      <c r="H12" s="14">
        <v>2000.1025</v>
      </c>
      <c r="I12" s="14">
        <v>2059.8816000000002</v>
      </c>
      <c r="J12" s="14">
        <v>2089.2348999999999</v>
      </c>
      <c r="K12" s="14">
        <v>2085.0210999999999</v>
      </c>
      <c r="L12" s="14">
        <v>2062.0425</v>
      </c>
      <c r="M12" s="14">
        <v>2111.3658</v>
      </c>
      <c r="N12" s="14">
        <v>2155.4135000000001</v>
      </c>
    </row>
    <row r="13" spans="1:28">
      <c r="B13" t="s">
        <v>180</v>
      </c>
      <c r="C13" s="14">
        <v>1432.0849000000001</v>
      </c>
      <c r="D13" s="14">
        <v>1428.8055999999999</v>
      </c>
      <c r="E13" s="14">
        <v>1432.4364</v>
      </c>
      <c r="F13" s="14">
        <v>1467.0183</v>
      </c>
      <c r="G13" s="14">
        <v>1478.2508</v>
      </c>
      <c r="H13" s="14">
        <v>1493.6781000000001</v>
      </c>
      <c r="I13" s="14">
        <v>1529.6487999999999</v>
      </c>
      <c r="J13" s="14">
        <v>1556.7754</v>
      </c>
      <c r="K13" s="14">
        <v>1548.4594999999999</v>
      </c>
      <c r="L13" s="14">
        <v>1550.2481</v>
      </c>
      <c r="M13" s="14">
        <v>1568.0410999999999</v>
      </c>
      <c r="N13" s="14">
        <v>1600.9599000000001</v>
      </c>
    </row>
    <row r="14" spans="1:28">
      <c r="B14" t="s">
        <v>186</v>
      </c>
      <c r="C14" s="14">
        <v>3170.0997000000002</v>
      </c>
      <c r="D14" s="14">
        <v>3192.0639000000001</v>
      </c>
      <c r="E14" s="14">
        <v>3239.5207999999998</v>
      </c>
      <c r="F14" s="14">
        <v>3246.9555999999998</v>
      </c>
      <c r="G14" s="14">
        <v>3298.9722999999999</v>
      </c>
      <c r="H14" s="14">
        <v>3329.8678</v>
      </c>
      <c r="I14" s="14">
        <v>3380.7828</v>
      </c>
      <c r="J14" s="14">
        <v>3415.5563999999999</v>
      </c>
      <c r="K14" s="14">
        <v>3328.1102000000001</v>
      </c>
      <c r="L14" s="14">
        <v>3317.1884</v>
      </c>
      <c r="M14" s="14">
        <v>3404.8618000000001</v>
      </c>
      <c r="N14" s="14">
        <v>3501.0726</v>
      </c>
    </row>
    <row r="15" spans="1:28">
      <c r="B15" t="s">
        <v>181</v>
      </c>
      <c r="C15" s="14">
        <v>1055.7128</v>
      </c>
      <c r="D15" s="14">
        <v>1054.6051</v>
      </c>
      <c r="E15" s="14">
        <v>1048.9280000000001</v>
      </c>
      <c r="F15" s="14">
        <v>1077.7909</v>
      </c>
      <c r="G15" s="14">
        <v>1076.8444999999999</v>
      </c>
      <c r="H15" s="14">
        <v>1089.8648000000001</v>
      </c>
      <c r="I15" s="14">
        <v>1117.8210999999999</v>
      </c>
      <c r="J15" s="14">
        <v>1117.623</v>
      </c>
      <c r="K15" s="14">
        <v>1110.4145000000001</v>
      </c>
      <c r="L15" s="14">
        <v>1105.4148</v>
      </c>
      <c r="M15" s="14">
        <v>1131.3713</v>
      </c>
      <c r="N15" s="14">
        <v>1164.4793</v>
      </c>
    </row>
    <row r="16" spans="1:28">
      <c r="B16" t="s">
        <v>179</v>
      </c>
      <c r="C16" s="14">
        <v>3210.6990000000001</v>
      </c>
      <c r="D16" s="14">
        <v>3255.9306000000001</v>
      </c>
      <c r="E16" s="14">
        <v>3313.4765000000002</v>
      </c>
      <c r="F16" s="14">
        <v>3329.3361</v>
      </c>
      <c r="G16" s="14">
        <v>3367.3714</v>
      </c>
      <c r="H16" s="14">
        <v>3458.9061999999999</v>
      </c>
      <c r="I16" s="14">
        <v>3511.6257999999998</v>
      </c>
      <c r="J16" s="14">
        <v>3477.0164</v>
      </c>
      <c r="K16" s="14">
        <v>3533.0998</v>
      </c>
      <c r="L16" s="14">
        <v>3508.3175000000001</v>
      </c>
      <c r="M16" s="14">
        <v>3674.9178999999999</v>
      </c>
      <c r="N16" s="14">
        <v>3853.2188000000001</v>
      </c>
    </row>
    <row r="17" spans="1:14">
      <c r="B17" t="s">
        <v>182</v>
      </c>
      <c r="C17" s="14">
        <v>1671.3825999999999</v>
      </c>
      <c r="D17" s="14">
        <v>1706.3697999999999</v>
      </c>
      <c r="E17" s="14">
        <v>1731.1573000000001</v>
      </c>
      <c r="F17" s="14">
        <v>1757.7265</v>
      </c>
      <c r="G17" s="14">
        <v>1769.7876000000001</v>
      </c>
      <c r="H17" s="14">
        <v>1807.4645</v>
      </c>
      <c r="I17" s="14">
        <v>1842.4359999999999</v>
      </c>
      <c r="J17" s="14">
        <v>1844.7849000000001</v>
      </c>
      <c r="K17" s="14">
        <v>1831.4047</v>
      </c>
      <c r="L17" s="14">
        <v>1819.5183</v>
      </c>
      <c r="M17" s="14">
        <v>1869.1686</v>
      </c>
      <c r="N17" s="14">
        <v>1930.2387000000001</v>
      </c>
    </row>
    <row r="18" spans="1:14">
      <c r="A18" t="s">
        <v>204</v>
      </c>
      <c r="B18" t="s">
        <v>183</v>
      </c>
      <c r="C18" s="14">
        <v>1052.8463999999999</v>
      </c>
      <c r="D18" s="14">
        <v>1060.9348</v>
      </c>
      <c r="E18" s="14">
        <v>1054.3901000000001</v>
      </c>
      <c r="F18" s="14">
        <v>1058.6949</v>
      </c>
      <c r="G18" s="14">
        <v>1027.5091</v>
      </c>
      <c r="H18" s="14">
        <v>1035.8841</v>
      </c>
      <c r="I18" s="14">
        <v>1067.0840000000001</v>
      </c>
      <c r="J18" s="14">
        <v>1105.4136000000001</v>
      </c>
      <c r="K18" s="14">
        <v>1107.9831999999999</v>
      </c>
      <c r="L18" s="14">
        <v>1124.6532999999999</v>
      </c>
      <c r="M18" s="14">
        <v>1141.7717</v>
      </c>
      <c r="N18" s="14">
        <v>1164.5088000000001</v>
      </c>
    </row>
    <row r="19" spans="1:14">
      <c r="B19" t="s">
        <v>234</v>
      </c>
      <c r="C19" s="14">
        <v>2340.2968000000001</v>
      </c>
      <c r="D19" s="14">
        <v>2337.7080999999998</v>
      </c>
      <c r="E19" s="14">
        <v>2349.4065999999998</v>
      </c>
      <c r="F19" s="14">
        <v>2369.1718000000001</v>
      </c>
      <c r="G19" s="14">
        <v>2377.7219</v>
      </c>
      <c r="H19" s="14">
        <v>2440.8018999999999</v>
      </c>
      <c r="I19" s="14">
        <v>2501.7936</v>
      </c>
      <c r="J19" s="14">
        <v>2536.88</v>
      </c>
      <c r="K19" s="14">
        <v>2510.5495000000001</v>
      </c>
      <c r="L19" s="14">
        <v>2563.0805999999998</v>
      </c>
      <c r="M19" s="14">
        <v>2680.1831000000002</v>
      </c>
      <c r="N19" s="14">
        <v>2817.2413999999999</v>
      </c>
    </row>
    <row r="20" spans="1:14">
      <c r="B20" t="s">
        <v>233</v>
      </c>
      <c r="C20" s="14">
        <v>2662.85</v>
      </c>
      <c r="D20" s="14">
        <v>2699.2851000000001</v>
      </c>
      <c r="E20" s="14">
        <v>2724.3424</v>
      </c>
      <c r="F20" s="14">
        <v>2751.5065</v>
      </c>
      <c r="G20" s="14">
        <v>2763.3436999999999</v>
      </c>
      <c r="H20" s="14">
        <v>2775.2640999999999</v>
      </c>
      <c r="I20" s="14">
        <v>2810.2539000000002</v>
      </c>
      <c r="J20" s="14">
        <v>2803.8198000000002</v>
      </c>
      <c r="K20" s="14">
        <v>2785.6181999999999</v>
      </c>
      <c r="L20" s="14">
        <v>2792.2791000000002</v>
      </c>
      <c r="M20" s="14">
        <v>2888.0945000000002</v>
      </c>
      <c r="N20" s="14">
        <v>2956.4250000000002</v>
      </c>
    </row>
    <row r="21" spans="1:14">
      <c r="B21" t="s">
        <v>235</v>
      </c>
      <c r="C21" s="14">
        <v>1663.7585999999999</v>
      </c>
      <c r="D21" s="14">
        <v>1666.2868000000001</v>
      </c>
      <c r="E21" s="14">
        <v>1674.6291000000001</v>
      </c>
      <c r="F21" s="14">
        <v>1673.9262000000001</v>
      </c>
      <c r="G21" s="14">
        <v>1683.2277999999999</v>
      </c>
      <c r="H21" s="14">
        <v>1688.7363</v>
      </c>
      <c r="I21" s="14">
        <v>1733.7444</v>
      </c>
      <c r="J21" s="14">
        <v>1800.8507</v>
      </c>
      <c r="K21" s="14">
        <v>1821.4204999999999</v>
      </c>
      <c r="L21" s="14">
        <v>1838.1581000000001</v>
      </c>
      <c r="M21" s="14">
        <v>1936.5896</v>
      </c>
      <c r="N21" s="14">
        <v>2074.5055000000002</v>
      </c>
    </row>
    <row r="22" spans="1:14">
      <c r="B22" t="s">
        <v>185</v>
      </c>
      <c r="C22" s="14">
        <v>1943.117</v>
      </c>
      <c r="D22" s="14">
        <v>1928.3303000000001</v>
      </c>
      <c r="E22" s="14">
        <v>1977.29</v>
      </c>
      <c r="F22" s="14">
        <v>2008.3939</v>
      </c>
      <c r="G22" s="14">
        <v>2037.8865000000001</v>
      </c>
      <c r="H22" s="14">
        <v>2088.3418000000001</v>
      </c>
      <c r="I22" s="14">
        <v>2172.5556000000001</v>
      </c>
      <c r="J22" s="14">
        <v>2249.9005000000002</v>
      </c>
      <c r="K22" s="14">
        <v>2264.6994</v>
      </c>
      <c r="L22" s="14">
        <v>2288.5866000000001</v>
      </c>
      <c r="M22" s="14">
        <v>2413.3011999999999</v>
      </c>
      <c r="N22" s="14">
        <v>2454.0799000000002</v>
      </c>
    </row>
    <row r="23" spans="1:14">
      <c r="B23" t="s">
        <v>178</v>
      </c>
      <c r="C23" s="14">
        <v>1749.1220000000001</v>
      </c>
      <c r="D23" s="14">
        <v>1746.8043</v>
      </c>
      <c r="E23" s="14">
        <v>1778.1568</v>
      </c>
      <c r="F23" s="14">
        <v>1791.0523000000001</v>
      </c>
      <c r="G23" s="14">
        <v>1838.1660999999999</v>
      </c>
      <c r="H23" s="14">
        <v>1845.2843</v>
      </c>
      <c r="I23" s="14">
        <v>1903.0006000000001</v>
      </c>
      <c r="J23" s="14">
        <v>1940.4956999999999</v>
      </c>
      <c r="K23" s="14">
        <v>1957.703</v>
      </c>
      <c r="L23" s="14">
        <v>1968.9236000000001</v>
      </c>
      <c r="M23" s="14">
        <v>2044.3434999999999</v>
      </c>
      <c r="N23" s="14">
        <v>2092.2609000000002</v>
      </c>
    </row>
    <row r="24" spans="1:14">
      <c r="B24" t="s">
        <v>184</v>
      </c>
      <c r="C24" s="14">
        <v>1582.6654000000001</v>
      </c>
      <c r="D24" s="14">
        <v>1591.0138999999999</v>
      </c>
      <c r="E24" s="14">
        <v>1595.3423</v>
      </c>
      <c r="F24" s="14">
        <v>1606.5442</v>
      </c>
      <c r="G24" s="14">
        <v>1606.8967</v>
      </c>
      <c r="H24" s="14">
        <v>1628.1565000000001</v>
      </c>
      <c r="I24" s="14">
        <v>1667.8388</v>
      </c>
      <c r="J24" s="14">
        <v>1696.1694</v>
      </c>
      <c r="K24" s="14">
        <v>1708.9296999999999</v>
      </c>
      <c r="L24" s="14">
        <v>1735.3171</v>
      </c>
      <c r="M24" s="14">
        <v>1781.6341</v>
      </c>
      <c r="N24" s="14">
        <v>1826.9492</v>
      </c>
    </row>
    <row r="25" spans="1:14">
      <c r="B25" t="s">
        <v>180</v>
      </c>
      <c r="C25" s="14">
        <v>1264.3068000000001</v>
      </c>
      <c r="D25" s="14">
        <v>1271.8169</v>
      </c>
      <c r="E25" s="14">
        <v>1284.5075999999999</v>
      </c>
      <c r="F25" s="14">
        <v>1289.1502</v>
      </c>
      <c r="G25" s="14">
        <v>1295.9238</v>
      </c>
      <c r="H25" s="14">
        <v>1309.6259</v>
      </c>
      <c r="I25" s="14">
        <v>1332.0445</v>
      </c>
      <c r="J25" s="14">
        <v>1354.2393999999999</v>
      </c>
      <c r="K25" s="14">
        <v>1385.7911999999999</v>
      </c>
      <c r="L25" s="14">
        <v>1375.7182</v>
      </c>
      <c r="M25" s="14">
        <v>1422.9901</v>
      </c>
      <c r="N25" s="14">
        <v>1451.5229999999999</v>
      </c>
    </row>
    <row r="26" spans="1:14">
      <c r="B26" t="s">
        <v>186</v>
      </c>
      <c r="C26" s="14">
        <v>2687.2004999999999</v>
      </c>
      <c r="D26" s="14">
        <v>2693.7302</v>
      </c>
      <c r="E26" s="14">
        <v>2690.1669000000002</v>
      </c>
      <c r="F26" s="14">
        <v>2724.6084999999998</v>
      </c>
      <c r="G26" s="14">
        <v>2728.8319000000001</v>
      </c>
      <c r="H26" s="14">
        <v>2735.6952000000001</v>
      </c>
      <c r="I26" s="14">
        <v>2799.9847</v>
      </c>
      <c r="J26" s="14">
        <v>2888.6093999999998</v>
      </c>
      <c r="K26" s="14">
        <v>2916.7240999999999</v>
      </c>
      <c r="L26" s="14">
        <v>2939.2257</v>
      </c>
      <c r="M26" s="14">
        <v>3021.9758000000002</v>
      </c>
      <c r="N26" s="14">
        <v>3123.4751000000001</v>
      </c>
    </row>
    <row r="27" spans="1:14">
      <c r="B27" t="s">
        <v>181</v>
      </c>
      <c r="C27" s="14">
        <v>866.64009999999996</v>
      </c>
      <c r="D27" s="14">
        <v>859.20370000000003</v>
      </c>
      <c r="E27" s="14">
        <v>847.17229999999995</v>
      </c>
      <c r="F27" s="14">
        <v>852.36710000000005</v>
      </c>
      <c r="G27" s="14">
        <v>864.44410000000005</v>
      </c>
      <c r="H27" s="14">
        <v>863.00509999999997</v>
      </c>
      <c r="I27" s="14">
        <v>899.74689999999998</v>
      </c>
      <c r="J27" s="14">
        <v>913.62919999999997</v>
      </c>
      <c r="K27" s="14">
        <v>896.93799999999999</v>
      </c>
      <c r="L27" s="14">
        <v>899.39359999999999</v>
      </c>
      <c r="M27" s="14">
        <v>910.23320000000001</v>
      </c>
      <c r="N27" s="14">
        <v>928.09220000000005</v>
      </c>
    </row>
    <row r="28" spans="1:14">
      <c r="B28" t="s">
        <v>179</v>
      </c>
      <c r="C28" s="14">
        <v>2544.0733</v>
      </c>
      <c r="D28" s="14">
        <v>2552.5252</v>
      </c>
      <c r="E28" s="14">
        <v>2580.6327999999999</v>
      </c>
      <c r="F28" s="14">
        <v>2664.2849999999999</v>
      </c>
      <c r="G28" s="14">
        <v>2722.0929000000001</v>
      </c>
      <c r="H28" s="14">
        <v>2769.7330999999999</v>
      </c>
      <c r="I28" s="14">
        <v>2807.3742000000002</v>
      </c>
      <c r="J28" s="14">
        <v>2855.0414000000001</v>
      </c>
      <c r="K28" s="14">
        <v>2877.8779</v>
      </c>
      <c r="L28" s="14">
        <v>2917.1685000000002</v>
      </c>
      <c r="M28" s="14">
        <v>3003.7392</v>
      </c>
      <c r="N28" s="14">
        <v>3110.9823999999999</v>
      </c>
    </row>
    <row r="29" spans="1:14">
      <c r="B29" t="s">
        <v>182</v>
      </c>
      <c r="C29" s="14">
        <v>1649.3186000000001</v>
      </c>
      <c r="D29" s="14">
        <v>1655.5222000000001</v>
      </c>
      <c r="E29" s="14">
        <v>1647.7656999999999</v>
      </c>
      <c r="F29" s="14">
        <v>1657.4638</v>
      </c>
      <c r="G29" s="14">
        <v>1679.3867</v>
      </c>
      <c r="H29" s="14">
        <v>1706.5906</v>
      </c>
      <c r="I29" s="14">
        <v>1746.3530000000001</v>
      </c>
      <c r="J29" s="14">
        <v>1765.5633</v>
      </c>
      <c r="K29" s="14">
        <v>1777.2076999999999</v>
      </c>
      <c r="L29" s="14">
        <v>1775.9173000000001</v>
      </c>
      <c r="M29" s="14">
        <v>1849.5050000000001</v>
      </c>
      <c r="N29" s="14">
        <v>1911.9682</v>
      </c>
    </row>
    <row r="30" spans="1:14">
      <c r="A30" t="s">
        <v>37</v>
      </c>
      <c r="B30" t="s">
        <v>183</v>
      </c>
      <c r="C30" s="14">
        <v>2066.7204000000002</v>
      </c>
      <c r="D30" s="14">
        <v>2077.1372000000001</v>
      </c>
      <c r="E30" s="14">
        <v>2100.7707999999998</v>
      </c>
      <c r="F30" s="14">
        <v>2127.4319</v>
      </c>
      <c r="G30" s="14">
        <v>2139.3512000000001</v>
      </c>
      <c r="H30" s="14">
        <v>2161.1642999999999</v>
      </c>
      <c r="I30" s="14">
        <v>2244.2813000000001</v>
      </c>
      <c r="J30" s="14">
        <v>2296.9771999999998</v>
      </c>
      <c r="K30" s="14">
        <v>2290.4881</v>
      </c>
      <c r="L30" s="14">
        <v>2291.9657000000002</v>
      </c>
      <c r="M30" s="14">
        <v>2366.1363000000001</v>
      </c>
      <c r="N30" s="14">
        <v>2440.1174999999998</v>
      </c>
    </row>
    <row r="31" spans="1:14">
      <c r="B31" t="s">
        <v>234</v>
      </c>
      <c r="C31" s="14">
        <v>5623.1809000000003</v>
      </c>
      <c r="D31" s="14">
        <v>5662.0916999999999</v>
      </c>
      <c r="E31" s="14">
        <v>5731.5046000000002</v>
      </c>
      <c r="F31" s="14">
        <v>5810.8870999999999</v>
      </c>
      <c r="G31" s="14">
        <v>5909.8526000000002</v>
      </c>
      <c r="H31" s="14">
        <v>6049.4754999999996</v>
      </c>
      <c r="I31" s="14">
        <v>6254.0842000000002</v>
      </c>
      <c r="J31" s="14">
        <v>6452.5317999999997</v>
      </c>
      <c r="K31" s="14">
        <v>6396.9008000000003</v>
      </c>
      <c r="L31" s="14">
        <v>6437.2956999999997</v>
      </c>
      <c r="M31" s="14">
        <v>6713.4089999999997</v>
      </c>
      <c r="N31" s="14">
        <v>6989.3434999999999</v>
      </c>
    </row>
    <row r="32" spans="1:14">
      <c r="B32" t="s">
        <v>233</v>
      </c>
      <c r="C32" s="14">
        <v>5950.3211000000001</v>
      </c>
      <c r="D32" s="14">
        <v>6023.357</v>
      </c>
      <c r="E32" s="14">
        <v>6094.3896999999997</v>
      </c>
      <c r="F32" s="14">
        <v>6169.9548000000004</v>
      </c>
      <c r="G32" s="14">
        <v>6193.0586000000003</v>
      </c>
      <c r="H32" s="14">
        <v>6265.6670999999997</v>
      </c>
      <c r="I32" s="14">
        <v>6387.8172999999997</v>
      </c>
      <c r="J32" s="14">
        <v>6418.1125000000002</v>
      </c>
      <c r="K32" s="14">
        <v>6339.1058000000003</v>
      </c>
      <c r="L32" s="14">
        <v>6373.6972999999998</v>
      </c>
      <c r="M32" s="14">
        <v>6518.2367999999997</v>
      </c>
      <c r="N32" s="14">
        <v>6655.6030000000001</v>
      </c>
    </row>
    <row r="33" spans="2:14">
      <c r="B33" t="s">
        <v>235</v>
      </c>
      <c r="C33" s="14">
        <v>4569.7668999999996</v>
      </c>
      <c r="D33" s="14">
        <v>4606.7094999999999</v>
      </c>
      <c r="E33" s="14">
        <v>4617.9310999999998</v>
      </c>
      <c r="F33" s="14">
        <v>4661.0423000000001</v>
      </c>
      <c r="G33" s="14">
        <v>4695.8182999999999</v>
      </c>
      <c r="H33" s="14">
        <v>4821.9162999999999</v>
      </c>
      <c r="I33" s="14">
        <v>4944.6967000000004</v>
      </c>
      <c r="J33" s="14">
        <v>5101.4517999999998</v>
      </c>
      <c r="K33" s="14">
        <v>5101.4915000000001</v>
      </c>
      <c r="L33" s="14">
        <v>5119.2653</v>
      </c>
      <c r="M33" s="14">
        <v>5369.8496999999998</v>
      </c>
      <c r="N33" s="14">
        <v>5701.4300999999996</v>
      </c>
    </row>
    <row r="34" spans="2:14">
      <c r="B34" t="s">
        <v>185</v>
      </c>
      <c r="C34" s="14">
        <v>4411.3872000000001</v>
      </c>
      <c r="D34" s="14">
        <v>4440.6580999999996</v>
      </c>
      <c r="E34" s="14">
        <v>4525.3795</v>
      </c>
      <c r="F34" s="14">
        <v>4609.2954</v>
      </c>
      <c r="G34" s="14">
        <v>4665.3491999999997</v>
      </c>
      <c r="H34" s="14">
        <v>4777.1603999999998</v>
      </c>
      <c r="I34" s="14">
        <v>4953.7312000000002</v>
      </c>
      <c r="J34" s="14">
        <v>5046.4224999999997</v>
      </c>
      <c r="K34" s="14">
        <v>5033.1166000000003</v>
      </c>
      <c r="L34" s="14">
        <v>5077.1835000000001</v>
      </c>
      <c r="M34" s="14">
        <v>5324.1215000000002</v>
      </c>
      <c r="N34" s="14">
        <v>5454.7395999999999</v>
      </c>
    </row>
    <row r="35" spans="2:14">
      <c r="B35" t="s">
        <v>178</v>
      </c>
      <c r="C35" s="14">
        <v>3796.1446999999998</v>
      </c>
      <c r="D35" s="14">
        <v>3833.3658</v>
      </c>
      <c r="E35" s="14">
        <v>3902.1853000000001</v>
      </c>
      <c r="F35" s="14">
        <v>3957.8119000000002</v>
      </c>
      <c r="G35" s="14">
        <v>4006.5338999999999</v>
      </c>
      <c r="H35" s="14">
        <v>4064.3289</v>
      </c>
      <c r="I35" s="14">
        <v>4179.9988000000003</v>
      </c>
      <c r="J35" s="14">
        <v>4275.6814999999997</v>
      </c>
      <c r="K35" s="14">
        <v>4277.5113000000001</v>
      </c>
      <c r="L35" s="14">
        <v>4290.9117999999999</v>
      </c>
      <c r="M35" s="14">
        <v>4431.7276000000002</v>
      </c>
      <c r="N35" s="14">
        <v>4584.5807999999997</v>
      </c>
    </row>
    <row r="36" spans="2:14">
      <c r="B36" t="s">
        <v>184</v>
      </c>
      <c r="C36" s="14">
        <v>3423.0455999999999</v>
      </c>
      <c r="D36" s="14">
        <v>3444.1545999999998</v>
      </c>
      <c r="E36" s="14">
        <v>3488.5382</v>
      </c>
      <c r="F36" s="14">
        <v>3515.9517999999998</v>
      </c>
      <c r="G36" s="14">
        <v>3554.9294</v>
      </c>
      <c r="H36" s="14">
        <v>3628.259</v>
      </c>
      <c r="I36" s="14">
        <v>3727.7204000000002</v>
      </c>
      <c r="J36" s="14">
        <v>3785.4043000000001</v>
      </c>
      <c r="K36" s="14">
        <v>3793.9508000000001</v>
      </c>
      <c r="L36" s="14">
        <v>3797.3595999999998</v>
      </c>
      <c r="M36" s="14">
        <v>3892.9998999999998</v>
      </c>
      <c r="N36" s="14">
        <v>3982.3627000000001</v>
      </c>
    </row>
    <row r="37" spans="2:14">
      <c r="B37" t="s">
        <v>180</v>
      </c>
      <c r="C37" s="14">
        <v>2696.3917000000001</v>
      </c>
      <c r="D37" s="14">
        <v>2700.6224999999999</v>
      </c>
      <c r="E37" s="14">
        <v>2716.944</v>
      </c>
      <c r="F37" s="14">
        <v>2756.1685000000002</v>
      </c>
      <c r="G37" s="14">
        <v>2774.1745999999998</v>
      </c>
      <c r="H37" s="14">
        <v>2803.3040000000001</v>
      </c>
      <c r="I37" s="14">
        <v>2861.6932999999999</v>
      </c>
      <c r="J37" s="14">
        <v>2911.0147999999999</v>
      </c>
      <c r="K37" s="14">
        <v>2934.2507000000001</v>
      </c>
      <c r="L37" s="14">
        <v>2925.9663</v>
      </c>
      <c r="M37" s="14">
        <v>2991.0311999999999</v>
      </c>
      <c r="N37" s="14">
        <v>3052.4829</v>
      </c>
    </row>
    <row r="38" spans="2:14">
      <c r="B38" t="s">
        <v>186</v>
      </c>
      <c r="C38" s="14">
        <v>5857.3001999999997</v>
      </c>
      <c r="D38" s="14">
        <v>5885.7941000000001</v>
      </c>
      <c r="E38" s="14">
        <v>5929.6877000000004</v>
      </c>
      <c r="F38" s="14">
        <v>5971.5640999999996</v>
      </c>
      <c r="G38" s="14">
        <v>6027.8041999999996</v>
      </c>
      <c r="H38" s="14">
        <v>6065.5630000000001</v>
      </c>
      <c r="I38" s="14">
        <v>6180.7674999999999</v>
      </c>
      <c r="J38" s="14">
        <v>6304.1657999999998</v>
      </c>
      <c r="K38" s="14">
        <v>6244.8343000000004</v>
      </c>
      <c r="L38" s="14">
        <v>6256.4141</v>
      </c>
      <c r="M38" s="14">
        <v>6426.8375999999998</v>
      </c>
      <c r="N38" s="14">
        <v>6624.5477000000001</v>
      </c>
    </row>
    <row r="39" spans="2:14">
      <c r="B39" t="s">
        <v>181</v>
      </c>
      <c r="C39" s="14">
        <v>1922.3529000000001</v>
      </c>
      <c r="D39" s="14">
        <v>1913.8088</v>
      </c>
      <c r="E39" s="14">
        <v>1896.1003000000001</v>
      </c>
      <c r="F39" s="14">
        <v>1930.1579999999999</v>
      </c>
      <c r="G39" s="14">
        <v>1941.2886000000001</v>
      </c>
      <c r="H39" s="14">
        <v>1952.8698999999999</v>
      </c>
      <c r="I39" s="14">
        <v>2017.568</v>
      </c>
      <c r="J39" s="14">
        <v>2031.2521999999999</v>
      </c>
      <c r="K39" s="14">
        <v>2007.3525</v>
      </c>
      <c r="L39" s="14">
        <v>2004.8083999999999</v>
      </c>
      <c r="M39" s="14">
        <v>2041.6044999999999</v>
      </c>
      <c r="N39" s="14">
        <v>2092.5715</v>
      </c>
    </row>
    <row r="40" spans="2:14">
      <c r="B40" t="s">
        <v>179</v>
      </c>
      <c r="C40" s="14">
        <v>5754.7722999999996</v>
      </c>
      <c r="D40" s="14">
        <v>5808.4557999999997</v>
      </c>
      <c r="E40" s="14">
        <v>5894.1093000000001</v>
      </c>
      <c r="F40" s="14">
        <v>5993.6211000000003</v>
      </c>
      <c r="G40" s="14">
        <v>6089.4642999999996</v>
      </c>
      <c r="H40" s="14">
        <v>6228.6392999999998</v>
      </c>
      <c r="I40" s="14">
        <v>6319</v>
      </c>
      <c r="J40" s="14">
        <v>6332.0577999999996</v>
      </c>
      <c r="K40" s="14">
        <v>6410.9777000000004</v>
      </c>
      <c r="L40" s="14">
        <v>6425.4859999999999</v>
      </c>
      <c r="M40" s="14">
        <v>6678.6571000000004</v>
      </c>
      <c r="N40" s="14">
        <v>6964.2012000000004</v>
      </c>
    </row>
    <row r="41" spans="2:14">
      <c r="B41" t="s">
        <v>182</v>
      </c>
      <c r="C41" s="14">
        <v>3320.7012</v>
      </c>
      <c r="D41" s="14">
        <v>3361.8919999999998</v>
      </c>
      <c r="E41" s="14">
        <v>3378.9229999999998</v>
      </c>
      <c r="F41" s="14">
        <v>3415.1903000000002</v>
      </c>
      <c r="G41" s="14">
        <v>3449.1743000000001</v>
      </c>
      <c r="H41" s="14">
        <v>3514.0551</v>
      </c>
      <c r="I41" s="14">
        <v>3588.7890000000002</v>
      </c>
      <c r="J41" s="14">
        <v>3610.3481999999999</v>
      </c>
      <c r="K41" s="14">
        <v>3608.6124</v>
      </c>
      <c r="L41" s="14">
        <v>3595.4355999999998</v>
      </c>
      <c r="M41" s="14">
        <v>3718.6736000000001</v>
      </c>
      <c r="N41" s="14">
        <v>3842.2069000000001</v>
      </c>
    </row>
  </sheetData>
  <mergeCells count="1">
    <mergeCell ref="A1:AB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858F9-4715-4EA2-BA8D-BDEB6D5170B0}">
  <dimension ref="A1:AA57"/>
  <sheetViews>
    <sheetView showGridLines="0" workbookViewId="0">
      <selection sqref="A1:AA1"/>
    </sheetView>
  </sheetViews>
  <sheetFormatPr defaultRowHeight="14.5"/>
  <cols>
    <col min="1" max="1" width="12.453125" bestFit="1" customWidth="1"/>
    <col min="2" max="2" width="28.1796875" bestFit="1" customWidth="1"/>
    <col min="3" max="21" width="6.54296875" bestFit="1" customWidth="1"/>
  </cols>
  <sheetData>
    <row r="1" spans="1:27" ht="23.5">
      <c r="A1" s="96" t="s">
        <v>229</v>
      </c>
      <c r="B1" s="96"/>
      <c r="C1" s="96"/>
      <c r="D1" s="96"/>
      <c r="E1" s="96"/>
      <c r="F1" s="96"/>
      <c r="G1" s="96"/>
      <c r="H1" s="96"/>
      <c r="I1" s="96"/>
      <c r="J1" s="96"/>
      <c r="K1" s="96"/>
      <c r="L1" s="96"/>
      <c r="M1" s="96"/>
      <c r="N1" s="96"/>
      <c r="O1" s="96"/>
      <c r="P1" s="96"/>
      <c r="Q1" s="96"/>
      <c r="R1" s="96"/>
      <c r="S1" s="96"/>
      <c r="T1" s="96"/>
      <c r="U1" s="96"/>
      <c r="V1" s="96"/>
      <c r="W1" s="96"/>
      <c r="X1" s="96"/>
      <c r="Y1" s="96"/>
      <c r="Z1" s="96"/>
      <c r="AA1" s="96"/>
    </row>
    <row r="4" spans="1:27">
      <c r="A4" s="10" t="s">
        <v>215</v>
      </c>
    </row>
    <row r="5" spans="1:27">
      <c r="C5">
        <v>2014</v>
      </c>
      <c r="D5">
        <v>2015</v>
      </c>
      <c r="E5">
        <v>2016</v>
      </c>
      <c r="F5">
        <v>2017</v>
      </c>
      <c r="G5">
        <v>2018</v>
      </c>
      <c r="H5">
        <v>2019</v>
      </c>
      <c r="I5">
        <v>2020</v>
      </c>
      <c r="J5">
        <v>2021</v>
      </c>
      <c r="K5">
        <v>2022</v>
      </c>
      <c r="L5">
        <v>2023</v>
      </c>
      <c r="M5">
        <v>2024</v>
      </c>
      <c r="N5">
        <v>2025</v>
      </c>
    </row>
    <row r="6" spans="1:27">
      <c r="A6" t="s">
        <v>203</v>
      </c>
      <c r="B6" t="s">
        <v>170</v>
      </c>
      <c r="C6" s="14">
        <v>1013.874</v>
      </c>
      <c r="D6" s="14">
        <v>1016.2024</v>
      </c>
      <c r="E6" s="14">
        <v>1046.3806999999999</v>
      </c>
      <c r="F6" s="14">
        <v>1068.7370000000001</v>
      </c>
      <c r="G6" s="14">
        <v>1111.8421000000001</v>
      </c>
      <c r="H6" s="14">
        <v>1125.2801999999999</v>
      </c>
      <c r="I6" s="14">
        <v>1177.1973</v>
      </c>
      <c r="J6" s="14">
        <v>1191.5636</v>
      </c>
      <c r="K6" s="14">
        <v>1182.5048999999999</v>
      </c>
      <c r="L6" s="14">
        <v>1167.3124</v>
      </c>
      <c r="M6" s="14">
        <v>1224.3646000000001</v>
      </c>
      <c r="N6" s="14">
        <v>1275.6087</v>
      </c>
    </row>
    <row r="7" spans="1:27">
      <c r="B7" t="s">
        <v>162</v>
      </c>
      <c r="C7" s="14">
        <v>9400.3541999999998</v>
      </c>
      <c r="D7" s="14">
        <v>9512.8048999999992</v>
      </c>
      <c r="E7" s="14">
        <v>9619.7294000000002</v>
      </c>
      <c r="F7" s="14">
        <v>9765.0206999999991</v>
      </c>
      <c r="G7" s="14">
        <v>9886.1674000000003</v>
      </c>
      <c r="H7" s="14">
        <v>10144.0393</v>
      </c>
      <c r="I7" s="14">
        <v>10424.562</v>
      </c>
      <c r="J7" s="14">
        <v>10529.461300000001</v>
      </c>
      <c r="K7" s="14">
        <v>10428.7461</v>
      </c>
      <c r="L7" s="14">
        <v>10434.672200000001</v>
      </c>
      <c r="M7" s="14">
        <v>10779.9902</v>
      </c>
      <c r="N7" s="14">
        <v>11176.894200000001</v>
      </c>
    </row>
    <row r="8" spans="1:27">
      <c r="B8" t="s">
        <v>175</v>
      </c>
      <c r="C8" s="14">
        <v>2688.8</v>
      </c>
      <c r="D8" s="14">
        <v>2740.7869000000001</v>
      </c>
      <c r="E8" s="14">
        <v>2773.1089999999999</v>
      </c>
      <c r="F8" s="14">
        <v>2835.7993000000001</v>
      </c>
      <c r="G8" s="14">
        <v>2862.2806</v>
      </c>
      <c r="H8" s="14">
        <v>2928.6048999999998</v>
      </c>
      <c r="I8" s="14">
        <v>3035.7215999999999</v>
      </c>
      <c r="J8" s="14">
        <v>3064.1970000000001</v>
      </c>
      <c r="K8" s="14">
        <v>3033.1410999999998</v>
      </c>
      <c r="L8" s="14">
        <v>3060.9771000000001</v>
      </c>
      <c r="M8" s="14">
        <v>3194.1624999999999</v>
      </c>
      <c r="N8" s="14">
        <v>3306.1482999999998</v>
      </c>
    </row>
    <row r="9" spans="1:27">
      <c r="B9" t="s">
        <v>163</v>
      </c>
      <c r="C9" s="14">
        <v>1838.0595000000001</v>
      </c>
      <c r="D9" s="14">
        <v>1874.7348999999999</v>
      </c>
      <c r="E9" s="14">
        <v>1912.6898000000001</v>
      </c>
      <c r="F9" s="14">
        <v>1947.6724999999999</v>
      </c>
      <c r="G9" s="14">
        <v>1959.2982</v>
      </c>
      <c r="H9" s="14">
        <v>2001.6926000000001</v>
      </c>
      <c r="I9" s="14">
        <v>2046.6487999999999</v>
      </c>
      <c r="J9" s="14">
        <v>2103.0855000000001</v>
      </c>
      <c r="K9" s="14">
        <v>2090.5707000000002</v>
      </c>
      <c r="L9" s="14">
        <v>2092.8074000000001</v>
      </c>
      <c r="M9" s="14">
        <v>2151.1790999999998</v>
      </c>
      <c r="N9" s="14">
        <v>2243.1664999999998</v>
      </c>
    </row>
    <row r="10" spans="1:27">
      <c r="B10" t="s">
        <v>166</v>
      </c>
      <c r="C10" s="14">
        <v>340.33670000000001</v>
      </c>
      <c r="D10" s="14">
        <v>347.85419999999999</v>
      </c>
      <c r="E10" s="14">
        <v>339.02980000000002</v>
      </c>
      <c r="F10" s="14">
        <v>343.04739999999998</v>
      </c>
      <c r="G10" s="14">
        <v>345.69490000000002</v>
      </c>
      <c r="H10" s="14">
        <v>345.8159</v>
      </c>
      <c r="I10" s="14">
        <v>355.45359999999999</v>
      </c>
      <c r="J10" s="14">
        <v>364.2432</v>
      </c>
      <c r="K10" s="14">
        <v>344.38139999999999</v>
      </c>
      <c r="L10" s="14">
        <v>353.69450000000001</v>
      </c>
      <c r="M10" s="14">
        <v>356.41300000000001</v>
      </c>
      <c r="N10" s="14">
        <v>362.32139999999998</v>
      </c>
    </row>
    <row r="11" spans="1:27">
      <c r="B11" t="s">
        <v>167</v>
      </c>
      <c r="C11" s="14">
        <v>1091.7482</v>
      </c>
      <c r="D11" s="14">
        <v>1080.9513999999999</v>
      </c>
      <c r="E11" s="14">
        <v>1093.4066</v>
      </c>
      <c r="F11" s="14">
        <v>1123.9709</v>
      </c>
      <c r="G11" s="14">
        <v>1132.5559000000001</v>
      </c>
      <c r="H11" s="14">
        <v>1147.8622</v>
      </c>
      <c r="I11" s="14">
        <v>1174.1952000000001</v>
      </c>
      <c r="J11" s="14">
        <v>1192.5322000000001</v>
      </c>
      <c r="K11" s="14">
        <v>1204.0780999999999</v>
      </c>
      <c r="L11" s="14">
        <v>1196.5536</v>
      </c>
      <c r="M11" s="14">
        <v>1211.6280999999999</v>
      </c>
      <c r="N11" s="14">
        <v>1238.6385</v>
      </c>
    </row>
    <row r="12" spans="1:27">
      <c r="B12" t="s">
        <v>173</v>
      </c>
      <c r="C12" s="14">
        <v>723.25350000000003</v>
      </c>
      <c r="D12" s="14">
        <v>729.30529999999999</v>
      </c>
      <c r="E12" s="14">
        <v>748.35080000000005</v>
      </c>
      <c r="F12" s="14">
        <v>752.84450000000004</v>
      </c>
      <c r="G12" s="14">
        <v>765.65470000000005</v>
      </c>
      <c r="H12" s="14">
        <v>789.90520000000004</v>
      </c>
      <c r="I12" s="14">
        <v>808.1463</v>
      </c>
      <c r="J12" s="14">
        <v>828.70420000000001</v>
      </c>
      <c r="K12" s="14">
        <v>816.35029999999995</v>
      </c>
      <c r="L12" s="14">
        <v>794.19569999999999</v>
      </c>
      <c r="M12" s="14">
        <v>800.89490000000001</v>
      </c>
      <c r="N12" s="14">
        <v>821.08989999999994</v>
      </c>
    </row>
    <row r="13" spans="1:27">
      <c r="B13" t="s">
        <v>239</v>
      </c>
      <c r="C13" s="14">
        <v>1470.0905</v>
      </c>
      <c r="D13" s="14">
        <v>1471.5640000000001</v>
      </c>
      <c r="E13" s="14">
        <v>1501.6339</v>
      </c>
      <c r="F13" s="14">
        <v>1520.9197999999999</v>
      </c>
      <c r="G13" s="14">
        <v>1546.5607</v>
      </c>
      <c r="H13" s="14">
        <v>1577.2669000000001</v>
      </c>
      <c r="I13" s="14">
        <v>1627.9248</v>
      </c>
      <c r="J13" s="14">
        <v>1639.2662</v>
      </c>
      <c r="K13" s="14">
        <v>1649.4745</v>
      </c>
      <c r="L13" s="14">
        <v>1641.5300999999999</v>
      </c>
      <c r="M13" s="14">
        <v>1694.874</v>
      </c>
      <c r="N13" s="14">
        <v>1735.1516999999999</v>
      </c>
    </row>
    <row r="14" spans="1:27">
      <c r="B14" t="s">
        <v>176</v>
      </c>
      <c r="C14" s="14">
        <v>2881.5785999999998</v>
      </c>
      <c r="D14" s="14">
        <v>2903.7761</v>
      </c>
      <c r="E14" s="14">
        <v>2944.7691</v>
      </c>
      <c r="F14" s="14">
        <v>2949.0472</v>
      </c>
      <c r="G14" s="14">
        <v>2997.31</v>
      </c>
      <c r="H14" s="14">
        <v>3028.5812000000001</v>
      </c>
      <c r="I14" s="14">
        <v>3070.3040999999998</v>
      </c>
      <c r="J14" s="14">
        <v>3102.5886</v>
      </c>
      <c r="K14" s="14">
        <v>3013.1397999999999</v>
      </c>
      <c r="L14" s="14">
        <v>3006.1466</v>
      </c>
      <c r="M14" s="14">
        <v>3087.6167999999998</v>
      </c>
      <c r="N14" s="14">
        <v>3166.7952</v>
      </c>
    </row>
    <row r="15" spans="1:27">
      <c r="B15" t="s">
        <v>174</v>
      </c>
      <c r="C15" s="14">
        <v>305.35969999999998</v>
      </c>
      <c r="D15" s="14">
        <v>311.1884</v>
      </c>
      <c r="E15" s="14">
        <v>298.15980000000002</v>
      </c>
      <c r="F15" s="14">
        <v>310.5421</v>
      </c>
      <c r="G15" s="14">
        <v>311.92099999999999</v>
      </c>
      <c r="H15" s="14">
        <v>317.6431</v>
      </c>
      <c r="I15" s="14">
        <v>329.59160000000003</v>
      </c>
      <c r="J15" s="14">
        <v>333.93669999999997</v>
      </c>
      <c r="K15" s="14">
        <v>335.51560000000001</v>
      </c>
      <c r="L15" s="14">
        <v>330.17020000000002</v>
      </c>
      <c r="M15" s="14">
        <v>314.33499999999998</v>
      </c>
      <c r="N15" s="14">
        <v>319.2407</v>
      </c>
    </row>
    <row r="16" spans="1:27">
      <c r="B16" t="s">
        <v>169</v>
      </c>
      <c r="C16" s="14">
        <v>272.60410000000002</v>
      </c>
      <c r="D16" s="14">
        <v>274.18680000000001</v>
      </c>
      <c r="E16" s="14">
        <v>279.4923</v>
      </c>
      <c r="F16" s="14">
        <v>285.83890000000002</v>
      </c>
      <c r="G16" s="14">
        <v>289.6936</v>
      </c>
      <c r="H16" s="14">
        <v>293.67419999999998</v>
      </c>
      <c r="I16" s="14">
        <v>303.10469999999998</v>
      </c>
      <c r="J16" s="14">
        <v>301.43389999999999</v>
      </c>
      <c r="K16" s="14">
        <v>288.7423</v>
      </c>
      <c r="L16" s="14">
        <v>296.05590000000001</v>
      </c>
      <c r="M16" s="14">
        <v>326.9332</v>
      </c>
      <c r="N16" s="14">
        <v>341.83589999999998</v>
      </c>
    </row>
    <row r="17" spans="1:14">
      <c r="B17" t="s">
        <v>168</v>
      </c>
      <c r="C17" s="14">
        <v>257.93060000000003</v>
      </c>
      <c r="D17" s="14">
        <v>257.01760000000002</v>
      </c>
      <c r="E17" s="14">
        <v>265.76209999999998</v>
      </c>
      <c r="F17" s="14">
        <v>275.36320000000001</v>
      </c>
      <c r="G17" s="14">
        <v>267.08870000000002</v>
      </c>
      <c r="H17" s="14">
        <v>270.86059999999998</v>
      </c>
      <c r="I17" s="14">
        <v>273.94</v>
      </c>
      <c r="J17" s="14">
        <v>273.35129999999998</v>
      </c>
      <c r="K17" s="14">
        <v>277.61020000000002</v>
      </c>
      <c r="L17" s="14">
        <v>271.93380000000002</v>
      </c>
      <c r="M17" s="14">
        <v>276.94630000000001</v>
      </c>
      <c r="N17" s="14">
        <v>287.93900000000002</v>
      </c>
    </row>
    <row r="18" spans="1:14">
      <c r="B18" t="s">
        <v>177</v>
      </c>
      <c r="C18" s="14">
        <v>197.9093</v>
      </c>
      <c r="D18" s="14">
        <v>191.4151</v>
      </c>
      <c r="E18" s="14">
        <v>184.3021</v>
      </c>
      <c r="F18" s="14">
        <v>183.35079999999999</v>
      </c>
      <c r="G18" s="14">
        <v>185.64320000000001</v>
      </c>
      <c r="H18" s="14">
        <v>184.0291</v>
      </c>
      <c r="I18" s="14">
        <v>187.65469999999999</v>
      </c>
      <c r="J18" s="14">
        <v>187.09350000000001</v>
      </c>
      <c r="K18" s="14">
        <v>188.8374</v>
      </c>
      <c r="L18" s="14">
        <v>186.60400000000001</v>
      </c>
      <c r="M18" s="14">
        <v>192.02610000000001</v>
      </c>
      <c r="N18" s="14">
        <v>192.45910000000001</v>
      </c>
    </row>
    <row r="19" spans="1:14">
      <c r="B19" t="s">
        <v>164</v>
      </c>
      <c r="C19" s="14">
        <v>3237.9036000000001</v>
      </c>
      <c r="D19" s="14">
        <v>3283.8470000000002</v>
      </c>
      <c r="E19" s="14">
        <v>3341.8296999999998</v>
      </c>
      <c r="F19" s="14">
        <v>3359.0772000000002</v>
      </c>
      <c r="G19" s="14">
        <v>3396.9328</v>
      </c>
      <c r="H19" s="14">
        <v>3489.9306999999999</v>
      </c>
      <c r="I19" s="14">
        <v>3571.4519</v>
      </c>
      <c r="J19" s="14">
        <v>3705.9762999999998</v>
      </c>
      <c r="K19" s="14">
        <v>3749.6181000000001</v>
      </c>
      <c r="L19" s="14">
        <v>3731.8281000000002</v>
      </c>
      <c r="M19" s="14">
        <v>3906.5727000000002</v>
      </c>
      <c r="N19" s="14">
        <v>4082.91</v>
      </c>
    </row>
    <row r="20" spans="1:14">
      <c r="B20" t="s">
        <v>171</v>
      </c>
      <c r="C20" s="14">
        <v>1080.0798</v>
      </c>
      <c r="D20" s="14">
        <v>1115.0734</v>
      </c>
      <c r="E20" s="14">
        <v>1134.1112000000001</v>
      </c>
      <c r="F20" s="14">
        <v>1158.7506000000001</v>
      </c>
      <c r="G20" s="14">
        <v>1170.2791</v>
      </c>
      <c r="H20" s="14">
        <v>1203.0319</v>
      </c>
      <c r="I20" s="14">
        <v>1231.163</v>
      </c>
      <c r="J20" s="14">
        <v>1237.4711</v>
      </c>
      <c r="K20" s="14">
        <v>1222.9073000000001</v>
      </c>
      <c r="L20" s="14">
        <v>1213.3538000000001</v>
      </c>
      <c r="M20" s="14">
        <v>1261.7669000000001</v>
      </c>
      <c r="N20" s="14">
        <v>1306.5932</v>
      </c>
    </row>
    <row r="21" spans="1:14">
      <c r="B21" t="s">
        <v>172</v>
      </c>
      <c r="C21" s="14">
        <v>578.08789999999999</v>
      </c>
      <c r="D21" s="14">
        <v>576.21619999999996</v>
      </c>
      <c r="E21" s="14">
        <v>582.21680000000003</v>
      </c>
      <c r="F21" s="14">
        <v>584.23209999999995</v>
      </c>
      <c r="G21" s="14">
        <v>584.75519999999995</v>
      </c>
      <c r="H21" s="14">
        <v>589.86770000000001</v>
      </c>
      <c r="I21" s="14">
        <v>594.75450000000001</v>
      </c>
      <c r="J21" s="14">
        <v>592.61090000000002</v>
      </c>
      <c r="K21" s="14">
        <v>594.40219999999999</v>
      </c>
      <c r="L21" s="14">
        <v>591.63279999999997</v>
      </c>
      <c r="M21" s="14">
        <v>592.4837</v>
      </c>
      <c r="N21" s="14">
        <v>607.77700000000004</v>
      </c>
    </row>
    <row r="22" spans="1:14">
      <c r="B22" t="s">
        <v>165</v>
      </c>
      <c r="C22" s="14">
        <v>7.9194000000000004</v>
      </c>
      <c r="D22" s="14">
        <v>7.9610000000000003</v>
      </c>
      <c r="E22" s="14">
        <v>7.6878000000000002</v>
      </c>
      <c r="F22" s="14">
        <v>7.6985999999999999</v>
      </c>
      <c r="G22" s="14">
        <v>7.6898999999999997</v>
      </c>
      <c r="H22" s="14">
        <v>7.1981999999999999</v>
      </c>
      <c r="I22" s="14">
        <v>6.5594000000000001</v>
      </c>
      <c r="J22" s="14">
        <v>7.2925000000000004</v>
      </c>
      <c r="K22" s="14">
        <v>7.1300999999999997</v>
      </c>
      <c r="L22" s="14">
        <v>7.8994</v>
      </c>
      <c r="M22" s="14">
        <v>6.7366999999999999</v>
      </c>
      <c r="N22" s="14">
        <v>7.6064999999999996</v>
      </c>
    </row>
    <row r="23" spans="1:14">
      <c r="A23" t="s">
        <v>204</v>
      </c>
      <c r="B23" t="s">
        <v>170</v>
      </c>
      <c r="C23" s="14">
        <v>1052.8463999999999</v>
      </c>
      <c r="D23" s="14">
        <v>1060.9348</v>
      </c>
      <c r="E23" s="14">
        <v>1054.3901000000001</v>
      </c>
      <c r="F23" s="14">
        <v>1058.6949</v>
      </c>
      <c r="G23" s="14">
        <v>1027.5091</v>
      </c>
      <c r="H23" s="14">
        <v>1035.8841</v>
      </c>
      <c r="I23" s="14">
        <v>1067.0840000000001</v>
      </c>
      <c r="J23" s="14">
        <v>1105.4136000000001</v>
      </c>
      <c r="K23" s="14">
        <v>1107.9831999999999</v>
      </c>
      <c r="L23" s="14">
        <v>1124.6532999999999</v>
      </c>
      <c r="M23" s="14">
        <v>1141.7717</v>
      </c>
      <c r="N23" s="14">
        <v>1164.5088000000001</v>
      </c>
    </row>
    <row r="24" spans="1:14">
      <c r="B24" t="s">
        <v>162</v>
      </c>
      <c r="C24" s="14">
        <v>6583.6253999999999</v>
      </c>
      <c r="D24" s="14">
        <v>6616.7525999999998</v>
      </c>
      <c r="E24" s="14">
        <v>6661.7145</v>
      </c>
      <c r="F24" s="14">
        <v>6709.1988000000001</v>
      </c>
      <c r="G24" s="14">
        <v>6740.9921000000004</v>
      </c>
      <c r="H24" s="14">
        <v>6820.4439000000002</v>
      </c>
      <c r="I24" s="14">
        <v>6959.8096999999998</v>
      </c>
      <c r="J24" s="14">
        <v>7050.7106000000003</v>
      </c>
      <c r="K24" s="14">
        <v>7022.8971000000001</v>
      </c>
      <c r="L24" s="14">
        <v>7102.3720000000003</v>
      </c>
      <c r="M24" s="14">
        <v>7398.0671000000002</v>
      </c>
      <c r="N24" s="14">
        <v>7738.3656000000001</v>
      </c>
    </row>
    <row r="25" spans="1:14">
      <c r="B25" t="s">
        <v>175</v>
      </c>
      <c r="C25" s="14">
        <v>2196.8793000000001</v>
      </c>
      <c r="D25" s="14">
        <v>2185.7271000000001</v>
      </c>
      <c r="E25" s="14">
        <v>2236.6102999999998</v>
      </c>
      <c r="F25" s="14">
        <v>2270.3407000000002</v>
      </c>
      <c r="G25" s="14">
        <v>2298.2091999999998</v>
      </c>
      <c r="H25" s="14">
        <v>2349.0673999999999</v>
      </c>
      <c r="I25" s="14">
        <v>2439.2235999999998</v>
      </c>
      <c r="J25" s="14">
        <v>2524.2631999999999</v>
      </c>
      <c r="K25" s="14">
        <v>2546.4474</v>
      </c>
      <c r="L25" s="14">
        <v>2569.1525000000001</v>
      </c>
      <c r="M25" s="14">
        <v>2713.9187000000002</v>
      </c>
      <c r="N25" s="14">
        <v>2766.9232000000002</v>
      </c>
    </row>
    <row r="26" spans="1:14">
      <c r="B26" t="s">
        <v>163</v>
      </c>
      <c r="C26" s="14">
        <v>1527.8099</v>
      </c>
      <c r="D26" s="14">
        <v>1527.8768</v>
      </c>
      <c r="E26" s="14">
        <v>1559.7157999999999</v>
      </c>
      <c r="F26" s="14">
        <v>1572.2568000000001</v>
      </c>
      <c r="G26" s="14">
        <v>1617.2056</v>
      </c>
      <c r="H26" s="14">
        <v>1623.3924</v>
      </c>
      <c r="I26" s="14">
        <v>1678.7253000000001</v>
      </c>
      <c r="J26" s="14">
        <v>1713.1170999999999</v>
      </c>
      <c r="K26" s="14">
        <v>1727.3620000000001</v>
      </c>
      <c r="L26" s="14">
        <v>1736.8634</v>
      </c>
      <c r="M26" s="14">
        <v>1808.0722000000001</v>
      </c>
      <c r="N26" s="14">
        <v>1845.4847</v>
      </c>
    </row>
    <row r="27" spans="1:14">
      <c r="B27" t="s">
        <v>166</v>
      </c>
      <c r="C27" s="14">
        <v>346.8698</v>
      </c>
      <c r="D27" s="14">
        <v>354.18270000000001</v>
      </c>
      <c r="E27" s="14">
        <v>355.3021</v>
      </c>
      <c r="F27" s="14">
        <v>358.3655</v>
      </c>
      <c r="G27" s="14">
        <v>353.84539999999998</v>
      </c>
      <c r="H27" s="14">
        <v>358.2808</v>
      </c>
      <c r="I27" s="14">
        <v>373.20890000000003</v>
      </c>
      <c r="J27" s="14">
        <v>375.33260000000001</v>
      </c>
      <c r="K27" s="14">
        <v>394.70280000000002</v>
      </c>
      <c r="L27" s="14">
        <v>393.20760000000001</v>
      </c>
      <c r="M27" s="14">
        <v>422.04689999999999</v>
      </c>
      <c r="N27" s="14">
        <v>433.16640000000001</v>
      </c>
    </row>
    <row r="28" spans="1:14">
      <c r="B28" t="s">
        <v>167</v>
      </c>
      <c r="C28" s="14">
        <v>917.43700000000001</v>
      </c>
      <c r="D28" s="14">
        <v>917.63419999999996</v>
      </c>
      <c r="E28" s="14">
        <v>929.20550000000003</v>
      </c>
      <c r="F28" s="14">
        <v>930.78470000000004</v>
      </c>
      <c r="G28" s="14">
        <v>942.07839999999999</v>
      </c>
      <c r="H28" s="14">
        <v>951.3451</v>
      </c>
      <c r="I28" s="14">
        <v>958.8356</v>
      </c>
      <c r="J28" s="14">
        <v>978.90679999999998</v>
      </c>
      <c r="K28" s="14">
        <v>991.08839999999998</v>
      </c>
      <c r="L28" s="14">
        <v>982.51059999999995</v>
      </c>
      <c r="M28" s="14">
        <v>1000.9432</v>
      </c>
      <c r="N28" s="14">
        <v>1018.3566</v>
      </c>
    </row>
    <row r="29" spans="1:14">
      <c r="B29" t="s">
        <v>173</v>
      </c>
      <c r="C29" s="14">
        <v>612.33040000000005</v>
      </c>
      <c r="D29" s="14">
        <v>614.80960000000005</v>
      </c>
      <c r="E29" s="14">
        <v>611.39290000000005</v>
      </c>
      <c r="F29" s="14">
        <v>610.17319999999995</v>
      </c>
      <c r="G29" s="14">
        <v>609.20730000000003</v>
      </c>
      <c r="H29" s="14">
        <v>614.51289999999995</v>
      </c>
      <c r="I29" s="14">
        <v>632.07479999999998</v>
      </c>
      <c r="J29" s="14">
        <v>649.83429999999998</v>
      </c>
      <c r="K29" s="14">
        <v>656.13959999999997</v>
      </c>
      <c r="L29" s="14">
        <v>681.69</v>
      </c>
      <c r="M29" s="14">
        <v>698.34479999999996</v>
      </c>
      <c r="N29" s="14">
        <v>714.26340000000005</v>
      </c>
    </row>
    <row r="30" spans="1:14">
      <c r="B30" t="s">
        <v>239</v>
      </c>
      <c r="C30" s="14">
        <v>1244.5572</v>
      </c>
      <c r="D30" s="14">
        <v>1244.6216999999999</v>
      </c>
      <c r="E30" s="14">
        <v>1241.3685</v>
      </c>
      <c r="F30" s="14">
        <v>1255.3056999999999</v>
      </c>
      <c r="G30" s="14">
        <v>1254.2412999999999</v>
      </c>
      <c r="H30" s="14">
        <v>1267.0713000000001</v>
      </c>
      <c r="I30" s="14">
        <v>1297.7713000000001</v>
      </c>
      <c r="J30" s="14">
        <v>1320.9509</v>
      </c>
      <c r="K30" s="14">
        <v>1323.8344999999999</v>
      </c>
      <c r="L30" s="14">
        <v>1319.8164999999999</v>
      </c>
      <c r="M30" s="14">
        <v>1360.1328000000001</v>
      </c>
      <c r="N30" s="14">
        <v>1398.4758999999999</v>
      </c>
    </row>
    <row r="31" spans="1:14">
      <c r="B31" t="s">
        <v>176</v>
      </c>
      <c r="C31" s="14">
        <v>2171.5902000000001</v>
      </c>
      <c r="D31" s="14">
        <v>2186.4989999999998</v>
      </c>
      <c r="E31" s="14">
        <v>2201.6288</v>
      </c>
      <c r="F31" s="14">
        <v>2224.0990000000002</v>
      </c>
      <c r="G31" s="14">
        <v>2232.3159000000001</v>
      </c>
      <c r="H31" s="14">
        <v>2239.3443000000002</v>
      </c>
      <c r="I31" s="14">
        <v>2276.4692</v>
      </c>
      <c r="J31" s="14">
        <v>2327.7981</v>
      </c>
      <c r="K31" s="14">
        <v>2301.9029999999998</v>
      </c>
      <c r="L31" s="14">
        <v>2300.3206</v>
      </c>
      <c r="M31" s="14">
        <v>2356.6329000000001</v>
      </c>
      <c r="N31" s="14">
        <v>2408.6505000000002</v>
      </c>
    </row>
    <row r="32" spans="1:14">
      <c r="B32" t="s">
        <v>174</v>
      </c>
      <c r="C32" s="14">
        <v>228.3426</v>
      </c>
      <c r="D32" s="14">
        <v>234.02680000000001</v>
      </c>
      <c r="E32" s="14">
        <v>231.43270000000001</v>
      </c>
      <c r="F32" s="14">
        <v>236.81700000000001</v>
      </c>
      <c r="G32" s="14">
        <v>246.57579999999999</v>
      </c>
      <c r="H32" s="14">
        <v>247.5556</v>
      </c>
      <c r="I32" s="14">
        <v>246.9512</v>
      </c>
      <c r="J32" s="14">
        <v>247.4392</v>
      </c>
      <c r="K32" s="14">
        <v>241.2337</v>
      </c>
      <c r="L32" s="14">
        <v>242.91890000000001</v>
      </c>
      <c r="M32" s="14">
        <v>251.97739999999999</v>
      </c>
      <c r="N32" s="14">
        <v>251.11539999999999</v>
      </c>
    </row>
    <row r="33" spans="1:14">
      <c r="B33" t="s">
        <v>169</v>
      </c>
      <c r="C33" s="14">
        <v>268.4658</v>
      </c>
      <c r="D33" s="14">
        <v>266.0702</v>
      </c>
      <c r="E33" s="14">
        <v>263.68400000000003</v>
      </c>
      <c r="F33" s="14">
        <v>265.96570000000003</v>
      </c>
      <c r="G33" s="14">
        <v>265.42020000000002</v>
      </c>
      <c r="H33" s="14">
        <v>260.24939999999998</v>
      </c>
      <c r="I33" s="14">
        <v>273.13130000000001</v>
      </c>
      <c r="J33" s="14">
        <v>276.73289999999997</v>
      </c>
      <c r="K33" s="14">
        <v>271.38049999999998</v>
      </c>
      <c r="L33" s="14">
        <v>271.9889</v>
      </c>
      <c r="M33" s="14">
        <v>270.07229999999998</v>
      </c>
      <c r="N33" s="14">
        <v>280.52670000000001</v>
      </c>
    </row>
    <row r="34" spans="1:14">
      <c r="B34" t="s">
        <v>168</v>
      </c>
      <c r="C34" s="14">
        <v>171.69229999999999</v>
      </c>
      <c r="D34" s="14">
        <v>170.51159999999999</v>
      </c>
      <c r="E34" s="14">
        <v>168.33179999999999</v>
      </c>
      <c r="F34" s="14">
        <v>167.4759</v>
      </c>
      <c r="G34" s="14">
        <v>169.63339999999999</v>
      </c>
      <c r="H34" s="14">
        <v>177.74950000000001</v>
      </c>
      <c r="I34" s="14">
        <v>189.5367</v>
      </c>
      <c r="J34" s="14">
        <v>194.58850000000001</v>
      </c>
      <c r="K34" s="14">
        <v>190.2182</v>
      </c>
      <c r="L34" s="14">
        <v>193.53790000000001</v>
      </c>
      <c r="M34" s="14">
        <v>196.62719999999999</v>
      </c>
      <c r="N34" s="14">
        <v>201.50489999999999</v>
      </c>
    </row>
    <row r="35" spans="1:14">
      <c r="B35" t="s">
        <v>177</v>
      </c>
      <c r="C35" s="14">
        <v>175.0112</v>
      </c>
      <c r="D35" s="14">
        <v>167.732</v>
      </c>
      <c r="E35" s="14">
        <v>163.34460000000001</v>
      </c>
      <c r="F35" s="14">
        <v>160.20859999999999</v>
      </c>
      <c r="G35" s="14">
        <v>161.91300000000001</v>
      </c>
      <c r="H35" s="14">
        <v>154.57419999999999</v>
      </c>
      <c r="I35" s="14">
        <v>165.69159999999999</v>
      </c>
      <c r="J35" s="14">
        <v>170.83459999999999</v>
      </c>
      <c r="K35" s="14">
        <v>170.36750000000001</v>
      </c>
      <c r="L35" s="14">
        <v>168.18459999999999</v>
      </c>
      <c r="M35" s="14">
        <v>167.63200000000001</v>
      </c>
      <c r="N35" s="14">
        <v>172.6465</v>
      </c>
    </row>
    <row r="36" spans="1:14">
      <c r="B36" t="s">
        <v>164</v>
      </c>
      <c r="C36" s="14">
        <v>2567.2015000000001</v>
      </c>
      <c r="D36" s="14">
        <v>2573.3883000000001</v>
      </c>
      <c r="E36" s="14">
        <v>2601.0120000000002</v>
      </c>
      <c r="F36" s="14">
        <v>2686.1849000000002</v>
      </c>
      <c r="G36" s="14">
        <v>2742.9946</v>
      </c>
      <c r="H36" s="14">
        <v>2792.6095</v>
      </c>
      <c r="I36" s="14">
        <v>2831.8103000000001</v>
      </c>
      <c r="J36" s="14">
        <v>2879.0754000000002</v>
      </c>
      <c r="K36" s="14">
        <v>2901.616</v>
      </c>
      <c r="L36" s="14">
        <v>2939.9317999999998</v>
      </c>
      <c r="M36" s="14">
        <v>3027.6635000000001</v>
      </c>
      <c r="N36" s="14">
        <v>3133.2811000000002</v>
      </c>
    </row>
    <row r="37" spans="1:14">
      <c r="B37" t="s">
        <v>171</v>
      </c>
      <c r="C37" s="14">
        <v>1057.4945</v>
      </c>
      <c r="D37" s="14">
        <v>1062.2786000000001</v>
      </c>
      <c r="E37" s="14">
        <v>1057.2637999999999</v>
      </c>
      <c r="F37" s="14">
        <v>1072.9090000000001</v>
      </c>
      <c r="G37" s="14">
        <v>1096.8833</v>
      </c>
      <c r="H37" s="14">
        <v>1103.5125</v>
      </c>
      <c r="I37" s="14">
        <v>1126.8088</v>
      </c>
      <c r="J37" s="14">
        <v>1133.1935000000001</v>
      </c>
      <c r="K37" s="14">
        <v>1144.4541999999999</v>
      </c>
      <c r="L37" s="14">
        <v>1138.6068</v>
      </c>
      <c r="M37" s="14">
        <v>1188.3979999999999</v>
      </c>
      <c r="N37" s="14">
        <v>1239.4005</v>
      </c>
    </row>
    <row r="38" spans="1:14">
      <c r="B38" t="s">
        <v>172</v>
      </c>
      <c r="C38" s="14">
        <v>591.82410000000004</v>
      </c>
      <c r="D38" s="14">
        <v>593.24360000000001</v>
      </c>
      <c r="E38" s="14">
        <v>590.50189999999998</v>
      </c>
      <c r="F38" s="14">
        <v>584.5548</v>
      </c>
      <c r="G38" s="14">
        <v>582.50340000000006</v>
      </c>
      <c r="H38" s="14">
        <v>603.07809999999995</v>
      </c>
      <c r="I38" s="14">
        <v>619.54420000000005</v>
      </c>
      <c r="J38" s="14">
        <v>632.36980000000005</v>
      </c>
      <c r="K38" s="14">
        <v>632.75350000000003</v>
      </c>
      <c r="L38" s="14">
        <v>637.31050000000005</v>
      </c>
      <c r="M38" s="14">
        <v>661.10699999999997</v>
      </c>
      <c r="N38" s="14">
        <v>672.56769999999995</v>
      </c>
    </row>
    <row r="39" spans="1:14">
      <c r="B39" t="s">
        <v>42</v>
      </c>
      <c r="C39" s="14">
        <v>292.21789999999999</v>
      </c>
      <c r="D39" s="14">
        <v>286.87189999999998</v>
      </c>
      <c r="E39" s="14">
        <v>276.9033</v>
      </c>
      <c r="F39" s="14">
        <v>283.82920000000001</v>
      </c>
      <c r="G39" s="14">
        <v>283.90320000000003</v>
      </c>
      <c r="H39" s="14">
        <v>288.4479</v>
      </c>
      <c r="I39" s="14">
        <v>305.09769999999997</v>
      </c>
      <c r="J39" s="14">
        <v>330.05130000000003</v>
      </c>
      <c r="K39" s="14">
        <v>387.06079999999997</v>
      </c>
      <c r="L39" s="14">
        <v>415.35579999999999</v>
      </c>
      <c r="M39" s="14">
        <v>430.95330000000001</v>
      </c>
      <c r="N39" s="14">
        <v>472.77370000000002</v>
      </c>
    </row>
    <row r="40" spans="1:14">
      <c r="A40" t="s">
        <v>37</v>
      </c>
      <c r="B40" t="s">
        <v>170</v>
      </c>
      <c r="C40" s="14">
        <v>2066.7204000000002</v>
      </c>
      <c r="D40" s="14">
        <v>2077.1372000000001</v>
      </c>
      <c r="E40" s="14">
        <v>2100.7707999999998</v>
      </c>
      <c r="F40" s="14">
        <v>2127.4319</v>
      </c>
      <c r="G40" s="14">
        <v>2139.3512000000001</v>
      </c>
      <c r="H40" s="14">
        <v>2161.1642999999999</v>
      </c>
      <c r="I40" s="14">
        <v>2244.2813000000001</v>
      </c>
      <c r="J40" s="14">
        <v>2296.9771999999998</v>
      </c>
      <c r="K40" s="14">
        <v>2290.4881</v>
      </c>
      <c r="L40" s="14">
        <v>2291.9657000000002</v>
      </c>
      <c r="M40" s="14">
        <v>2366.1363000000001</v>
      </c>
      <c r="N40" s="14">
        <v>2440.1174999999998</v>
      </c>
    </row>
    <row r="41" spans="1:14">
      <c r="B41" t="s">
        <v>162</v>
      </c>
      <c r="C41" s="14">
        <v>15983.979600000001</v>
      </c>
      <c r="D41" s="14">
        <v>16129.557500000001</v>
      </c>
      <c r="E41" s="14">
        <v>16281.4439</v>
      </c>
      <c r="F41" s="14">
        <v>16474.219499999999</v>
      </c>
      <c r="G41" s="14">
        <v>16627.159500000002</v>
      </c>
      <c r="H41" s="14">
        <v>16964.483199999999</v>
      </c>
      <c r="I41" s="14">
        <v>17384.3717</v>
      </c>
      <c r="J41" s="14">
        <v>17580.171900000001</v>
      </c>
      <c r="K41" s="14">
        <v>17451.643199999999</v>
      </c>
      <c r="L41" s="14">
        <v>17537.0442</v>
      </c>
      <c r="M41" s="14">
        <v>18178.0573</v>
      </c>
      <c r="N41" s="14">
        <v>18915.2598</v>
      </c>
    </row>
    <row r="42" spans="1:14">
      <c r="B42" t="s">
        <v>175</v>
      </c>
      <c r="C42" s="14">
        <v>4885.6792999999998</v>
      </c>
      <c r="D42" s="14">
        <v>4926.5140000000001</v>
      </c>
      <c r="E42" s="14">
        <v>5009.7192999999997</v>
      </c>
      <c r="F42" s="14">
        <v>5106.1400000000003</v>
      </c>
      <c r="G42" s="14">
        <v>5160.4898000000003</v>
      </c>
      <c r="H42" s="14">
        <v>5277.6723000000002</v>
      </c>
      <c r="I42" s="14">
        <v>5474.9452000000001</v>
      </c>
      <c r="J42" s="14">
        <v>5588.4602000000004</v>
      </c>
      <c r="K42" s="14">
        <v>5579.5884999999998</v>
      </c>
      <c r="L42" s="14">
        <v>5630.1296000000002</v>
      </c>
      <c r="M42" s="14">
        <v>5908.0811999999996</v>
      </c>
      <c r="N42" s="14">
        <v>6073.0715</v>
      </c>
    </row>
    <row r="43" spans="1:14">
      <c r="B43" t="s">
        <v>163</v>
      </c>
      <c r="C43" s="14">
        <v>3365.8694</v>
      </c>
      <c r="D43" s="14">
        <v>3402.6116999999999</v>
      </c>
      <c r="E43" s="14">
        <v>3472.4056</v>
      </c>
      <c r="F43" s="14">
        <v>3519.9292999999998</v>
      </c>
      <c r="G43" s="14">
        <v>3576.5038</v>
      </c>
      <c r="H43" s="14">
        <v>3625.085</v>
      </c>
      <c r="I43" s="14">
        <v>3725.3741</v>
      </c>
      <c r="J43" s="14">
        <v>3816.2026000000001</v>
      </c>
      <c r="K43" s="14">
        <v>3817.9326999999998</v>
      </c>
      <c r="L43" s="14">
        <v>3829.6707999999999</v>
      </c>
      <c r="M43" s="14">
        <v>3959.2512999999999</v>
      </c>
      <c r="N43" s="14">
        <v>4088.6511999999998</v>
      </c>
    </row>
    <row r="44" spans="1:14">
      <c r="B44" t="s">
        <v>166</v>
      </c>
      <c r="C44" s="14">
        <v>687.20650000000001</v>
      </c>
      <c r="D44" s="14">
        <v>702.03689999999995</v>
      </c>
      <c r="E44" s="14">
        <v>694.33190000000002</v>
      </c>
      <c r="F44" s="14">
        <v>701.41290000000004</v>
      </c>
      <c r="G44" s="14">
        <v>699.5403</v>
      </c>
      <c r="H44" s="14">
        <v>704.09670000000006</v>
      </c>
      <c r="I44" s="14">
        <v>728.66250000000002</v>
      </c>
      <c r="J44" s="14">
        <v>739.57579999999996</v>
      </c>
      <c r="K44" s="14">
        <v>739.08420000000001</v>
      </c>
      <c r="L44" s="14">
        <v>746.90210000000002</v>
      </c>
      <c r="M44" s="14">
        <v>778.45989999999995</v>
      </c>
      <c r="N44" s="14">
        <v>795.48779999999999</v>
      </c>
    </row>
    <row r="45" spans="1:14">
      <c r="B45" t="s">
        <v>167</v>
      </c>
      <c r="C45" s="14">
        <v>2009.1851999999999</v>
      </c>
      <c r="D45" s="14">
        <v>1998.5856000000001</v>
      </c>
      <c r="E45" s="14">
        <v>2022.6121000000001</v>
      </c>
      <c r="F45" s="14">
        <v>2054.7556</v>
      </c>
      <c r="G45" s="14">
        <v>2074.6343000000002</v>
      </c>
      <c r="H45" s="14">
        <v>2099.2073</v>
      </c>
      <c r="I45" s="14">
        <v>2133.0308</v>
      </c>
      <c r="J45" s="14">
        <v>2171.4389999999999</v>
      </c>
      <c r="K45" s="14">
        <v>2195.1664999999998</v>
      </c>
      <c r="L45" s="14">
        <v>2179.0641999999998</v>
      </c>
      <c r="M45" s="14">
        <v>2212.5713000000001</v>
      </c>
      <c r="N45" s="14">
        <v>2256.9951000000001</v>
      </c>
    </row>
    <row r="46" spans="1:14">
      <c r="B46" t="s">
        <v>173</v>
      </c>
      <c r="C46" s="14">
        <v>1335.5839000000001</v>
      </c>
      <c r="D46" s="14">
        <v>1344.1149</v>
      </c>
      <c r="E46" s="14">
        <v>1359.7437</v>
      </c>
      <c r="F46" s="14">
        <v>1363.0177000000001</v>
      </c>
      <c r="G46" s="14">
        <v>1374.8620000000001</v>
      </c>
      <c r="H46" s="14">
        <v>1404.4181000000001</v>
      </c>
      <c r="I46" s="14">
        <v>1440.2211</v>
      </c>
      <c r="J46" s="14">
        <v>1478.5385000000001</v>
      </c>
      <c r="K46" s="14">
        <v>1472.4899</v>
      </c>
      <c r="L46" s="14">
        <v>1475.8857</v>
      </c>
      <c r="M46" s="14">
        <v>1499.2397000000001</v>
      </c>
      <c r="N46" s="14">
        <v>1535.3533</v>
      </c>
    </row>
    <row r="47" spans="1:14">
      <c r="B47" t="s">
        <v>239</v>
      </c>
      <c r="C47" s="14">
        <v>2714.6477</v>
      </c>
      <c r="D47" s="14">
        <v>2716.1857</v>
      </c>
      <c r="E47" s="14">
        <v>2743.0023999999999</v>
      </c>
      <c r="F47" s="14">
        <v>2776.2255</v>
      </c>
      <c r="G47" s="14">
        <v>2800.8020000000001</v>
      </c>
      <c r="H47" s="14">
        <v>2844.3382000000001</v>
      </c>
      <c r="I47" s="14">
        <v>2925.6961000000001</v>
      </c>
      <c r="J47" s="14">
        <v>2960.2170999999998</v>
      </c>
      <c r="K47" s="14">
        <v>2973.3090000000002</v>
      </c>
      <c r="L47" s="14">
        <v>2961.3465999999999</v>
      </c>
      <c r="M47" s="14">
        <v>3055.0068000000001</v>
      </c>
      <c r="N47" s="14">
        <v>3133.6275999999998</v>
      </c>
    </row>
    <row r="48" spans="1:14">
      <c r="B48" t="s">
        <v>176</v>
      </c>
      <c r="C48" s="14">
        <v>5053.1688000000004</v>
      </c>
      <c r="D48" s="14">
        <v>5090.2750999999998</v>
      </c>
      <c r="E48" s="14">
        <v>5146.3978999999999</v>
      </c>
      <c r="F48" s="14">
        <v>5173.1462000000001</v>
      </c>
      <c r="G48" s="14">
        <v>5229.6259</v>
      </c>
      <c r="H48" s="14">
        <v>5267.9255000000003</v>
      </c>
      <c r="I48" s="14">
        <v>5346.7732999999998</v>
      </c>
      <c r="J48" s="14">
        <v>5430.3867</v>
      </c>
      <c r="K48" s="14">
        <v>5315.0428000000002</v>
      </c>
      <c r="L48" s="14">
        <v>5306.4672</v>
      </c>
      <c r="M48" s="14">
        <v>5444.2497000000003</v>
      </c>
      <c r="N48" s="14">
        <v>5575.4457000000002</v>
      </c>
    </row>
    <row r="49" spans="2:14">
      <c r="B49" t="s">
        <v>174</v>
      </c>
      <c r="C49" s="14">
        <v>533.70230000000004</v>
      </c>
      <c r="D49" s="14">
        <v>545.21519999999998</v>
      </c>
      <c r="E49" s="14">
        <v>529.59249999999997</v>
      </c>
      <c r="F49" s="14">
        <v>547.35910000000001</v>
      </c>
      <c r="G49" s="14">
        <v>558.49680000000001</v>
      </c>
      <c r="H49" s="14">
        <v>565.19870000000003</v>
      </c>
      <c r="I49" s="14">
        <v>576.54280000000006</v>
      </c>
      <c r="J49" s="14">
        <v>581.3759</v>
      </c>
      <c r="K49" s="14">
        <v>576.74929999999995</v>
      </c>
      <c r="L49" s="14">
        <v>573.08910000000003</v>
      </c>
      <c r="M49" s="14">
        <v>566.31240000000003</v>
      </c>
      <c r="N49" s="14">
        <v>570.35609999999997</v>
      </c>
    </row>
    <row r="50" spans="2:14">
      <c r="B50" t="s">
        <v>169</v>
      </c>
      <c r="C50" s="14">
        <v>541.06989999999996</v>
      </c>
      <c r="D50" s="14">
        <v>540.25699999999995</v>
      </c>
      <c r="E50" s="14">
        <v>543.17629999999997</v>
      </c>
      <c r="F50" s="14">
        <v>551.80460000000005</v>
      </c>
      <c r="G50" s="14">
        <v>555.11379999999997</v>
      </c>
      <c r="H50" s="14">
        <v>553.92359999999996</v>
      </c>
      <c r="I50" s="14">
        <v>576.23599999999999</v>
      </c>
      <c r="J50" s="14">
        <v>578.16679999999997</v>
      </c>
      <c r="K50" s="14">
        <v>560.12279999999998</v>
      </c>
      <c r="L50" s="14">
        <v>568.04480000000001</v>
      </c>
      <c r="M50" s="14">
        <v>597.00549999999998</v>
      </c>
      <c r="N50" s="14">
        <v>622.36260000000004</v>
      </c>
    </row>
    <row r="51" spans="2:14">
      <c r="B51" t="s">
        <v>168</v>
      </c>
      <c r="C51" s="14">
        <v>429.62290000000002</v>
      </c>
      <c r="D51" s="14">
        <v>427.5292</v>
      </c>
      <c r="E51" s="14">
        <v>434.09390000000002</v>
      </c>
      <c r="F51" s="14">
        <v>442.83909999999997</v>
      </c>
      <c r="G51" s="14">
        <v>436.72210000000001</v>
      </c>
      <c r="H51" s="14">
        <v>448.61009999999999</v>
      </c>
      <c r="I51" s="14">
        <v>463.47669999999999</v>
      </c>
      <c r="J51" s="14">
        <v>467.93979999999999</v>
      </c>
      <c r="K51" s="14">
        <v>467.82839999999999</v>
      </c>
      <c r="L51" s="14">
        <v>465.4717</v>
      </c>
      <c r="M51" s="14">
        <v>473.57350000000002</v>
      </c>
      <c r="N51" s="14">
        <v>489.44389999999999</v>
      </c>
    </row>
    <row r="52" spans="2:14">
      <c r="B52" t="s">
        <v>177</v>
      </c>
      <c r="C52" s="14">
        <v>372.9205</v>
      </c>
      <c r="D52" s="14">
        <v>359.14710000000002</v>
      </c>
      <c r="E52" s="14">
        <v>347.64670000000001</v>
      </c>
      <c r="F52" s="14">
        <v>343.55939999999998</v>
      </c>
      <c r="G52" s="14">
        <v>347.55619999999999</v>
      </c>
      <c r="H52" s="14">
        <v>338.60329999999999</v>
      </c>
      <c r="I52" s="14">
        <v>353.34629999999999</v>
      </c>
      <c r="J52" s="14">
        <v>357.92809999999997</v>
      </c>
      <c r="K52" s="14">
        <v>359.20490000000001</v>
      </c>
      <c r="L52" s="14">
        <v>354.78859999999997</v>
      </c>
      <c r="M52" s="14">
        <v>359.65809999999999</v>
      </c>
      <c r="N52" s="14">
        <v>365.10559999999998</v>
      </c>
    </row>
    <row r="53" spans="2:14">
      <c r="B53" t="s">
        <v>164</v>
      </c>
      <c r="C53" s="14">
        <v>5805.1050999999998</v>
      </c>
      <c r="D53" s="14">
        <v>5857.2353000000003</v>
      </c>
      <c r="E53" s="14">
        <v>5942.8416999999999</v>
      </c>
      <c r="F53" s="14">
        <v>6045.2620999999999</v>
      </c>
      <c r="G53" s="14">
        <v>6139.9273999999996</v>
      </c>
      <c r="H53" s="14">
        <v>6282.5402000000004</v>
      </c>
      <c r="I53" s="14">
        <v>6403.2622000000001</v>
      </c>
      <c r="J53" s="14">
        <v>6585.0517</v>
      </c>
      <c r="K53" s="14">
        <v>6651.2340999999997</v>
      </c>
      <c r="L53" s="14">
        <v>6671.7599</v>
      </c>
      <c r="M53" s="14">
        <v>6934.2362000000003</v>
      </c>
      <c r="N53" s="14">
        <v>7216.1911</v>
      </c>
    </row>
    <row r="54" spans="2:14">
      <c r="B54" t="s">
        <v>171</v>
      </c>
      <c r="C54" s="14">
        <v>2137.5743000000002</v>
      </c>
      <c r="D54" s="14">
        <v>2177.3519999999999</v>
      </c>
      <c r="E54" s="14">
        <v>2191.375</v>
      </c>
      <c r="F54" s="14">
        <v>2231.6596</v>
      </c>
      <c r="G54" s="14">
        <v>2267.1624000000002</v>
      </c>
      <c r="H54" s="14">
        <v>2306.5444000000002</v>
      </c>
      <c r="I54" s="14">
        <v>2357.9717999999998</v>
      </c>
      <c r="J54" s="14">
        <v>2370.6646000000001</v>
      </c>
      <c r="K54" s="14">
        <v>2367.3615</v>
      </c>
      <c r="L54" s="14">
        <v>2351.9605999999999</v>
      </c>
      <c r="M54" s="14">
        <v>2450.1649000000002</v>
      </c>
      <c r="N54" s="14">
        <v>2545.9937</v>
      </c>
    </row>
    <row r="55" spans="2:14">
      <c r="B55" t="s">
        <v>172</v>
      </c>
      <c r="C55" s="14">
        <v>1169.912</v>
      </c>
      <c r="D55" s="14">
        <v>1169.4598000000001</v>
      </c>
      <c r="E55" s="14">
        <v>1172.7186999999999</v>
      </c>
      <c r="F55" s="14">
        <v>1168.7869000000001</v>
      </c>
      <c r="G55" s="14">
        <v>1167.2585999999999</v>
      </c>
      <c r="H55" s="14">
        <v>1192.9458</v>
      </c>
      <c r="I55" s="14">
        <v>1214.2987000000001</v>
      </c>
      <c r="J55" s="14">
        <v>1224.9807000000001</v>
      </c>
      <c r="K55" s="14">
        <v>1227.1557</v>
      </c>
      <c r="L55" s="14">
        <v>1228.9432999999999</v>
      </c>
      <c r="M55" s="14">
        <v>1253.5907</v>
      </c>
      <c r="N55" s="14">
        <v>1280.3447000000001</v>
      </c>
    </row>
    <row r="56" spans="2:14">
      <c r="B56" t="s">
        <v>165</v>
      </c>
      <c r="C56" s="14">
        <v>7.9194000000000004</v>
      </c>
      <c r="D56" s="14">
        <v>7.9610000000000003</v>
      </c>
      <c r="E56" s="14">
        <v>7.6878000000000002</v>
      </c>
      <c r="F56" s="14">
        <v>7.6985999999999999</v>
      </c>
      <c r="G56" s="14">
        <v>7.6898999999999997</v>
      </c>
      <c r="H56" s="14">
        <v>7.1981999999999999</v>
      </c>
      <c r="I56" s="14">
        <v>6.5594000000000001</v>
      </c>
      <c r="J56" s="14">
        <v>7.2925000000000004</v>
      </c>
      <c r="K56" s="14">
        <v>7.1300999999999997</v>
      </c>
      <c r="L56" s="14">
        <v>7.8994</v>
      </c>
      <c r="M56" s="14">
        <v>6.7366999999999999</v>
      </c>
      <c r="N56" s="14">
        <v>7.6064999999999996</v>
      </c>
    </row>
    <row r="57" spans="2:14">
      <c r="B57" t="s">
        <v>42</v>
      </c>
      <c r="C57" s="14">
        <v>292.21789999999999</v>
      </c>
      <c r="D57" s="14">
        <v>286.87189999999998</v>
      </c>
      <c r="E57" s="14">
        <v>276.9033</v>
      </c>
      <c r="F57" s="14">
        <v>283.82920000000001</v>
      </c>
      <c r="G57" s="14">
        <v>283.90320000000003</v>
      </c>
      <c r="H57" s="14">
        <v>288.4479</v>
      </c>
      <c r="I57" s="14">
        <v>305.09769999999997</v>
      </c>
      <c r="J57" s="14">
        <v>330.05130000000003</v>
      </c>
      <c r="K57" s="14">
        <v>387.06079999999997</v>
      </c>
      <c r="L57" s="14">
        <v>415.35579999999999</v>
      </c>
      <c r="M57" s="14">
        <v>430.95330000000001</v>
      </c>
      <c r="N57" s="14">
        <v>472.77370000000002</v>
      </c>
    </row>
  </sheetData>
  <mergeCells count="1">
    <mergeCell ref="A1:AA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18CF5-9251-47CC-85B4-5E8D4A03ECFD}">
  <dimension ref="A1:AB266"/>
  <sheetViews>
    <sheetView showGridLines="0" workbookViewId="0">
      <selection sqref="A1:AB1"/>
    </sheetView>
  </sheetViews>
  <sheetFormatPr defaultRowHeight="14.5"/>
  <cols>
    <col min="1" max="1" width="12.453125" bestFit="1" customWidth="1"/>
    <col min="2" max="2" width="30.81640625" bestFit="1" customWidth="1"/>
    <col min="3" max="14" width="5.54296875" bestFit="1" customWidth="1"/>
    <col min="15" max="21" width="6.54296875" bestFit="1" customWidth="1"/>
  </cols>
  <sheetData>
    <row r="1" spans="1:28" ht="23.5">
      <c r="A1" s="96" t="s">
        <v>228</v>
      </c>
      <c r="B1" s="96"/>
      <c r="C1" s="96"/>
      <c r="D1" s="96"/>
      <c r="E1" s="96"/>
      <c r="F1" s="96"/>
      <c r="G1" s="96"/>
      <c r="H1" s="96"/>
      <c r="I1" s="96"/>
      <c r="J1" s="96"/>
      <c r="K1" s="96"/>
      <c r="L1" s="96"/>
      <c r="M1" s="96"/>
      <c r="N1" s="96"/>
      <c r="O1" s="96"/>
      <c r="P1" s="96"/>
      <c r="Q1" s="96"/>
      <c r="R1" s="96"/>
      <c r="S1" s="96"/>
      <c r="T1" s="96"/>
      <c r="U1" s="96"/>
      <c r="V1" s="96"/>
      <c r="W1" s="96"/>
      <c r="X1" s="96"/>
      <c r="Y1" s="96"/>
      <c r="Z1" s="96"/>
      <c r="AA1" s="96"/>
      <c r="AB1" s="96"/>
    </row>
    <row r="4" spans="1:28">
      <c r="A4" s="10" t="s">
        <v>215</v>
      </c>
    </row>
    <row r="5" spans="1:28">
      <c r="C5">
        <v>2014</v>
      </c>
      <c r="D5">
        <v>2015</v>
      </c>
      <c r="E5">
        <v>2016</v>
      </c>
      <c r="F5">
        <v>2017</v>
      </c>
      <c r="G5">
        <v>2018</v>
      </c>
      <c r="H5">
        <v>2019</v>
      </c>
      <c r="I5">
        <v>2020</v>
      </c>
      <c r="J5">
        <v>2021</v>
      </c>
      <c r="K5">
        <v>2022</v>
      </c>
      <c r="L5">
        <v>2023</v>
      </c>
      <c r="M5">
        <v>2024</v>
      </c>
      <c r="N5">
        <v>2025</v>
      </c>
    </row>
    <row r="6" spans="1:28">
      <c r="A6" t="s">
        <v>203</v>
      </c>
      <c r="B6" t="s">
        <v>96</v>
      </c>
      <c r="C6" s="14">
        <v>366.96620000000001</v>
      </c>
      <c r="D6" s="14">
        <v>364.53910000000002</v>
      </c>
      <c r="E6" s="14">
        <v>368.7525</v>
      </c>
      <c r="F6" s="14">
        <v>372.16329999999999</v>
      </c>
      <c r="G6" s="14">
        <v>401.69380000000001</v>
      </c>
      <c r="H6" s="14">
        <v>393.44069999999999</v>
      </c>
      <c r="I6" s="14">
        <v>415.53250000000003</v>
      </c>
      <c r="J6" s="14">
        <v>402.52640000000002</v>
      </c>
      <c r="K6" s="14">
        <v>405.58190000000002</v>
      </c>
      <c r="L6" s="14">
        <v>398.05200000000002</v>
      </c>
      <c r="M6" s="14">
        <v>407.85199999999998</v>
      </c>
      <c r="N6" s="14">
        <v>424.05520000000001</v>
      </c>
    </row>
    <row r="7" spans="1:28">
      <c r="B7" t="s">
        <v>150</v>
      </c>
      <c r="C7" s="14">
        <v>527.13160000000005</v>
      </c>
      <c r="D7" s="14">
        <v>532.32029999999997</v>
      </c>
      <c r="E7" s="14">
        <v>554.37170000000003</v>
      </c>
      <c r="F7" s="14">
        <v>570.70640000000003</v>
      </c>
      <c r="G7" s="14">
        <v>578.11450000000002</v>
      </c>
      <c r="H7" s="14">
        <v>597.86710000000005</v>
      </c>
      <c r="I7" s="14">
        <v>618.69989999999996</v>
      </c>
      <c r="J7" s="14">
        <v>636.06979999999999</v>
      </c>
      <c r="K7" s="14">
        <v>626.20770000000005</v>
      </c>
      <c r="L7" s="14">
        <v>615.08299999999997</v>
      </c>
      <c r="M7" s="14">
        <v>656.30039999999997</v>
      </c>
      <c r="N7" s="14">
        <v>681.52840000000003</v>
      </c>
    </row>
    <row r="8" spans="1:28">
      <c r="B8" t="s">
        <v>107</v>
      </c>
      <c r="C8" s="14">
        <v>119.7762</v>
      </c>
      <c r="D8" s="14">
        <v>119.343</v>
      </c>
      <c r="E8" s="14">
        <v>123.2565</v>
      </c>
      <c r="F8" s="14">
        <v>125.8673</v>
      </c>
      <c r="G8" s="14">
        <v>132.03380000000001</v>
      </c>
      <c r="H8" s="14">
        <v>133.97239999999999</v>
      </c>
      <c r="I8" s="14">
        <v>142.9649</v>
      </c>
      <c r="J8" s="14">
        <v>152.9674</v>
      </c>
      <c r="K8" s="14">
        <v>150.71530000000001</v>
      </c>
      <c r="L8" s="14">
        <v>154.17740000000001</v>
      </c>
      <c r="M8" s="14">
        <v>160.2122</v>
      </c>
      <c r="N8" s="14">
        <v>170.02510000000001</v>
      </c>
    </row>
    <row r="9" spans="1:28">
      <c r="B9" t="s">
        <v>248</v>
      </c>
      <c r="C9" s="14">
        <v>446.56869999999998</v>
      </c>
      <c r="D9" s="14">
        <v>446.85660000000001</v>
      </c>
      <c r="E9" s="14">
        <v>450.9452</v>
      </c>
      <c r="F9" s="14">
        <v>467.53820000000002</v>
      </c>
      <c r="G9" s="14">
        <v>469.15949999999998</v>
      </c>
      <c r="H9" s="14">
        <v>473.71370000000002</v>
      </c>
      <c r="I9" s="14">
        <v>478.90159999999997</v>
      </c>
      <c r="J9" s="14">
        <v>479.03440000000001</v>
      </c>
      <c r="K9" s="14">
        <v>463.61450000000002</v>
      </c>
      <c r="L9" s="14">
        <v>458.99489999999997</v>
      </c>
      <c r="M9" s="14">
        <v>463.25369999999998</v>
      </c>
      <c r="N9" s="14">
        <v>471.59789999999998</v>
      </c>
    </row>
    <row r="10" spans="1:28">
      <c r="B10" t="s">
        <v>76</v>
      </c>
      <c r="C10" s="14">
        <v>522.81529999999998</v>
      </c>
      <c r="D10" s="14">
        <v>545.22739999999999</v>
      </c>
      <c r="E10" s="14">
        <v>544.98209999999995</v>
      </c>
      <c r="F10" s="14">
        <v>551.24850000000004</v>
      </c>
      <c r="G10" s="14">
        <v>555.83190000000002</v>
      </c>
      <c r="H10" s="14">
        <v>559.28279999999995</v>
      </c>
      <c r="I10" s="14">
        <v>567.33219999999994</v>
      </c>
      <c r="J10" s="14">
        <v>570.70240000000001</v>
      </c>
      <c r="K10" s="14">
        <v>559.81629999999996</v>
      </c>
      <c r="L10" s="14">
        <v>552.05529999999999</v>
      </c>
      <c r="M10" s="14">
        <v>561.52509999999995</v>
      </c>
      <c r="N10" s="14">
        <v>573.2251</v>
      </c>
    </row>
    <row r="11" spans="1:28">
      <c r="B11" t="s">
        <v>246</v>
      </c>
      <c r="C11" s="14">
        <v>629.04830000000004</v>
      </c>
      <c r="D11" s="14">
        <v>639.53420000000006</v>
      </c>
      <c r="E11" s="14">
        <v>628.02279999999996</v>
      </c>
      <c r="F11" s="14">
        <v>635.46159999999998</v>
      </c>
      <c r="G11" s="14">
        <v>633.53139999999996</v>
      </c>
      <c r="H11" s="14">
        <v>639.57429999999999</v>
      </c>
      <c r="I11" s="14">
        <v>640.04420000000005</v>
      </c>
      <c r="J11" s="14">
        <v>637.76760000000002</v>
      </c>
      <c r="K11" s="14">
        <v>629.26840000000004</v>
      </c>
      <c r="L11" s="14">
        <v>625.36800000000005</v>
      </c>
      <c r="M11" s="14">
        <v>651.32870000000003</v>
      </c>
      <c r="N11" s="14">
        <v>688.70079999999996</v>
      </c>
    </row>
    <row r="12" spans="1:28">
      <c r="B12" t="s">
        <v>80</v>
      </c>
      <c r="C12" s="14">
        <v>520.82860000000005</v>
      </c>
      <c r="D12" s="14">
        <v>530.35130000000004</v>
      </c>
      <c r="E12" s="14">
        <v>544.74040000000002</v>
      </c>
      <c r="F12" s="14">
        <v>560.67089999999996</v>
      </c>
      <c r="G12" s="14">
        <v>575.51250000000005</v>
      </c>
      <c r="H12" s="14">
        <v>595.4171</v>
      </c>
      <c r="I12" s="14">
        <v>613.35640000000001</v>
      </c>
      <c r="J12" s="14">
        <v>640.08820000000003</v>
      </c>
      <c r="K12" s="14">
        <v>646.91099999999994</v>
      </c>
      <c r="L12" s="14">
        <v>652.62220000000002</v>
      </c>
      <c r="M12" s="14">
        <v>658.33550000000002</v>
      </c>
      <c r="N12" s="14">
        <v>689.77319999999997</v>
      </c>
    </row>
    <row r="13" spans="1:28">
      <c r="B13" t="s">
        <v>77</v>
      </c>
      <c r="C13" s="14">
        <v>415.12529999999998</v>
      </c>
      <c r="D13" s="14">
        <v>419.37830000000002</v>
      </c>
      <c r="E13" s="14">
        <v>418.25990000000002</v>
      </c>
      <c r="F13" s="14">
        <v>430.1968</v>
      </c>
      <c r="G13" s="14">
        <v>435.50119999999998</v>
      </c>
      <c r="H13" s="14">
        <v>441.81009999999998</v>
      </c>
      <c r="I13" s="14">
        <v>409.55650000000003</v>
      </c>
      <c r="J13" s="14">
        <v>409.09570000000002</v>
      </c>
      <c r="K13" s="14">
        <v>398.03840000000002</v>
      </c>
      <c r="L13" s="14">
        <v>396.89089999999999</v>
      </c>
      <c r="M13" s="14">
        <v>411.61259999999999</v>
      </c>
      <c r="N13" s="14">
        <v>419.89370000000002</v>
      </c>
    </row>
    <row r="14" spans="1:28">
      <c r="B14" t="s">
        <v>79</v>
      </c>
      <c r="C14" s="14">
        <v>726.21939999999995</v>
      </c>
      <c r="D14" s="14">
        <v>727.42309999999998</v>
      </c>
      <c r="E14" s="14">
        <v>730.06590000000006</v>
      </c>
      <c r="F14" s="14">
        <v>724.87180000000001</v>
      </c>
      <c r="G14" s="14">
        <v>757.43830000000003</v>
      </c>
      <c r="H14" s="14">
        <v>773.89449999999999</v>
      </c>
      <c r="I14" s="14">
        <v>785.21349999999995</v>
      </c>
      <c r="J14" s="14">
        <v>770.58749999999998</v>
      </c>
      <c r="K14" s="14">
        <v>763.63430000000005</v>
      </c>
      <c r="L14" s="14">
        <v>756.98689999999999</v>
      </c>
      <c r="M14" s="14">
        <v>792.99770000000001</v>
      </c>
      <c r="N14" s="14">
        <v>831.96439999999996</v>
      </c>
    </row>
    <row r="15" spans="1:28">
      <c r="B15" t="s">
        <v>81</v>
      </c>
      <c r="C15" s="14">
        <v>812.94780000000003</v>
      </c>
      <c r="D15" s="14">
        <v>833.94320000000005</v>
      </c>
      <c r="E15" s="14">
        <v>853.41390000000001</v>
      </c>
      <c r="F15" s="14">
        <v>880.68579999999997</v>
      </c>
      <c r="G15" s="14">
        <v>883.77459999999996</v>
      </c>
      <c r="H15" s="14">
        <v>920.28909999999996</v>
      </c>
      <c r="I15" s="14">
        <v>944.41769999999997</v>
      </c>
      <c r="J15" s="14">
        <v>947.26930000000004</v>
      </c>
      <c r="K15" s="14">
        <v>941.66549999999995</v>
      </c>
      <c r="L15" s="14">
        <v>953.27110000000005</v>
      </c>
      <c r="M15" s="14">
        <v>1006.8898</v>
      </c>
      <c r="N15" s="14">
        <v>1026.8904</v>
      </c>
    </row>
    <row r="16" spans="1:28">
      <c r="B16" t="s">
        <v>83</v>
      </c>
      <c r="C16" s="14">
        <v>364.65190000000001</v>
      </c>
      <c r="D16" s="14">
        <v>371.69369999999998</v>
      </c>
      <c r="E16" s="14">
        <v>376.75970000000001</v>
      </c>
      <c r="F16" s="14">
        <v>386.14120000000003</v>
      </c>
      <c r="G16" s="14">
        <v>394.13159999999999</v>
      </c>
      <c r="H16" s="14">
        <v>414.66430000000003</v>
      </c>
      <c r="I16" s="14">
        <v>433.46289999999999</v>
      </c>
      <c r="J16" s="14">
        <v>451.78019999999998</v>
      </c>
      <c r="K16" s="14">
        <v>457.31700000000001</v>
      </c>
      <c r="L16" s="14">
        <v>475.06060000000002</v>
      </c>
      <c r="M16" s="14">
        <v>505.8784</v>
      </c>
      <c r="N16" s="14">
        <v>540.7165</v>
      </c>
    </row>
    <row r="17" spans="2:14">
      <c r="B17" t="s">
        <v>242</v>
      </c>
      <c r="C17" s="14">
        <v>416.6123</v>
      </c>
      <c r="D17" s="14">
        <v>425.51510000000002</v>
      </c>
      <c r="E17" s="14">
        <v>430.75529999999998</v>
      </c>
      <c r="F17" s="14">
        <v>434.89159999999998</v>
      </c>
      <c r="G17" s="14">
        <v>458.22930000000002</v>
      </c>
      <c r="H17" s="14">
        <v>473.42779999999999</v>
      </c>
      <c r="I17" s="14">
        <v>526.24149999999997</v>
      </c>
      <c r="J17" s="14">
        <v>528.76089999999999</v>
      </c>
      <c r="K17" s="14">
        <v>533.77570000000003</v>
      </c>
      <c r="L17" s="14">
        <v>514.53989999999999</v>
      </c>
      <c r="M17" s="14">
        <v>544.7903</v>
      </c>
      <c r="N17" s="14">
        <v>557.24300000000005</v>
      </c>
    </row>
    <row r="18" spans="2:14">
      <c r="B18" t="s">
        <v>87</v>
      </c>
      <c r="C18" s="14">
        <v>534.8374</v>
      </c>
      <c r="D18" s="14">
        <v>546.25530000000003</v>
      </c>
      <c r="E18" s="14">
        <v>572.30510000000004</v>
      </c>
      <c r="F18" s="14">
        <v>572.22230000000002</v>
      </c>
      <c r="G18" s="14">
        <v>562.947</v>
      </c>
      <c r="H18" s="14">
        <v>571.60149999999999</v>
      </c>
      <c r="I18" s="14">
        <v>578.37170000000003</v>
      </c>
      <c r="J18" s="14">
        <v>496.65769999999998</v>
      </c>
      <c r="K18" s="14">
        <v>484.80290000000002</v>
      </c>
      <c r="L18" s="14">
        <v>495.45319999999998</v>
      </c>
      <c r="M18" s="14">
        <v>510.94880000000001</v>
      </c>
      <c r="N18" s="14">
        <v>524.4941</v>
      </c>
    </row>
    <row r="19" spans="2:14">
      <c r="B19" t="s">
        <v>86</v>
      </c>
      <c r="C19" s="14">
        <v>36.205199999999998</v>
      </c>
      <c r="D19" s="14">
        <v>38.405099999999997</v>
      </c>
      <c r="E19" s="14">
        <v>38.860999999999997</v>
      </c>
      <c r="F19" s="14">
        <v>38.897399999999998</v>
      </c>
      <c r="G19" s="14">
        <v>37.564799999999998</v>
      </c>
      <c r="H19" s="14">
        <v>36.844000000000001</v>
      </c>
      <c r="I19" s="14">
        <v>33.848300000000002</v>
      </c>
      <c r="J19" s="14">
        <v>36.756999999999998</v>
      </c>
      <c r="K19" s="14">
        <v>35.315600000000003</v>
      </c>
      <c r="L19" s="14">
        <v>34.7744</v>
      </c>
      <c r="M19" s="14">
        <v>33.221699999999998</v>
      </c>
      <c r="N19" s="14">
        <v>36.108400000000003</v>
      </c>
    </row>
    <row r="20" spans="2:14">
      <c r="B20" t="s">
        <v>78</v>
      </c>
      <c r="C20" s="14">
        <v>531.06079999999997</v>
      </c>
      <c r="D20" s="14">
        <v>531.48069999999996</v>
      </c>
      <c r="E20" s="14">
        <v>537.04970000000003</v>
      </c>
      <c r="F20" s="14">
        <v>546.83510000000001</v>
      </c>
      <c r="G20" s="14">
        <v>558.46140000000003</v>
      </c>
      <c r="H20" s="14">
        <v>580.85270000000003</v>
      </c>
      <c r="I20" s="14">
        <v>610.23299999999995</v>
      </c>
      <c r="J20" s="14">
        <v>629.82330000000002</v>
      </c>
      <c r="K20" s="14">
        <v>629.33259999999996</v>
      </c>
      <c r="L20" s="14">
        <v>620.24969999999996</v>
      </c>
      <c r="M20" s="14">
        <v>627.69039999999995</v>
      </c>
      <c r="N20" s="14">
        <v>655.77930000000003</v>
      </c>
    </row>
    <row r="21" spans="2:14">
      <c r="B21" t="s">
        <v>245</v>
      </c>
      <c r="C21" s="14">
        <v>415.9794</v>
      </c>
      <c r="D21" s="14">
        <v>411.56689999999998</v>
      </c>
      <c r="E21" s="14">
        <v>411.99270000000001</v>
      </c>
      <c r="F21" s="14">
        <v>426.40730000000002</v>
      </c>
      <c r="G21" s="14">
        <v>420.51249999999999</v>
      </c>
      <c r="H21" s="14">
        <v>424.96539999999999</v>
      </c>
      <c r="I21" s="14">
        <v>422.73349999999999</v>
      </c>
      <c r="J21" s="14">
        <v>425.4357</v>
      </c>
      <c r="K21" s="14">
        <v>424.10759999999999</v>
      </c>
      <c r="L21" s="14">
        <v>417.64139999999998</v>
      </c>
      <c r="M21" s="14">
        <v>426.5034</v>
      </c>
      <c r="N21" s="14">
        <v>424.1028</v>
      </c>
    </row>
    <row r="22" spans="2:14">
      <c r="B22" t="s">
        <v>85</v>
      </c>
      <c r="C22" s="14">
        <v>252.65049999999999</v>
      </c>
      <c r="D22" s="14">
        <v>261.21870000000001</v>
      </c>
      <c r="E22" s="14">
        <v>267.99029999999999</v>
      </c>
      <c r="F22" s="14">
        <v>280.10419999999999</v>
      </c>
      <c r="G22" s="14">
        <v>295.65839999999997</v>
      </c>
      <c r="H22" s="14">
        <v>302.3827</v>
      </c>
      <c r="I22" s="14">
        <v>338.02670000000001</v>
      </c>
      <c r="J22" s="14">
        <v>357.23419999999999</v>
      </c>
      <c r="K22" s="14">
        <v>353.58960000000002</v>
      </c>
      <c r="L22" s="14">
        <v>363.46719999999999</v>
      </c>
      <c r="M22" s="14">
        <v>378.50259999999997</v>
      </c>
      <c r="N22" s="14">
        <v>380.74149999999997</v>
      </c>
    </row>
    <row r="23" spans="2:14">
      <c r="B23" t="s">
        <v>84</v>
      </c>
      <c r="C23" s="14">
        <v>316.68310000000002</v>
      </c>
      <c r="D23" s="14">
        <v>321.86689999999999</v>
      </c>
      <c r="E23" s="14">
        <v>330.92880000000002</v>
      </c>
      <c r="F23" s="14">
        <v>342.11200000000002</v>
      </c>
      <c r="G23" s="14">
        <v>353.34269999999998</v>
      </c>
      <c r="H23" s="14">
        <v>356.35219999999998</v>
      </c>
      <c r="I23" s="14">
        <v>377.65030000000002</v>
      </c>
      <c r="J23" s="14">
        <v>383.45580000000001</v>
      </c>
      <c r="K23" s="14">
        <v>389.96350000000001</v>
      </c>
      <c r="L23" s="14">
        <v>406.5582</v>
      </c>
      <c r="M23" s="14">
        <v>428.61579999999998</v>
      </c>
      <c r="N23" s="14">
        <v>450.19779999999997</v>
      </c>
    </row>
    <row r="24" spans="2:14">
      <c r="B24" t="s">
        <v>240</v>
      </c>
      <c r="C24" s="14">
        <v>413.76310000000001</v>
      </c>
      <c r="D24" s="14">
        <v>416.23200000000003</v>
      </c>
      <c r="E24" s="14">
        <v>428.01749999999998</v>
      </c>
      <c r="F24" s="14">
        <v>426.65429999999998</v>
      </c>
      <c r="G24" s="14">
        <v>422.35719999999998</v>
      </c>
      <c r="H24" s="14">
        <v>434.90949999999998</v>
      </c>
      <c r="I24" s="14">
        <v>465.12299999999999</v>
      </c>
      <c r="J24" s="14">
        <v>480.34750000000003</v>
      </c>
      <c r="K24" s="14">
        <v>475.34910000000002</v>
      </c>
      <c r="L24" s="14">
        <v>473.49169999999998</v>
      </c>
      <c r="M24" s="14">
        <v>482.22129999999999</v>
      </c>
      <c r="N24" s="14">
        <v>500.95960000000002</v>
      </c>
    </row>
    <row r="25" spans="2:14">
      <c r="B25" t="s">
        <v>244</v>
      </c>
      <c r="C25" s="14">
        <v>320.702</v>
      </c>
      <c r="D25" s="14">
        <v>317.17020000000002</v>
      </c>
      <c r="E25" s="14">
        <v>318.88319999999999</v>
      </c>
      <c r="F25" s="14">
        <v>324.86099999999999</v>
      </c>
      <c r="G25" s="14">
        <v>325.6748</v>
      </c>
      <c r="H25" s="14">
        <v>325.26510000000002</v>
      </c>
      <c r="I25" s="14">
        <v>340.94009999999997</v>
      </c>
      <c r="J25" s="14">
        <v>372.02199999999999</v>
      </c>
      <c r="K25" s="14">
        <v>364.08449999999999</v>
      </c>
      <c r="L25" s="14">
        <v>355.96359999999999</v>
      </c>
      <c r="M25" s="14">
        <v>354.69490000000002</v>
      </c>
      <c r="N25" s="14">
        <v>372.03680000000003</v>
      </c>
    </row>
    <row r="26" spans="2:14">
      <c r="B26" t="s">
        <v>247</v>
      </c>
      <c r="C26" s="14">
        <v>374.58109999999999</v>
      </c>
      <c r="D26" s="14">
        <v>372.07240000000002</v>
      </c>
      <c r="E26" s="14">
        <v>379.1472</v>
      </c>
      <c r="F26" s="14">
        <v>374.9153</v>
      </c>
      <c r="G26" s="14">
        <v>387.46850000000001</v>
      </c>
      <c r="H26" s="14">
        <v>398.00729999999999</v>
      </c>
      <c r="I26" s="14">
        <v>408.05810000000002</v>
      </c>
      <c r="J26" s="14">
        <v>431.83280000000002</v>
      </c>
      <c r="K26" s="14">
        <v>428.4939</v>
      </c>
      <c r="L26" s="14">
        <v>447.74180000000001</v>
      </c>
      <c r="M26" s="14">
        <v>470.31610000000001</v>
      </c>
      <c r="N26" s="14">
        <v>483.39409999999998</v>
      </c>
    </row>
    <row r="27" spans="2:14">
      <c r="B27" t="s">
        <v>243</v>
      </c>
      <c r="C27" s="14">
        <v>545.20600000000002</v>
      </c>
      <c r="D27" s="14">
        <v>542.38109999999995</v>
      </c>
      <c r="E27" s="14">
        <v>542.18830000000003</v>
      </c>
      <c r="F27" s="14">
        <v>530.81050000000005</v>
      </c>
      <c r="G27" s="14">
        <v>525.25530000000003</v>
      </c>
      <c r="H27" s="14">
        <v>579.31619999999998</v>
      </c>
      <c r="I27" s="14">
        <v>590.03470000000004</v>
      </c>
      <c r="J27" s="14">
        <v>603.03909999999996</v>
      </c>
      <c r="K27" s="14">
        <v>594.19809999999995</v>
      </c>
      <c r="L27" s="14">
        <v>593.1694</v>
      </c>
      <c r="M27" s="14">
        <v>607.79790000000003</v>
      </c>
      <c r="N27" s="14">
        <v>635.01530000000002</v>
      </c>
    </row>
    <row r="28" spans="2:14">
      <c r="B28" t="s">
        <v>241</v>
      </c>
      <c r="C28" s="14">
        <v>9.3368000000000002</v>
      </c>
      <c r="D28" s="14">
        <v>9.1806999999999999</v>
      </c>
      <c r="E28" s="14">
        <v>8.7765000000000004</v>
      </c>
      <c r="F28" s="14">
        <v>8.0951000000000004</v>
      </c>
      <c r="G28" s="14">
        <v>7.6882000000000001</v>
      </c>
      <c r="H28" s="14">
        <v>9.4514999999999993</v>
      </c>
      <c r="I28" s="14">
        <v>10.0694</v>
      </c>
      <c r="J28" s="14">
        <v>8.9444999999999997</v>
      </c>
      <c r="K28" s="14">
        <v>9.1663999999999994</v>
      </c>
      <c r="L28" s="14">
        <v>10.291700000000001</v>
      </c>
      <c r="M28" s="14">
        <v>10.4208</v>
      </c>
      <c r="N28" s="14">
        <v>9.7292000000000005</v>
      </c>
    </row>
    <row r="29" spans="2:14">
      <c r="B29" t="s">
        <v>82</v>
      </c>
      <c r="C29" s="14">
        <v>794.53120000000001</v>
      </c>
      <c r="D29" s="14">
        <v>805.05200000000002</v>
      </c>
      <c r="E29" s="14">
        <v>805.64390000000003</v>
      </c>
      <c r="F29" s="14">
        <v>821.39980000000003</v>
      </c>
      <c r="G29" s="14">
        <v>826.12630000000001</v>
      </c>
      <c r="H29" s="14">
        <v>832.01750000000004</v>
      </c>
      <c r="I29" s="14">
        <v>850.94669999999996</v>
      </c>
      <c r="J29" s="14">
        <v>868.82550000000003</v>
      </c>
      <c r="K29" s="14">
        <v>846.30119999999999</v>
      </c>
      <c r="L29" s="14">
        <v>830.08010000000002</v>
      </c>
      <c r="M29" s="14">
        <v>852.44470000000001</v>
      </c>
      <c r="N29" s="14">
        <v>904.33029999999997</v>
      </c>
    </row>
    <row r="30" spans="2:14">
      <c r="B30" t="s">
        <v>135</v>
      </c>
      <c r="C30" s="14">
        <v>103.9832</v>
      </c>
      <c r="D30" s="14">
        <v>101.9019</v>
      </c>
      <c r="E30" s="14">
        <v>99.246200000000002</v>
      </c>
      <c r="F30" s="14">
        <v>101.40049999999999</v>
      </c>
      <c r="G30" s="14">
        <v>100.17959999999999</v>
      </c>
      <c r="H30" s="14">
        <v>100.5502</v>
      </c>
      <c r="I30" s="14">
        <v>106.6195</v>
      </c>
      <c r="J30" s="14">
        <v>103.87090000000001</v>
      </c>
      <c r="K30" s="14">
        <v>107.383</v>
      </c>
      <c r="L30" s="14">
        <v>107.90819999999999</v>
      </c>
      <c r="M30" s="14">
        <v>108.3896</v>
      </c>
      <c r="N30" s="14">
        <v>112.5317</v>
      </c>
    </row>
    <row r="31" spans="2:14">
      <c r="B31" t="s">
        <v>102</v>
      </c>
      <c r="C31" s="14">
        <v>141.30070000000001</v>
      </c>
      <c r="D31" s="14">
        <v>139.69540000000001</v>
      </c>
      <c r="E31" s="14">
        <v>141.6121</v>
      </c>
      <c r="F31" s="14">
        <v>149.41409999999999</v>
      </c>
      <c r="G31" s="14">
        <v>145.416</v>
      </c>
      <c r="H31" s="14">
        <v>147.07849999999999</v>
      </c>
      <c r="I31" s="14">
        <v>151.21029999999999</v>
      </c>
      <c r="J31" s="14">
        <v>135.80260000000001</v>
      </c>
      <c r="K31" s="14">
        <v>139.1362</v>
      </c>
      <c r="L31" s="14">
        <v>142.2329</v>
      </c>
      <c r="M31" s="14">
        <v>145.29409999999999</v>
      </c>
      <c r="N31" s="14">
        <v>151.16159999999999</v>
      </c>
    </row>
    <row r="32" spans="2:14">
      <c r="B32" t="s">
        <v>138</v>
      </c>
      <c r="C32" s="14">
        <v>422.45400000000001</v>
      </c>
      <c r="D32" s="14">
        <v>431.63819999999998</v>
      </c>
      <c r="E32" s="14">
        <v>436.47289999999998</v>
      </c>
      <c r="F32" s="14">
        <v>447.20389999999998</v>
      </c>
      <c r="G32" s="14">
        <v>451.66759999999999</v>
      </c>
      <c r="H32" s="14">
        <v>456.1198</v>
      </c>
      <c r="I32" s="14">
        <v>467.91370000000001</v>
      </c>
      <c r="J32" s="14">
        <v>483.76679999999999</v>
      </c>
      <c r="K32" s="14">
        <v>486.5258</v>
      </c>
      <c r="L32" s="14">
        <v>487.7063</v>
      </c>
      <c r="M32" s="14">
        <v>509.1345</v>
      </c>
      <c r="N32" s="14">
        <v>543.31330000000003</v>
      </c>
    </row>
    <row r="33" spans="2:14">
      <c r="B33" t="s">
        <v>115</v>
      </c>
      <c r="C33" s="14">
        <v>224.1525</v>
      </c>
      <c r="D33" s="14">
        <v>247.2647</v>
      </c>
      <c r="E33" s="14">
        <v>246.53210000000001</v>
      </c>
      <c r="F33" s="14">
        <v>250.36259999999999</v>
      </c>
      <c r="G33" s="14">
        <v>255.5883</v>
      </c>
      <c r="H33" s="14">
        <v>257.85919999999999</v>
      </c>
      <c r="I33" s="14">
        <v>261.39240000000001</v>
      </c>
      <c r="J33" s="14">
        <v>265.67329999999998</v>
      </c>
      <c r="K33" s="14">
        <v>262.61869999999999</v>
      </c>
      <c r="L33" s="14">
        <v>262.40339999999998</v>
      </c>
      <c r="M33" s="14">
        <v>282.10059999999999</v>
      </c>
      <c r="N33" s="14">
        <v>287.78300000000002</v>
      </c>
    </row>
    <row r="34" spans="2:14">
      <c r="B34" t="s">
        <v>100</v>
      </c>
      <c r="C34" s="14">
        <v>944.61739999999998</v>
      </c>
      <c r="D34" s="14">
        <v>966.53920000000005</v>
      </c>
      <c r="E34" s="14">
        <v>990.26220000000001</v>
      </c>
      <c r="F34" s="14">
        <v>1008.1063</v>
      </c>
      <c r="G34" s="14">
        <v>1034.3747000000001</v>
      </c>
      <c r="H34" s="14">
        <v>1075.8624</v>
      </c>
      <c r="I34" s="14">
        <v>1111.2569000000001</v>
      </c>
      <c r="J34" s="14">
        <v>1130.4690000000001</v>
      </c>
      <c r="K34" s="14">
        <v>1095.08</v>
      </c>
      <c r="L34" s="14">
        <v>1125.3091999999999</v>
      </c>
      <c r="M34" s="14">
        <v>1165.2810999999999</v>
      </c>
      <c r="N34" s="14">
        <v>1197.5205000000001</v>
      </c>
    </row>
    <row r="35" spans="2:14">
      <c r="B35" t="s">
        <v>141</v>
      </c>
      <c r="C35" s="14">
        <v>324.29649999999998</v>
      </c>
      <c r="D35" s="14">
        <v>330.85879999999997</v>
      </c>
      <c r="E35" s="14">
        <v>334.61689999999999</v>
      </c>
      <c r="F35" s="14">
        <v>347.38909999999998</v>
      </c>
      <c r="G35" s="14">
        <v>353.75020000000001</v>
      </c>
      <c r="H35" s="14">
        <v>351.31740000000002</v>
      </c>
      <c r="I35" s="14">
        <v>373.18880000000001</v>
      </c>
      <c r="J35" s="14">
        <v>380.58330000000001</v>
      </c>
      <c r="K35" s="14">
        <v>376.7799</v>
      </c>
      <c r="L35" s="14">
        <v>380.16129999999998</v>
      </c>
      <c r="M35" s="14">
        <v>408.44220000000001</v>
      </c>
      <c r="N35" s="14">
        <v>418.12299999999999</v>
      </c>
    </row>
    <row r="36" spans="2:14">
      <c r="B36" t="s">
        <v>249</v>
      </c>
      <c r="C36" s="14">
        <v>67.704899999999995</v>
      </c>
      <c r="D36" s="14">
        <v>64.149000000000001</v>
      </c>
      <c r="E36" s="14">
        <v>67.128900000000002</v>
      </c>
      <c r="F36" s="14">
        <v>67.233400000000003</v>
      </c>
      <c r="G36" s="14">
        <v>65.699700000000007</v>
      </c>
      <c r="H36" s="14">
        <v>66.817300000000003</v>
      </c>
      <c r="I36" s="14">
        <v>72.1584</v>
      </c>
      <c r="J36" s="14">
        <v>69.408299999999997</v>
      </c>
      <c r="K36" s="14">
        <v>70.316299999999998</v>
      </c>
      <c r="L36" s="14">
        <v>69.661600000000007</v>
      </c>
      <c r="M36" s="14">
        <v>73.616900000000001</v>
      </c>
      <c r="N36" s="14">
        <v>77.826800000000006</v>
      </c>
    </row>
    <row r="37" spans="2:14">
      <c r="B37" t="s">
        <v>127</v>
      </c>
      <c r="C37" s="14">
        <v>155.53649999999999</v>
      </c>
      <c r="D37" s="14">
        <v>154.55009999999999</v>
      </c>
      <c r="E37" s="14">
        <v>156.2236</v>
      </c>
      <c r="F37" s="14">
        <v>155.26570000000001</v>
      </c>
      <c r="G37" s="14">
        <v>159.97890000000001</v>
      </c>
      <c r="H37" s="14">
        <v>162.8526</v>
      </c>
      <c r="I37" s="14">
        <v>168.28700000000001</v>
      </c>
      <c r="J37" s="14">
        <v>168.10400000000001</v>
      </c>
      <c r="K37" s="14">
        <v>172.91900000000001</v>
      </c>
      <c r="L37" s="14">
        <v>168.2817</v>
      </c>
      <c r="M37" s="14">
        <v>169.36770000000001</v>
      </c>
      <c r="N37" s="14">
        <v>172.02250000000001</v>
      </c>
    </row>
    <row r="38" spans="2:14">
      <c r="B38" t="s">
        <v>144</v>
      </c>
      <c r="C38" s="14">
        <v>80.310500000000005</v>
      </c>
      <c r="D38" s="14">
        <v>78.002600000000001</v>
      </c>
      <c r="E38" s="14">
        <v>75.670699999999997</v>
      </c>
      <c r="F38" s="14">
        <v>76.174199999999999</v>
      </c>
      <c r="G38" s="14">
        <v>73.098100000000002</v>
      </c>
      <c r="H38" s="14">
        <v>72.617400000000004</v>
      </c>
      <c r="I38" s="14">
        <v>73.646900000000002</v>
      </c>
      <c r="J38" s="14">
        <v>74.114699999999999</v>
      </c>
      <c r="K38" s="14">
        <v>72.778099999999995</v>
      </c>
      <c r="L38" s="14">
        <v>69.390699999999995</v>
      </c>
      <c r="M38" s="14">
        <v>74.696100000000001</v>
      </c>
      <c r="N38" s="14">
        <v>73.474000000000004</v>
      </c>
    </row>
    <row r="39" spans="2:14">
      <c r="B39" t="s">
        <v>133</v>
      </c>
      <c r="C39" s="14">
        <v>192.49590000000001</v>
      </c>
      <c r="D39" s="14">
        <v>194.36500000000001</v>
      </c>
      <c r="E39" s="14">
        <v>193.0746</v>
      </c>
      <c r="F39" s="14">
        <v>201.03039999999999</v>
      </c>
      <c r="G39" s="14">
        <v>191.8186</v>
      </c>
      <c r="H39" s="14">
        <v>207.46619999999999</v>
      </c>
      <c r="I39" s="14">
        <v>218.96080000000001</v>
      </c>
      <c r="J39" s="14">
        <v>220.50700000000001</v>
      </c>
      <c r="K39" s="14">
        <v>216.63800000000001</v>
      </c>
      <c r="L39" s="14">
        <v>215.89769999999999</v>
      </c>
      <c r="M39" s="14">
        <v>223.96809999999999</v>
      </c>
      <c r="N39" s="14">
        <v>238.42959999999999</v>
      </c>
    </row>
    <row r="40" spans="2:14">
      <c r="B40" t="s">
        <v>146</v>
      </c>
      <c r="C40" s="14">
        <v>236.26140000000001</v>
      </c>
      <c r="D40" s="14">
        <v>245.09370000000001</v>
      </c>
      <c r="E40" s="14">
        <v>258.86380000000003</v>
      </c>
      <c r="F40" s="14">
        <v>266.2912</v>
      </c>
      <c r="G40" s="14">
        <v>269.54840000000002</v>
      </c>
      <c r="H40" s="14">
        <v>279.32900000000001</v>
      </c>
      <c r="I40" s="14">
        <v>282.42020000000002</v>
      </c>
      <c r="J40" s="14">
        <v>295.90969999999999</v>
      </c>
      <c r="K40" s="14">
        <v>295.75700000000001</v>
      </c>
      <c r="L40" s="14">
        <v>282.93259999999998</v>
      </c>
      <c r="M40" s="14">
        <v>304.68529999999998</v>
      </c>
      <c r="N40" s="14">
        <v>322.79300000000001</v>
      </c>
    </row>
    <row r="41" spans="2:14">
      <c r="B41" t="s">
        <v>134</v>
      </c>
      <c r="C41" s="14">
        <v>775.8845</v>
      </c>
      <c r="D41" s="14">
        <v>800.24869999999999</v>
      </c>
      <c r="E41" s="14">
        <v>827.34280000000001</v>
      </c>
      <c r="F41" s="14">
        <v>853.53359999999998</v>
      </c>
      <c r="G41" s="14">
        <v>861.97320000000002</v>
      </c>
      <c r="H41" s="14">
        <v>894.70240000000001</v>
      </c>
      <c r="I41" s="14">
        <v>920.48119999999994</v>
      </c>
      <c r="J41" s="14">
        <v>948.73749999999995</v>
      </c>
      <c r="K41" s="14">
        <v>938.94069999999999</v>
      </c>
      <c r="L41" s="14">
        <v>956.01710000000003</v>
      </c>
      <c r="M41" s="14">
        <v>978.84130000000005</v>
      </c>
      <c r="N41" s="14">
        <v>1026.1998000000001</v>
      </c>
    </row>
    <row r="42" spans="2:14">
      <c r="B42" t="s">
        <v>123</v>
      </c>
      <c r="C42" s="14">
        <v>480.69650000000001</v>
      </c>
      <c r="D42" s="14">
        <v>490.83139999999997</v>
      </c>
      <c r="E42" s="14">
        <v>494.935</v>
      </c>
      <c r="F42" s="14">
        <v>503.46539999999999</v>
      </c>
      <c r="G42" s="14">
        <v>499.6558</v>
      </c>
      <c r="H42" s="14">
        <v>498.01</v>
      </c>
      <c r="I42" s="14">
        <v>496.73219999999998</v>
      </c>
      <c r="J42" s="14">
        <v>511.99590000000001</v>
      </c>
      <c r="K42" s="14">
        <v>512.49530000000004</v>
      </c>
      <c r="L42" s="14">
        <v>512.26679999999999</v>
      </c>
      <c r="M42" s="14">
        <v>521.01199999999994</v>
      </c>
      <c r="N42" s="14">
        <v>541.03020000000004</v>
      </c>
    </row>
    <row r="43" spans="2:14">
      <c r="B43" t="s">
        <v>148</v>
      </c>
      <c r="C43" s="14">
        <v>265.4341</v>
      </c>
      <c r="D43" s="14">
        <v>260.71339999999998</v>
      </c>
      <c r="E43" s="14">
        <v>265.09660000000002</v>
      </c>
      <c r="F43" s="14">
        <v>256.16570000000002</v>
      </c>
      <c r="G43" s="14">
        <v>258.35539999999997</v>
      </c>
      <c r="H43" s="14">
        <v>259.16820000000001</v>
      </c>
      <c r="I43" s="14">
        <v>274.76220000000001</v>
      </c>
      <c r="J43" s="14">
        <v>273.82459999999998</v>
      </c>
      <c r="K43" s="14">
        <v>273.51819999999998</v>
      </c>
      <c r="L43" s="14">
        <v>271.89100000000002</v>
      </c>
      <c r="M43" s="14">
        <v>269.36619999999999</v>
      </c>
      <c r="N43" s="14">
        <v>281.00510000000003</v>
      </c>
    </row>
    <row r="44" spans="2:14">
      <c r="B44" t="s">
        <v>109</v>
      </c>
      <c r="C44" s="14">
        <v>40.216000000000001</v>
      </c>
      <c r="D44" s="14">
        <v>39.3078</v>
      </c>
      <c r="E44" s="14">
        <v>31.751799999999999</v>
      </c>
      <c r="F44" s="14">
        <v>32.6282</v>
      </c>
      <c r="G44" s="14">
        <v>35.152299999999997</v>
      </c>
      <c r="H44" s="14">
        <v>32.817100000000003</v>
      </c>
      <c r="I44" s="14">
        <v>35.5961</v>
      </c>
      <c r="J44" s="14">
        <v>36.597999999999999</v>
      </c>
      <c r="K44" s="14">
        <v>33.823999999999998</v>
      </c>
      <c r="L44" s="14">
        <v>34.516300000000001</v>
      </c>
      <c r="M44" s="14">
        <v>35.9559</v>
      </c>
      <c r="N44" s="14">
        <v>37.347099999999998</v>
      </c>
    </row>
    <row r="45" spans="2:14">
      <c r="B45" t="s">
        <v>250</v>
      </c>
      <c r="C45" s="14">
        <v>71.514899999999997</v>
      </c>
      <c r="D45" s="14">
        <v>70.361900000000006</v>
      </c>
      <c r="E45" s="14">
        <v>66.968599999999995</v>
      </c>
      <c r="F45" s="14">
        <v>67.807500000000005</v>
      </c>
      <c r="G45" s="14">
        <v>65.322000000000003</v>
      </c>
      <c r="H45" s="14">
        <v>67.729799999999997</v>
      </c>
      <c r="I45" s="14">
        <v>67.743799999999993</v>
      </c>
      <c r="J45" s="14">
        <v>67.916899999999998</v>
      </c>
      <c r="K45" s="14">
        <v>69.001599999999996</v>
      </c>
      <c r="L45" s="14">
        <v>67.207700000000003</v>
      </c>
      <c r="M45" s="14">
        <v>75.19</v>
      </c>
      <c r="N45" s="14">
        <v>68.753600000000006</v>
      </c>
    </row>
    <row r="46" spans="2:14">
      <c r="B46" t="s">
        <v>97</v>
      </c>
      <c r="C46" s="14">
        <v>340.33670000000001</v>
      </c>
      <c r="D46" s="14">
        <v>347.85419999999999</v>
      </c>
      <c r="E46" s="14">
        <v>339.02980000000002</v>
      </c>
      <c r="F46" s="14">
        <v>343.04739999999998</v>
      </c>
      <c r="G46" s="14">
        <v>345.69490000000002</v>
      </c>
      <c r="H46" s="14">
        <v>345.8159</v>
      </c>
      <c r="I46" s="14">
        <v>355.45359999999999</v>
      </c>
      <c r="J46" s="14">
        <v>364.2432</v>
      </c>
      <c r="K46" s="14">
        <v>344.38139999999999</v>
      </c>
      <c r="L46" s="14">
        <v>353.69450000000001</v>
      </c>
      <c r="M46" s="14">
        <v>356.41300000000001</v>
      </c>
      <c r="N46" s="14">
        <v>362.32139999999998</v>
      </c>
    </row>
    <row r="47" spans="2:14">
      <c r="B47" t="s">
        <v>142</v>
      </c>
      <c r="C47" s="14">
        <v>59.610100000000003</v>
      </c>
      <c r="D47" s="14">
        <v>58.984999999999999</v>
      </c>
      <c r="E47" s="14">
        <v>58.558399999999999</v>
      </c>
      <c r="F47" s="14">
        <v>61.346800000000002</v>
      </c>
      <c r="G47" s="14">
        <v>60.490600000000001</v>
      </c>
      <c r="H47" s="14">
        <v>61.278700000000001</v>
      </c>
      <c r="I47" s="14">
        <v>62.099899999999998</v>
      </c>
      <c r="J47" s="14">
        <v>65.278999999999996</v>
      </c>
      <c r="K47" s="14">
        <v>66.275899999999993</v>
      </c>
      <c r="L47" s="14">
        <v>69.775499999999994</v>
      </c>
      <c r="M47" s="14">
        <v>71.035499999999999</v>
      </c>
      <c r="N47" s="14">
        <v>68.793700000000001</v>
      </c>
    </row>
    <row r="48" spans="2:14">
      <c r="B48" t="s">
        <v>101</v>
      </c>
      <c r="C48" s="14">
        <v>546.59529999999995</v>
      </c>
      <c r="D48" s="14">
        <v>533.7962</v>
      </c>
      <c r="E48" s="14">
        <v>537.77790000000005</v>
      </c>
      <c r="F48" s="14">
        <v>553.97149999999999</v>
      </c>
      <c r="G48" s="14">
        <v>551.04549999999995</v>
      </c>
      <c r="H48" s="14">
        <v>561.96280000000002</v>
      </c>
      <c r="I48" s="14">
        <v>576.27750000000003</v>
      </c>
      <c r="J48" s="14">
        <v>581.35450000000003</v>
      </c>
      <c r="K48" s="14">
        <v>585.83389999999997</v>
      </c>
      <c r="L48" s="14">
        <v>584.36040000000003</v>
      </c>
      <c r="M48" s="14">
        <v>592.22609999999997</v>
      </c>
      <c r="N48" s="14">
        <v>602.98940000000005</v>
      </c>
    </row>
    <row r="49" spans="2:14">
      <c r="B49" t="s">
        <v>116</v>
      </c>
      <c r="C49" s="14">
        <v>388.48790000000002</v>
      </c>
      <c r="D49" s="14">
        <v>390.6703</v>
      </c>
      <c r="E49" s="14">
        <v>397.8999</v>
      </c>
      <c r="F49" s="14">
        <v>407.12580000000003</v>
      </c>
      <c r="G49" s="14">
        <v>416.44529999999997</v>
      </c>
      <c r="H49" s="14">
        <v>417.0462</v>
      </c>
      <c r="I49" s="14">
        <v>423.20330000000001</v>
      </c>
      <c r="J49" s="14">
        <v>429.29910000000001</v>
      </c>
      <c r="K49" s="14">
        <v>432.6617</v>
      </c>
      <c r="L49" s="14">
        <v>426.43239999999997</v>
      </c>
      <c r="M49" s="14">
        <v>429.22559999999999</v>
      </c>
      <c r="N49" s="14">
        <v>442.01119999999997</v>
      </c>
    </row>
    <row r="50" spans="2:14">
      <c r="B50" t="s">
        <v>90</v>
      </c>
      <c r="C50" s="14">
        <v>97.054900000000004</v>
      </c>
      <c r="D50" s="14">
        <v>97.499899999999997</v>
      </c>
      <c r="E50" s="14">
        <v>99.170400000000001</v>
      </c>
      <c r="F50" s="14">
        <v>101.52679999999999</v>
      </c>
      <c r="G50" s="14">
        <v>104.5745</v>
      </c>
      <c r="H50" s="14">
        <v>107.5745</v>
      </c>
      <c r="I50" s="14">
        <v>112.61450000000001</v>
      </c>
      <c r="J50" s="14">
        <v>116.5996</v>
      </c>
      <c r="K50" s="14">
        <v>119.3066</v>
      </c>
      <c r="L50" s="14">
        <v>115.9853</v>
      </c>
      <c r="M50" s="14">
        <v>119.1409</v>
      </c>
      <c r="N50" s="14">
        <v>124.8442</v>
      </c>
    </row>
    <row r="51" spans="2:14">
      <c r="B51" t="s">
        <v>118</v>
      </c>
      <c r="C51" s="14">
        <v>462.92630000000003</v>
      </c>
      <c r="D51" s="14">
        <v>461.83609999999999</v>
      </c>
      <c r="E51" s="14">
        <v>479.98509999999999</v>
      </c>
      <c r="F51" s="14">
        <v>480.80270000000002</v>
      </c>
      <c r="G51" s="14">
        <v>494.84500000000003</v>
      </c>
      <c r="H51" s="14">
        <v>511.27769999999998</v>
      </c>
      <c r="I51" s="14">
        <v>532.19899999999996</v>
      </c>
      <c r="J51" s="14">
        <v>545.86699999999996</v>
      </c>
      <c r="K51" s="14">
        <v>534.55780000000004</v>
      </c>
      <c r="L51" s="14">
        <v>537.75160000000005</v>
      </c>
      <c r="M51" s="14">
        <v>547.21780000000001</v>
      </c>
      <c r="N51" s="14">
        <v>559.18550000000005</v>
      </c>
    </row>
    <row r="52" spans="2:14">
      <c r="B52" t="s">
        <v>130</v>
      </c>
      <c r="C52" s="14">
        <v>67.601299999999995</v>
      </c>
      <c r="D52" s="14">
        <v>70.631600000000006</v>
      </c>
      <c r="E52" s="14">
        <v>66.204899999999995</v>
      </c>
      <c r="F52" s="14">
        <v>72.068299999999994</v>
      </c>
      <c r="G52" s="14">
        <v>75.756200000000007</v>
      </c>
      <c r="H52" s="14">
        <v>81.454300000000003</v>
      </c>
      <c r="I52" s="14">
        <v>84.644900000000007</v>
      </c>
      <c r="J52" s="14">
        <v>87.014899999999997</v>
      </c>
      <c r="K52" s="14">
        <v>85.202399999999997</v>
      </c>
      <c r="L52" s="14">
        <v>83.082099999999997</v>
      </c>
      <c r="M52" s="14">
        <v>80.239500000000007</v>
      </c>
      <c r="N52" s="14">
        <v>82.917699999999996</v>
      </c>
    </row>
    <row r="53" spans="2:14">
      <c r="B53" t="s">
        <v>126</v>
      </c>
      <c r="C53" s="14">
        <v>193.7259</v>
      </c>
      <c r="D53" s="14">
        <v>198.21340000000001</v>
      </c>
      <c r="E53" s="14">
        <v>204.14789999999999</v>
      </c>
      <c r="F53" s="14">
        <v>202.1557</v>
      </c>
      <c r="G53" s="14">
        <v>197.32570000000001</v>
      </c>
      <c r="H53" s="14">
        <v>198.74469999999999</v>
      </c>
      <c r="I53" s="14">
        <v>193.4203</v>
      </c>
      <c r="J53" s="14">
        <v>197.66839999999999</v>
      </c>
      <c r="K53" s="14">
        <v>198.74940000000001</v>
      </c>
      <c r="L53" s="14">
        <v>175.35650000000001</v>
      </c>
      <c r="M53" s="14">
        <v>174.9203</v>
      </c>
      <c r="N53" s="14">
        <v>180.69560000000001</v>
      </c>
    </row>
    <row r="54" spans="2:14">
      <c r="B54" t="s">
        <v>124</v>
      </c>
      <c r="C54" s="14">
        <v>108.27930000000001</v>
      </c>
      <c r="D54" s="14">
        <v>103.3625</v>
      </c>
      <c r="E54" s="14">
        <v>108.91589999999999</v>
      </c>
      <c r="F54" s="14">
        <v>109.4472</v>
      </c>
      <c r="G54" s="14">
        <v>104.6523</v>
      </c>
      <c r="H54" s="14">
        <v>111.9008</v>
      </c>
      <c r="I54" s="14">
        <v>111.111</v>
      </c>
      <c r="J54" s="14">
        <v>111.71299999999999</v>
      </c>
      <c r="K54" s="14">
        <v>117.7557</v>
      </c>
      <c r="L54" s="14">
        <v>112.16119999999999</v>
      </c>
      <c r="M54" s="14">
        <v>117.6478</v>
      </c>
      <c r="N54" s="14">
        <v>116.71810000000001</v>
      </c>
    </row>
    <row r="55" spans="2:14">
      <c r="B55" t="s">
        <v>149</v>
      </c>
      <c r="C55" s="14">
        <v>313.19970000000001</v>
      </c>
      <c r="D55" s="14">
        <v>309.91750000000002</v>
      </c>
      <c r="E55" s="14">
        <v>318.94970000000001</v>
      </c>
      <c r="F55" s="14">
        <v>323.05180000000001</v>
      </c>
      <c r="G55" s="14">
        <v>330.60939999999999</v>
      </c>
      <c r="H55" s="14">
        <v>340.00659999999999</v>
      </c>
      <c r="I55" s="14">
        <v>351.5788</v>
      </c>
      <c r="J55" s="14">
        <v>344.79410000000001</v>
      </c>
      <c r="K55" s="14">
        <v>347.4699</v>
      </c>
      <c r="L55" s="14">
        <v>350.53579999999999</v>
      </c>
      <c r="M55" s="14">
        <v>362.94749999999999</v>
      </c>
      <c r="N55" s="14">
        <v>369.64550000000003</v>
      </c>
    </row>
    <row r="56" spans="2:14">
      <c r="B56" t="s">
        <v>122</v>
      </c>
      <c r="C56" s="14">
        <v>92.448599999999999</v>
      </c>
      <c r="D56" s="14">
        <v>90.899799999999999</v>
      </c>
      <c r="E56" s="14">
        <v>95.944800000000001</v>
      </c>
      <c r="F56" s="14">
        <v>93.013300000000001</v>
      </c>
      <c r="G56" s="14">
        <v>97.861099999999993</v>
      </c>
      <c r="H56" s="14">
        <v>94.2149</v>
      </c>
      <c r="I56" s="14">
        <v>98.184700000000007</v>
      </c>
      <c r="J56" s="14">
        <v>99.093800000000002</v>
      </c>
      <c r="K56" s="14">
        <v>97.886099999999999</v>
      </c>
      <c r="L56" s="14">
        <v>98.325199999999995</v>
      </c>
      <c r="M56" s="14">
        <v>100.53749999999999</v>
      </c>
      <c r="N56" s="14">
        <v>103.0068</v>
      </c>
    </row>
    <row r="57" spans="2:14">
      <c r="B57" t="s">
        <v>112</v>
      </c>
      <c r="C57" s="14">
        <v>176.29519999999999</v>
      </c>
      <c r="D57" s="14">
        <v>180.23240000000001</v>
      </c>
      <c r="E57" s="14">
        <v>176.2456</v>
      </c>
      <c r="F57" s="14">
        <v>177.8246</v>
      </c>
      <c r="G57" s="14">
        <v>180.5891</v>
      </c>
      <c r="H57" s="14">
        <v>190.80260000000001</v>
      </c>
      <c r="I57" s="14">
        <v>202.41970000000001</v>
      </c>
      <c r="J57" s="14">
        <v>211.30369999999999</v>
      </c>
      <c r="K57" s="14">
        <v>214.75229999999999</v>
      </c>
      <c r="L57" s="14">
        <v>214.43790000000001</v>
      </c>
      <c r="M57" s="14">
        <v>222.52180000000001</v>
      </c>
      <c r="N57" s="14">
        <v>223.3323</v>
      </c>
    </row>
    <row r="58" spans="2:14">
      <c r="B58" t="s">
        <v>119</v>
      </c>
      <c r="C58" s="14">
        <v>480.16559999999998</v>
      </c>
      <c r="D58" s="14">
        <v>486.97149999999999</v>
      </c>
      <c r="E58" s="14">
        <v>493.75779999999997</v>
      </c>
      <c r="F58" s="14">
        <v>504.89830000000001</v>
      </c>
      <c r="G58" s="14">
        <v>514.45759999999996</v>
      </c>
      <c r="H58" s="14">
        <v>522.45309999999995</v>
      </c>
      <c r="I58" s="14">
        <v>537.12159999999994</v>
      </c>
      <c r="J58" s="14">
        <v>542.90129999999999</v>
      </c>
      <c r="K58" s="14">
        <v>538.38</v>
      </c>
      <c r="L58" s="14">
        <v>537.78980000000001</v>
      </c>
      <c r="M58" s="14">
        <v>557.0163</v>
      </c>
      <c r="N58" s="14">
        <v>572.55219999999997</v>
      </c>
    </row>
    <row r="59" spans="2:14">
      <c r="B59" t="s">
        <v>131</v>
      </c>
      <c r="C59" s="14">
        <v>116.995</v>
      </c>
      <c r="D59" s="14">
        <v>115.71169999999999</v>
      </c>
      <c r="E59" s="14">
        <v>116.44499999999999</v>
      </c>
      <c r="F59" s="14">
        <v>120.9395</v>
      </c>
      <c r="G59" s="14">
        <v>118.79989999999999</v>
      </c>
      <c r="H59" s="14">
        <v>120.57250000000001</v>
      </c>
      <c r="I59" s="14">
        <v>121.88339999999999</v>
      </c>
      <c r="J59" s="14">
        <v>123.89149999999999</v>
      </c>
      <c r="K59" s="14">
        <v>120.4474</v>
      </c>
      <c r="L59" s="14">
        <v>120.297</v>
      </c>
      <c r="M59" s="14">
        <v>125.6067</v>
      </c>
      <c r="N59" s="14">
        <v>127.3942</v>
      </c>
    </row>
    <row r="60" spans="2:14">
      <c r="B60" t="s">
        <v>103</v>
      </c>
      <c r="C60" s="14">
        <v>181.7071</v>
      </c>
      <c r="D60" s="14">
        <v>183.09280000000001</v>
      </c>
      <c r="E60" s="14">
        <v>189.38800000000001</v>
      </c>
      <c r="F60" s="14">
        <v>189.56290000000001</v>
      </c>
      <c r="G60" s="14">
        <v>197.31909999999999</v>
      </c>
      <c r="H60" s="14">
        <v>195.7449</v>
      </c>
      <c r="I60" s="14">
        <v>203.5077</v>
      </c>
      <c r="J60" s="14">
        <v>203.7227</v>
      </c>
      <c r="K60" s="14">
        <v>210.62379999999999</v>
      </c>
      <c r="L60" s="14">
        <v>205.98869999999999</v>
      </c>
      <c r="M60" s="14">
        <v>207.11369999999999</v>
      </c>
      <c r="N60" s="14">
        <v>220.7937</v>
      </c>
    </row>
    <row r="61" spans="2:14">
      <c r="B61" t="s">
        <v>108</v>
      </c>
      <c r="C61" s="14">
        <v>260.82040000000001</v>
      </c>
      <c r="D61" s="14">
        <v>258.8655</v>
      </c>
      <c r="E61" s="14">
        <v>259.7577</v>
      </c>
      <c r="F61" s="14">
        <v>267.30410000000001</v>
      </c>
      <c r="G61" s="14">
        <v>274.3843</v>
      </c>
      <c r="H61" s="14">
        <v>269.41669999999999</v>
      </c>
      <c r="I61" s="14">
        <v>272.2774</v>
      </c>
      <c r="J61" s="14">
        <v>273.97129999999999</v>
      </c>
      <c r="K61" s="14">
        <v>276.92540000000002</v>
      </c>
      <c r="L61" s="14">
        <v>270.01139999999998</v>
      </c>
      <c r="M61" s="14">
        <v>280.3252</v>
      </c>
      <c r="N61" s="14">
        <v>291.06029999999998</v>
      </c>
    </row>
    <row r="62" spans="2:14">
      <c r="B62" t="s">
        <v>120</v>
      </c>
      <c r="C62" s="14">
        <v>397.2799</v>
      </c>
      <c r="D62" s="14">
        <v>404.64080000000001</v>
      </c>
      <c r="E62" s="14">
        <v>401.09690000000001</v>
      </c>
      <c r="F62" s="14">
        <v>399.44060000000002</v>
      </c>
      <c r="G62" s="14">
        <v>415.85210000000001</v>
      </c>
      <c r="H62" s="14">
        <v>421.61250000000001</v>
      </c>
      <c r="I62" s="14">
        <v>432.14089999999999</v>
      </c>
      <c r="J62" s="14">
        <v>442.34359999999998</v>
      </c>
      <c r="K62" s="14">
        <v>430.2131</v>
      </c>
      <c r="L62" s="14">
        <v>458.95530000000002</v>
      </c>
      <c r="M62" s="14">
        <v>467.79250000000002</v>
      </c>
      <c r="N62" s="14">
        <v>487.20670000000001</v>
      </c>
    </row>
    <row r="63" spans="2:14">
      <c r="B63" t="s">
        <v>137</v>
      </c>
      <c r="C63" s="14">
        <v>240.96780000000001</v>
      </c>
      <c r="D63" s="14">
        <v>243.71539999999999</v>
      </c>
      <c r="E63" s="14">
        <v>243.67099999999999</v>
      </c>
      <c r="F63" s="14">
        <v>246.93889999999999</v>
      </c>
      <c r="G63" s="14">
        <v>247.18260000000001</v>
      </c>
      <c r="H63" s="14">
        <v>248.95480000000001</v>
      </c>
      <c r="I63" s="14">
        <v>263.82080000000002</v>
      </c>
      <c r="J63" s="14">
        <v>272.3449</v>
      </c>
      <c r="K63" s="14">
        <v>269.66379999999998</v>
      </c>
      <c r="L63" s="14">
        <v>267.54950000000002</v>
      </c>
      <c r="M63" s="14">
        <v>281.98989999999998</v>
      </c>
      <c r="N63" s="14">
        <v>288.84120000000001</v>
      </c>
    </row>
    <row r="64" spans="2:14">
      <c r="B64" t="s">
        <v>110</v>
      </c>
      <c r="C64" s="14">
        <v>658.07140000000004</v>
      </c>
      <c r="D64" s="14">
        <v>649.08370000000002</v>
      </c>
      <c r="E64" s="14">
        <v>658.99599999999998</v>
      </c>
      <c r="F64" s="14">
        <v>649.78160000000003</v>
      </c>
      <c r="G64" s="14">
        <v>648.87750000000005</v>
      </c>
      <c r="H64" s="14">
        <v>663.51739999999995</v>
      </c>
      <c r="I64" s="14">
        <v>671.57410000000004</v>
      </c>
      <c r="J64" s="14">
        <v>684.47190000000001</v>
      </c>
      <c r="K64" s="14">
        <v>675.96569999999997</v>
      </c>
      <c r="L64" s="14">
        <v>677.88030000000003</v>
      </c>
      <c r="M64" s="14">
        <v>693.89919999999995</v>
      </c>
      <c r="N64" s="14">
        <v>719.94060000000002</v>
      </c>
    </row>
    <row r="65" spans="2:14">
      <c r="B65" t="s">
        <v>145</v>
      </c>
      <c r="C65" s="14">
        <v>1051.7637</v>
      </c>
      <c r="D65" s="14">
        <v>1073.5454999999999</v>
      </c>
      <c r="E65" s="14">
        <v>1098.8221000000001</v>
      </c>
      <c r="F65" s="14">
        <v>1105.3554999999999</v>
      </c>
      <c r="G65" s="14">
        <v>1122.3316</v>
      </c>
      <c r="H65" s="14">
        <v>1132.8148000000001</v>
      </c>
      <c r="I65" s="14">
        <v>1129.6877999999999</v>
      </c>
      <c r="J65" s="14">
        <v>1126.2435</v>
      </c>
      <c r="K65" s="14">
        <v>1049.7793999999999</v>
      </c>
      <c r="L65" s="14">
        <v>1022.221</v>
      </c>
      <c r="M65" s="14">
        <v>1044.4983999999999</v>
      </c>
      <c r="N65" s="14">
        <v>1054.1541999999999</v>
      </c>
    </row>
    <row r="66" spans="2:14">
      <c r="B66" t="s">
        <v>114</v>
      </c>
      <c r="C66" s="14">
        <v>169.3896</v>
      </c>
      <c r="D66" s="14">
        <v>170.94399999999999</v>
      </c>
      <c r="E66" s="14">
        <v>176.84780000000001</v>
      </c>
      <c r="F66" s="14">
        <v>178.0806</v>
      </c>
      <c r="G66" s="14">
        <v>182.1266</v>
      </c>
      <c r="H66" s="14">
        <v>181.64439999999999</v>
      </c>
      <c r="I66" s="14">
        <v>189.3075</v>
      </c>
      <c r="J66" s="14">
        <v>191.4297</v>
      </c>
      <c r="K66" s="14">
        <v>196.06870000000001</v>
      </c>
      <c r="L66" s="14">
        <v>195.2689</v>
      </c>
      <c r="M66" s="14">
        <v>202.06790000000001</v>
      </c>
      <c r="N66" s="14">
        <v>207.53870000000001</v>
      </c>
    </row>
    <row r="67" spans="2:14">
      <c r="B67" t="s">
        <v>89</v>
      </c>
      <c r="C67" s="14">
        <v>41.951300000000003</v>
      </c>
      <c r="D67" s="14">
        <v>43.2971</v>
      </c>
      <c r="E67" s="14">
        <v>44.893799999999999</v>
      </c>
      <c r="F67" s="14">
        <v>42.445599999999999</v>
      </c>
      <c r="G67" s="14">
        <v>43.897500000000001</v>
      </c>
      <c r="H67" s="14">
        <v>45.688499999999998</v>
      </c>
      <c r="I67" s="14">
        <v>45.505400000000002</v>
      </c>
      <c r="J67" s="14">
        <v>46.367400000000004</v>
      </c>
      <c r="K67" s="14">
        <v>47.845599999999997</v>
      </c>
      <c r="L67" s="14">
        <v>50.029899999999998</v>
      </c>
      <c r="M67" s="14">
        <v>52.855499999999999</v>
      </c>
      <c r="N67" s="14">
        <v>50.899000000000001</v>
      </c>
    </row>
    <row r="68" spans="2:14">
      <c r="B68" t="s">
        <v>128</v>
      </c>
      <c r="C68" s="14">
        <v>61.334499999999998</v>
      </c>
      <c r="D68" s="14">
        <v>59.684100000000001</v>
      </c>
      <c r="E68" s="14">
        <v>60.683799999999998</v>
      </c>
      <c r="F68" s="14">
        <v>59.700299999999999</v>
      </c>
      <c r="G68" s="14">
        <v>62.657800000000002</v>
      </c>
      <c r="H68" s="14">
        <v>64.932100000000005</v>
      </c>
      <c r="I68" s="14">
        <v>65.990200000000002</v>
      </c>
      <c r="J68" s="14">
        <v>65.416300000000007</v>
      </c>
      <c r="K68" s="14">
        <v>66.678100000000001</v>
      </c>
      <c r="L68" s="14">
        <v>64.2303</v>
      </c>
      <c r="M68" s="14">
        <v>64.188199999999995</v>
      </c>
      <c r="N68" s="14">
        <v>67.154499999999999</v>
      </c>
    </row>
    <row r="69" spans="2:14">
      <c r="B69" t="s">
        <v>132</v>
      </c>
      <c r="C69" s="14">
        <v>305.35969999999998</v>
      </c>
      <c r="D69" s="14">
        <v>311.1884</v>
      </c>
      <c r="E69" s="14">
        <v>298.15980000000002</v>
      </c>
      <c r="F69" s="14">
        <v>310.5421</v>
      </c>
      <c r="G69" s="14">
        <v>311.92099999999999</v>
      </c>
      <c r="H69" s="14">
        <v>317.6431</v>
      </c>
      <c r="I69" s="14">
        <v>329.59160000000003</v>
      </c>
      <c r="J69" s="14">
        <v>333.93669999999997</v>
      </c>
      <c r="K69" s="14">
        <v>335.51560000000001</v>
      </c>
      <c r="L69" s="14">
        <v>330.17020000000002</v>
      </c>
      <c r="M69" s="14">
        <v>314.33499999999998</v>
      </c>
      <c r="N69" s="14">
        <v>319.2407</v>
      </c>
    </row>
    <row r="70" spans="2:14">
      <c r="B70" t="s">
        <v>117</v>
      </c>
      <c r="C70" s="14">
        <v>272.60410000000002</v>
      </c>
      <c r="D70" s="14">
        <v>274.18680000000001</v>
      </c>
      <c r="E70" s="14">
        <v>279.4923</v>
      </c>
      <c r="F70" s="14">
        <v>285.83890000000002</v>
      </c>
      <c r="G70" s="14">
        <v>289.6936</v>
      </c>
      <c r="H70" s="14">
        <v>293.67419999999998</v>
      </c>
      <c r="I70" s="14">
        <v>303.10469999999998</v>
      </c>
      <c r="J70" s="14">
        <v>301.43389999999999</v>
      </c>
      <c r="K70" s="14">
        <v>288.7423</v>
      </c>
      <c r="L70" s="14">
        <v>296.05590000000001</v>
      </c>
      <c r="M70" s="14">
        <v>326.9332</v>
      </c>
      <c r="N70" s="14">
        <v>341.83589999999998</v>
      </c>
    </row>
    <row r="71" spans="2:14">
      <c r="B71" t="s">
        <v>113</v>
      </c>
      <c r="C71" s="14">
        <v>257.93060000000003</v>
      </c>
      <c r="D71" s="14">
        <v>257.01760000000002</v>
      </c>
      <c r="E71" s="14">
        <v>265.76209999999998</v>
      </c>
      <c r="F71" s="14">
        <v>275.36320000000001</v>
      </c>
      <c r="G71" s="14">
        <v>267.08870000000002</v>
      </c>
      <c r="H71" s="14">
        <v>270.86059999999998</v>
      </c>
      <c r="I71" s="14">
        <v>273.94</v>
      </c>
      <c r="J71" s="14">
        <v>273.35129999999998</v>
      </c>
      <c r="K71" s="14">
        <v>277.61020000000002</v>
      </c>
      <c r="L71" s="14">
        <v>271.93380000000002</v>
      </c>
      <c r="M71" s="14">
        <v>276.94630000000001</v>
      </c>
      <c r="N71" s="14">
        <v>287.93900000000002</v>
      </c>
    </row>
    <row r="72" spans="2:14">
      <c r="B72" t="s">
        <v>106</v>
      </c>
      <c r="C72" s="14">
        <v>21.909099999999999</v>
      </c>
      <c r="D72" s="14">
        <v>20.7972</v>
      </c>
      <c r="E72" s="14">
        <v>21.2117</v>
      </c>
      <c r="F72" s="14">
        <v>22.695900000000002</v>
      </c>
      <c r="G72" s="14">
        <v>22.498000000000001</v>
      </c>
      <c r="H72" s="14">
        <v>23.657800000000002</v>
      </c>
      <c r="I72" s="14">
        <v>23.530100000000001</v>
      </c>
      <c r="J72" s="14">
        <v>21.807600000000001</v>
      </c>
      <c r="K72" s="14">
        <v>19.709</v>
      </c>
      <c r="L72" s="14">
        <v>20.6509</v>
      </c>
      <c r="M72" s="14">
        <v>21.130700000000001</v>
      </c>
      <c r="N72" s="14">
        <v>23.0046</v>
      </c>
    </row>
    <row r="73" spans="2:14">
      <c r="B73" t="s">
        <v>88</v>
      </c>
      <c r="C73" s="14">
        <v>52.4709</v>
      </c>
      <c r="D73" s="14">
        <v>46.965299999999999</v>
      </c>
      <c r="E73" s="14">
        <v>44.183799999999998</v>
      </c>
      <c r="F73" s="14">
        <v>45.0244</v>
      </c>
      <c r="G73" s="14">
        <v>46.668399999999998</v>
      </c>
      <c r="H73" s="14">
        <v>44.320300000000003</v>
      </c>
      <c r="I73" s="14">
        <v>41.446399999999997</v>
      </c>
      <c r="J73" s="14">
        <v>44.255000000000003</v>
      </c>
      <c r="K73" s="14">
        <v>48.343200000000003</v>
      </c>
      <c r="L73" s="14">
        <v>45.469000000000001</v>
      </c>
      <c r="M73" s="14">
        <v>44.826900000000002</v>
      </c>
      <c r="N73" s="14">
        <v>46.267099999999999</v>
      </c>
    </row>
    <row r="74" spans="2:14">
      <c r="B74" t="s">
        <v>99</v>
      </c>
      <c r="C74" s="14">
        <v>98.584900000000005</v>
      </c>
      <c r="D74" s="14">
        <v>96.955299999999994</v>
      </c>
      <c r="E74" s="14">
        <v>92.586100000000002</v>
      </c>
      <c r="F74" s="14">
        <v>93.241399999999999</v>
      </c>
      <c r="G74" s="14">
        <v>92.704999999999998</v>
      </c>
      <c r="H74" s="14">
        <v>92.727000000000004</v>
      </c>
      <c r="I74" s="14">
        <v>97.431200000000004</v>
      </c>
      <c r="J74" s="14">
        <v>95.834400000000002</v>
      </c>
      <c r="K74" s="14">
        <v>95.303100000000001</v>
      </c>
      <c r="L74" s="14">
        <v>93.718100000000007</v>
      </c>
      <c r="M74" s="14">
        <v>95.520300000000006</v>
      </c>
      <c r="N74" s="14">
        <v>94.398499999999999</v>
      </c>
    </row>
    <row r="75" spans="2:14">
      <c r="B75" t="s">
        <v>147</v>
      </c>
      <c r="C75" s="14">
        <v>46.853499999999997</v>
      </c>
      <c r="D75" s="14">
        <v>47.494500000000002</v>
      </c>
      <c r="E75" s="14">
        <v>47.532200000000003</v>
      </c>
      <c r="F75" s="14">
        <v>45.085000000000001</v>
      </c>
      <c r="G75" s="14">
        <v>46.269799999999996</v>
      </c>
      <c r="H75" s="14">
        <v>46.9818</v>
      </c>
      <c r="I75" s="14">
        <v>48.777099999999997</v>
      </c>
      <c r="J75" s="14">
        <v>47.004100000000001</v>
      </c>
      <c r="K75" s="14">
        <v>45.191099999999999</v>
      </c>
      <c r="L75" s="14">
        <v>47.416899999999998</v>
      </c>
      <c r="M75" s="14">
        <v>51.678899999999999</v>
      </c>
      <c r="N75" s="14">
        <v>51.793500000000002</v>
      </c>
    </row>
    <row r="76" spans="2:14">
      <c r="B76" t="s">
        <v>104</v>
      </c>
      <c r="C76" s="14">
        <v>54.037100000000002</v>
      </c>
      <c r="D76" s="14">
        <v>55.647599999999997</v>
      </c>
      <c r="E76" s="14">
        <v>55.034300000000002</v>
      </c>
      <c r="F76" s="14">
        <v>56.275199999999998</v>
      </c>
      <c r="G76" s="14">
        <v>57.375900000000001</v>
      </c>
      <c r="H76" s="14">
        <v>53.495399999999997</v>
      </c>
      <c r="I76" s="14">
        <v>54.9709</v>
      </c>
      <c r="J76" s="14">
        <v>56.076500000000003</v>
      </c>
      <c r="K76" s="14">
        <v>53.697699999999998</v>
      </c>
      <c r="L76" s="14">
        <v>52.7577</v>
      </c>
      <c r="M76" s="14">
        <v>57.148200000000003</v>
      </c>
      <c r="N76" s="14">
        <v>60.9709</v>
      </c>
    </row>
    <row r="77" spans="2:14">
      <c r="B77" t="s">
        <v>139</v>
      </c>
      <c r="C77" s="14">
        <v>313.62459999999999</v>
      </c>
      <c r="D77" s="14">
        <v>320.69299999999998</v>
      </c>
      <c r="E77" s="14">
        <v>319.85340000000002</v>
      </c>
      <c r="F77" s="14">
        <v>327.4751</v>
      </c>
      <c r="G77" s="14">
        <v>323.29360000000003</v>
      </c>
      <c r="H77" s="14">
        <v>324.0061</v>
      </c>
      <c r="I77" s="14">
        <v>346.60559999999998</v>
      </c>
      <c r="J77" s="14">
        <v>351.1354</v>
      </c>
      <c r="K77" s="14">
        <v>352.89069999999998</v>
      </c>
      <c r="L77" s="14">
        <v>354.85379999999998</v>
      </c>
      <c r="M77" s="14">
        <v>360.89339999999999</v>
      </c>
      <c r="N77" s="14">
        <v>386.08229999999998</v>
      </c>
    </row>
    <row r="78" spans="2:14">
      <c r="B78" t="s">
        <v>93</v>
      </c>
      <c r="C78" s="14">
        <v>2004.4353000000001</v>
      </c>
      <c r="D78" s="14">
        <v>2006.7193</v>
      </c>
      <c r="E78" s="14">
        <v>2039.3770999999999</v>
      </c>
      <c r="F78" s="14">
        <v>2020.8619000000001</v>
      </c>
      <c r="G78" s="14">
        <v>2038.4085</v>
      </c>
      <c r="H78" s="14">
        <v>2101.3114999999998</v>
      </c>
      <c r="I78" s="14">
        <v>2133.3905</v>
      </c>
      <c r="J78" s="14">
        <v>2236.0718000000002</v>
      </c>
      <c r="K78" s="14">
        <v>2242.5767999999998</v>
      </c>
      <c r="L78" s="14">
        <v>2208.8321000000001</v>
      </c>
      <c r="M78" s="14">
        <v>2305.2521999999999</v>
      </c>
      <c r="N78" s="14">
        <v>2380.8586</v>
      </c>
    </row>
    <row r="79" spans="2:14">
      <c r="B79" t="s">
        <v>125</v>
      </c>
      <c r="C79" s="14">
        <v>321.98829999999998</v>
      </c>
      <c r="D79" s="14">
        <v>339.7885</v>
      </c>
      <c r="E79" s="14">
        <v>367.3965</v>
      </c>
      <c r="F79" s="14">
        <v>389.55489999999998</v>
      </c>
      <c r="G79" s="14">
        <v>408.14749999999998</v>
      </c>
      <c r="H79" s="14">
        <v>435.96420000000001</v>
      </c>
      <c r="I79" s="14">
        <v>448.41199999999998</v>
      </c>
      <c r="J79" s="14">
        <v>478.14789999999999</v>
      </c>
      <c r="K79" s="14">
        <v>511.11149999999998</v>
      </c>
      <c r="L79" s="14">
        <v>523.32389999999998</v>
      </c>
      <c r="M79" s="14">
        <v>572.20699999999999</v>
      </c>
      <c r="N79" s="14">
        <v>623.16219999999998</v>
      </c>
    </row>
    <row r="80" spans="2:14">
      <c r="B80" t="s">
        <v>75</v>
      </c>
      <c r="C80" s="14">
        <v>197.11019999999999</v>
      </c>
      <c r="D80" s="14">
        <v>209.2921</v>
      </c>
      <c r="E80" s="14">
        <v>210.6593</v>
      </c>
      <c r="F80" s="14">
        <v>212.02449999999999</v>
      </c>
      <c r="G80" s="14">
        <v>215.5471</v>
      </c>
      <c r="H80" s="14">
        <v>216.95859999999999</v>
      </c>
      <c r="I80" s="14">
        <v>220.601</v>
      </c>
      <c r="J80" s="14">
        <v>224.4716</v>
      </c>
      <c r="K80" s="14">
        <v>226.09270000000001</v>
      </c>
      <c r="L80" s="14">
        <v>227.70269999999999</v>
      </c>
      <c r="M80" s="14">
        <v>230.6568</v>
      </c>
      <c r="N80" s="14">
        <v>236.77850000000001</v>
      </c>
    </row>
    <row r="81" spans="1:14">
      <c r="B81" t="s">
        <v>136</v>
      </c>
      <c r="C81" s="14">
        <v>254.11060000000001</v>
      </c>
      <c r="D81" s="14">
        <v>254.6927</v>
      </c>
      <c r="E81" s="14">
        <v>254.1977</v>
      </c>
      <c r="F81" s="14">
        <v>257.2072</v>
      </c>
      <c r="G81" s="14">
        <v>259.19189999999998</v>
      </c>
      <c r="H81" s="14">
        <v>260.20549999999997</v>
      </c>
      <c r="I81" s="14">
        <v>266.14589999999998</v>
      </c>
      <c r="J81" s="14">
        <v>263.76179999999999</v>
      </c>
      <c r="K81" s="14">
        <v>266.41149999999999</v>
      </c>
      <c r="L81" s="14">
        <v>266.31760000000003</v>
      </c>
      <c r="M81" s="14">
        <v>281.43509999999998</v>
      </c>
      <c r="N81" s="14">
        <v>291.50229999999999</v>
      </c>
    </row>
    <row r="82" spans="1:14">
      <c r="B82" t="s">
        <v>111</v>
      </c>
      <c r="C82" s="14">
        <v>17.974</v>
      </c>
      <c r="D82" s="14">
        <v>18.393899999999999</v>
      </c>
      <c r="E82" s="14">
        <v>17.3553</v>
      </c>
      <c r="F82" s="14">
        <v>17.64</v>
      </c>
      <c r="G82" s="14">
        <v>17.944600000000001</v>
      </c>
      <c r="H82" s="14">
        <v>20.6662</v>
      </c>
      <c r="I82" s="14">
        <v>18.822800000000001</v>
      </c>
      <c r="J82" s="14">
        <v>18.162400000000002</v>
      </c>
      <c r="K82" s="14">
        <v>18.3733</v>
      </c>
      <c r="L82" s="14">
        <v>19.334099999999999</v>
      </c>
      <c r="M82" s="14">
        <v>20.437100000000001</v>
      </c>
      <c r="N82" s="14">
        <v>19.607299999999999</v>
      </c>
    </row>
    <row r="83" spans="1:14">
      <c r="B83" t="s">
        <v>140</v>
      </c>
      <c r="C83" s="14">
        <v>39.499499999999998</v>
      </c>
      <c r="D83" s="14">
        <v>42.7425</v>
      </c>
      <c r="E83" s="14">
        <v>41.915100000000002</v>
      </c>
      <c r="F83" s="14">
        <v>40.598700000000001</v>
      </c>
      <c r="G83" s="14">
        <v>39.772399999999998</v>
      </c>
      <c r="H83" s="14">
        <v>39.100499999999997</v>
      </c>
      <c r="I83" s="14">
        <v>42.454599999999999</v>
      </c>
      <c r="J83" s="14">
        <v>41.638399999999997</v>
      </c>
      <c r="K83" s="14">
        <v>44.659700000000001</v>
      </c>
      <c r="L83" s="14">
        <v>43.523600000000002</v>
      </c>
      <c r="M83" s="14">
        <v>42.494199999999999</v>
      </c>
      <c r="N83" s="14">
        <v>45.074800000000003</v>
      </c>
    </row>
    <row r="84" spans="1:14">
      <c r="B84" t="s">
        <v>92</v>
      </c>
      <c r="C84" s="14">
        <v>7.9194000000000004</v>
      </c>
      <c r="D84" s="14">
        <v>7.9610000000000003</v>
      </c>
      <c r="E84" s="14">
        <v>7.6878000000000002</v>
      </c>
      <c r="F84" s="14">
        <v>7.6985999999999999</v>
      </c>
      <c r="G84" s="14">
        <v>7.6898999999999997</v>
      </c>
      <c r="H84" s="14">
        <v>7.1981999999999999</v>
      </c>
      <c r="I84" s="14">
        <v>6.5594000000000001</v>
      </c>
      <c r="J84" s="14">
        <v>7.2925000000000004</v>
      </c>
      <c r="K84" s="14">
        <v>7.1300999999999997</v>
      </c>
      <c r="L84" s="14">
        <v>7.8994</v>
      </c>
      <c r="M84" s="14">
        <v>6.7366999999999999</v>
      </c>
      <c r="N84" s="14">
        <v>7.6064999999999996</v>
      </c>
    </row>
    <row r="85" spans="1:14">
      <c r="B85" t="s">
        <v>143</v>
      </c>
      <c r="C85" s="14">
        <v>133.0147</v>
      </c>
      <c r="D85" s="14">
        <v>140.1917</v>
      </c>
      <c r="E85" s="14">
        <v>135.46530000000001</v>
      </c>
      <c r="F85" s="14">
        <v>135.4333</v>
      </c>
      <c r="G85" s="14">
        <v>136.2901</v>
      </c>
      <c r="H85" s="14">
        <v>142.76769999999999</v>
      </c>
      <c r="I85" s="14">
        <v>149.6542</v>
      </c>
      <c r="J85" s="14">
        <v>146.63829999999999</v>
      </c>
      <c r="K85" s="14">
        <v>147.4915</v>
      </c>
      <c r="L85" s="14">
        <v>142.74680000000001</v>
      </c>
      <c r="M85" s="14">
        <v>151.5616</v>
      </c>
      <c r="N85" s="14">
        <v>158.05879999999999</v>
      </c>
    </row>
    <row r="86" spans="1:14">
      <c r="B86" t="s">
        <v>91</v>
      </c>
      <c r="C86" s="14">
        <v>89.169600000000003</v>
      </c>
      <c r="D86" s="14">
        <v>92.300700000000006</v>
      </c>
      <c r="E86" s="14">
        <v>95.007300000000001</v>
      </c>
      <c r="F86" s="14">
        <v>102.4365</v>
      </c>
      <c r="G86" s="14">
        <v>101.9999</v>
      </c>
      <c r="H86" s="14">
        <v>102.9355</v>
      </c>
      <c r="I86" s="14">
        <v>105.6523</v>
      </c>
      <c r="J86" s="14">
        <v>106.4753</v>
      </c>
      <c r="K86" s="14">
        <v>106.8811</v>
      </c>
      <c r="L86" s="14">
        <v>111.4088</v>
      </c>
      <c r="M86" s="14">
        <v>116.37649999999999</v>
      </c>
      <c r="N86" s="14">
        <v>119.9559</v>
      </c>
    </row>
    <row r="87" spans="1:14">
      <c r="B87" t="s">
        <v>121</v>
      </c>
      <c r="C87" s="14">
        <v>154.86590000000001</v>
      </c>
      <c r="D87" s="14">
        <v>178.49100000000001</v>
      </c>
      <c r="E87" s="14">
        <v>197.43700000000001</v>
      </c>
      <c r="F87" s="14">
        <v>199.67740000000001</v>
      </c>
      <c r="G87" s="14">
        <v>204.9478</v>
      </c>
      <c r="H87" s="14">
        <v>214.63579999999999</v>
      </c>
      <c r="I87" s="14">
        <v>221.23150000000001</v>
      </c>
      <c r="J87" s="14">
        <v>227.22</v>
      </c>
      <c r="K87" s="14">
        <v>233.49039999999999</v>
      </c>
      <c r="L87" s="14">
        <v>227.88550000000001</v>
      </c>
      <c r="M87" s="14">
        <v>241.51570000000001</v>
      </c>
      <c r="N87" s="14">
        <v>256.76729999999998</v>
      </c>
    </row>
    <row r="88" spans="1:14">
      <c r="B88" t="s">
        <v>95</v>
      </c>
      <c r="C88" s="14">
        <v>613.3279</v>
      </c>
      <c r="D88" s="14">
        <v>613.12699999999995</v>
      </c>
      <c r="E88" s="14">
        <v>620.11410000000001</v>
      </c>
      <c r="F88" s="14">
        <v>628.75689999999997</v>
      </c>
      <c r="G88" s="14">
        <v>637.81470000000002</v>
      </c>
      <c r="H88" s="14">
        <v>652.80399999999997</v>
      </c>
      <c r="I88" s="14">
        <v>668.18859999999995</v>
      </c>
      <c r="J88" s="14">
        <v>668.87440000000004</v>
      </c>
      <c r="K88" s="14">
        <v>651.59649999999999</v>
      </c>
      <c r="L88" s="14">
        <v>647.80909999999994</v>
      </c>
      <c r="M88" s="14">
        <v>663.81880000000001</v>
      </c>
      <c r="N88" s="14">
        <v>681.65660000000003</v>
      </c>
    </row>
    <row r="89" spans="1:14">
      <c r="B89" t="s">
        <v>94</v>
      </c>
      <c r="C89" s="14">
        <v>102.9166</v>
      </c>
      <c r="D89" s="14">
        <v>106.0432</v>
      </c>
      <c r="E89" s="14">
        <v>100.91679999999999</v>
      </c>
      <c r="F89" s="14">
        <v>107.19029999999999</v>
      </c>
      <c r="G89" s="14">
        <v>103.9799</v>
      </c>
      <c r="H89" s="14">
        <v>104.4538</v>
      </c>
      <c r="I89" s="14">
        <v>102.95489999999999</v>
      </c>
      <c r="J89" s="14">
        <v>102.96599999999999</v>
      </c>
      <c r="K89" s="14">
        <v>97.543000000000006</v>
      </c>
      <c r="L89" s="14">
        <v>98.035300000000007</v>
      </c>
      <c r="M89" s="14">
        <v>103.4123</v>
      </c>
      <c r="N89" s="14">
        <v>106.0231</v>
      </c>
    </row>
    <row r="90" spans="1:14">
      <c r="B90" t="s">
        <v>129</v>
      </c>
      <c r="C90" s="14">
        <v>191.52</v>
      </c>
      <c r="D90" s="14">
        <v>193.8929</v>
      </c>
      <c r="E90" s="14">
        <v>194.77080000000001</v>
      </c>
      <c r="F90" s="14">
        <v>194.15289999999999</v>
      </c>
      <c r="G90" s="14">
        <v>197.39420000000001</v>
      </c>
      <c r="H90" s="14">
        <v>196.44800000000001</v>
      </c>
      <c r="I90" s="14">
        <v>198.7629</v>
      </c>
      <c r="J90" s="14">
        <v>202.62819999999999</v>
      </c>
      <c r="K90" s="14">
        <v>200.61660000000001</v>
      </c>
      <c r="L90" s="14">
        <v>198.30709999999999</v>
      </c>
      <c r="M90" s="14">
        <v>205.5566</v>
      </c>
      <c r="N90" s="14">
        <v>213.60300000000001</v>
      </c>
    </row>
    <row r="91" spans="1:14">
      <c r="B91" t="s">
        <v>98</v>
      </c>
      <c r="C91" s="14">
        <v>80.630899999999997</v>
      </c>
      <c r="D91" s="14">
        <v>79.808300000000003</v>
      </c>
      <c r="E91" s="14">
        <v>81.338800000000006</v>
      </c>
      <c r="F91" s="14">
        <v>81.985299999999995</v>
      </c>
      <c r="G91" s="14">
        <v>78.518000000000001</v>
      </c>
      <c r="H91" s="14">
        <v>82.031300000000002</v>
      </c>
      <c r="I91" s="14">
        <v>84.454899999999995</v>
      </c>
      <c r="J91" s="14">
        <v>83.221699999999998</v>
      </c>
      <c r="K91" s="14">
        <v>81.883799999999994</v>
      </c>
      <c r="L91" s="14">
        <v>82.234399999999994</v>
      </c>
      <c r="M91" s="14">
        <v>71.767200000000003</v>
      </c>
      <c r="N91" s="14">
        <v>70.668000000000006</v>
      </c>
    </row>
    <row r="92" spans="1:14">
      <c r="B92" t="s">
        <v>105</v>
      </c>
      <c r="C92" s="14">
        <v>305.93700000000001</v>
      </c>
      <c r="D92" s="14">
        <v>302.51499999999999</v>
      </c>
      <c r="E92" s="14">
        <v>306.10719999999998</v>
      </c>
      <c r="F92" s="14">
        <v>308.09390000000002</v>
      </c>
      <c r="G92" s="14">
        <v>308.84300000000002</v>
      </c>
      <c r="H92" s="14">
        <v>311.38839999999999</v>
      </c>
      <c r="I92" s="14">
        <v>311.5367</v>
      </c>
      <c r="J92" s="14">
        <v>306.76100000000002</v>
      </c>
      <c r="K92" s="14">
        <v>311.90179999999998</v>
      </c>
      <c r="L92" s="14">
        <v>311.09129999999999</v>
      </c>
      <c r="M92" s="14">
        <v>315.15989999999999</v>
      </c>
      <c r="N92" s="14">
        <v>323.50599999999997</v>
      </c>
    </row>
    <row r="93" spans="1:14">
      <c r="A93" t="s">
        <v>204</v>
      </c>
      <c r="B93" t="s">
        <v>96</v>
      </c>
      <c r="C93" s="14">
        <v>483.96300000000002</v>
      </c>
      <c r="D93" s="14">
        <v>489.54989999999998</v>
      </c>
      <c r="E93" s="14">
        <v>483.73149999999998</v>
      </c>
      <c r="F93" s="14">
        <v>491.56569999999999</v>
      </c>
      <c r="G93" s="14">
        <v>467.2724</v>
      </c>
      <c r="H93" s="14">
        <v>451.46030000000002</v>
      </c>
      <c r="I93" s="14">
        <v>464.80540000000002</v>
      </c>
      <c r="J93" s="14">
        <v>483.35270000000003</v>
      </c>
      <c r="K93" s="14">
        <v>493.48779999999999</v>
      </c>
      <c r="L93" s="14">
        <v>500.92599999999999</v>
      </c>
      <c r="M93" s="14">
        <v>515.00789999999995</v>
      </c>
      <c r="N93" s="14">
        <v>523.90899999999999</v>
      </c>
    </row>
    <row r="94" spans="1:14">
      <c r="B94" t="s">
        <v>150</v>
      </c>
      <c r="C94" s="14">
        <v>477.65530000000001</v>
      </c>
      <c r="D94" s="14">
        <v>477.5575</v>
      </c>
      <c r="E94" s="14">
        <v>480.46039999999999</v>
      </c>
      <c r="F94" s="14">
        <v>477.77699999999999</v>
      </c>
      <c r="G94" s="14">
        <v>472.57369999999997</v>
      </c>
      <c r="H94" s="14">
        <v>498.7638</v>
      </c>
      <c r="I94" s="14">
        <v>515.23659999999995</v>
      </c>
      <c r="J94" s="14">
        <v>533.91039999999998</v>
      </c>
      <c r="K94" s="14">
        <v>524.61879999999996</v>
      </c>
      <c r="L94" s="14">
        <v>527.19299999999998</v>
      </c>
      <c r="M94" s="14">
        <v>516.38139999999999</v>
      </c>
      <c r="N94" s="14">
        <v>533.65890000000002</v>
      </c>
    </row>
    <row r="95" spans="1:14">
      <c r="B95" t="s">
        <v>107</v>
      </c>
      <c r="C95" s="14">
        <v>91.228099999999998</v>
      </c>
      <c r="D95" s="14">
        <v>93.827399999999997</v>
      </c>
      <c r="E95" s="14">
        <v>90.1982</v>
      </c>
      <c r="F95" s="14">
        <v>89.352199999999996</v>
      </c>
      <c r="G95" s="14">
        <v>87.662999999999997</v>
      </c>
      <c r="H95" s="14">
        <v>85.66</v>
      </c>
      <c r="I95" s="14">
        <v>87.042000000000002</v>
      </c>
      <c r="J95" s="14">
        <v>88.150499999999994</v>
      </c>
      <c r="K95" s="14">
        <v>89.876599999999996</v>
      </c>
      <c r="L95" s="14">
        <v>96.534300000000002</v>
      </c>
      <c r="M95" s="14">
        <v>110.3824</v>
      </c>
      <c r="N95" s="14">
        <v>106.9409</v>
      </c>
    </row>
    <row r="96" spans="1:14">
      <c r="B96" t="s">
        <v>248</v>
      </c>
      <c r="C96" s="14">
        <v>328.84</v>
      </c>
      <c r="D96" s="14">
        <v>336.25400000000002</v>
      </c>
      <c r="E96" s="14">
        <v>349.71809999999999</v>
      </c>
      <c r="F96" s="14">
        <v>361.92720000000003</v>
      </c>
      <c r="G96" s="14">
        <v>365.44619999999998</v>
      </c>
      <c r="H96" s="14">
        <v>379.2998</v>
      </c>
      <c r="I96" s="14">
        <v>391.00580000000002</v>
      </c>
      <c r="J96" s="14">
        <v>391.40390000000002</v>
      </c>
      <c r="K96" s="14">
        <v>386.84699999999998</v>
      </c>
      <c r="L96" s="14">
        <v>392.48110000000003</v>
      </c>
      <c r="M96" s="14">
        <v>407.10509999999999</v>
      </c>
      <c r="N96" s="14">
        <v>416.18439999999998</v>
      </c>
    </row>
    <row r="97" spans="2:14">
      <c r="B97" t="s">
        <v>76</v>
      </c>
      <c r="C97" s="14">
        <v>518.04589999999996</v>
      </c>
      <c r="D97" s="14">
        <v>526.41470000000004</v>
      </c>
      <c r="E97" s="14">
        <v>536.60220000000004</v>
      </c>
      <c r="F97" s="14">
        <v>545.06619999999998</v>
      </c>
      <c r="G97" s="14">
        <v>551.8329</v>
      </c>
      <c r="H97" s="14">
        <v>554.83090000000004</v>
      </c>
      <c r="I97" s="14">
        <v>555.92359999999996</v>
      </c>
      <c r="J97" s="14">
        <v>555.57569999999998</v>
      </c>
      <c r="K97" s="14">
        <v>546.95360000000005</v>
      </c>
      <c r="L97" s="14">
        <v>550.90779999999995</v>
      </c>
      <c r="M97" s="14">
        <v>602.79459999999995</v>
      </c>
      <c r="N97" s="14">
        <v>627.79769999999996</v>
      </c>
    </row>
    <row r="98" spans="2:14">
      <c r="B98" t="s">
        <v>246</v>
      </c>
      <c r="C98" s="14">
        <v>405.63549999999998</v>
      </c>
      <c r="D98" s="14">
        <v>396.4787</v>
      </c>
      <c r="E98" s="14">
        <v>403.20769999999999</v>
      </c>
      <c r="F98" s="14">
        <v>400.90730000000002</v>
      </c>
      <c r="G98" s="14">
        <v>395.48289999999997</v>
      </c>
      <c r="H98" s="14">
        <v>385.65820000000002</v>
      </c>
      <c r="I98" s="14">
        <v>396.18650000000002</v>
      </c>
      <c r="J98" s="14">
        <v>397.87040000000002</v>
      </c>
      <c r="K98" s="14">
        <v>382.20929999999998</v>
      </c>
      <c r="L98" s="14">
        <v>378.41219999999998</v>
      </c>
      <c r="M98" s="14">
        <v>403.06529999999998</v>
      </c>
      <c r="N98" s="14">
        <v>427.56920000000002</v>
      </c>
    </row>
    <row r="99" spans="2:14">
      <c r="B99" t="s">
        <v>80</v>
      </c>
      <c r="C99" s="14">
        <v>405.04430000000002</v>
      </c>
      <c r="D99" s="14">
        <v>397.72640000000001</v>
      </c>
      <c r="E99" s="14">
        <v>396.73719999999997</v>
      </c>
      <c r="F99" s="14">
        <v>410.09140000000002</v>
      </c>
      <c r="G99" s="14">
        <v>402.53800000000001</v>
      </c>
      <c r="H99" s="14">
        <v>409.10599999999999</v>
      </c>
      <c r="I99" s="14">
        <v>426.66640000000001</v>
      </c>
      <c r="J99" s="14">
        <v>431.57650000000001</v>
      </c>
      <c r="K99" s="14">
        <v>427.23680000000002</v>
      </c>
      <c r="L99" s="14">
        <v>446.62360000000001</v>
      </c>
      <c r="M99" s="14">
        <v>471.15570000000002</v>
      </c>
      <c r="N99" s="14">
        <v>497.21039999999999</v>
      </c>
    </row>
    <row r="100" spans="2:14">
      <c r="B100" t="s">
        <v>77</v>
      </c>
      <c r="C100" s="14">
        <v>532.56880000000001</v>
      </c>
      <c r="D100" s="14">
        <v>533.87909999999999</v>
      </c>
      <c r="E100" s="14">
        <v>541.62810000000002</v>
      </c>
      <c r="F100" s="14">
        <v>544.39229999999998</v>
      </c>
      <c r="G100" s="14">
        <v>553.67499999999995</v>
      </c>
      <c r="H100" s="14">
        <v>549.71630000000005</v>
      </c>
      <c r="I100" s="14">
        <v>560.26379999999995</v>
      </c>
      <c r="J100" s="14">
        <v>537.47839999999997</v>
      </c>
      <c r="K100" s="14">
        <v>535.9067</v>
      </c>
      <c r="L100" s="14">
        <v>554.35019999999997</v>
      </c>
      <c r="M100" s="14">
        <v>583.5145</v>
      </c>
      <c r="N100" s="14">
        <v>598.28970000000004</v>
      </c>
    </row>
    <row r="101" spans="2:14">
      <c r="B101" t="s">
        <v>79</v>
      </c>
      <c r="C101" s="14">
        <v>488.7294</v>
      </c>
      <c r="D101" s="14">
        <v>488.95350000000002</v>
      </c>
      <c r="E101" s="14">
        <v>486.32010000000002</v>
      </c>
      <c r="F101" s="14">
        <v>473.00130000000001</v>
      </c>
      <c r="G101" s="14">
        <v>470.40570000000002</v>
      </c>
      <c r="H101" s="14">
        <v>485.52969999999999</v>
      </c>
      <c r="I101" s="14">
        <v>488.2353</v>
      </c>
      <c r="J101" s="14">
        <v>512.94550000000004</v>
      </c>
      <c r="K101" s="14">
        <v>502.5299</v>
      </c>
      <c r="L101" s="14">
        <v>506.09699999999998</v>
      </c>
      <c r="M101" s="14">
        <v>525.13459999999998</v>
      </c>
      <c r="N101" s="14">
        <v>564.51110000000006</v>
      </c>
    </row>
    <row r="102" spans="2:14">
      <c r="B102" t="s">
        <v>81</v>
      </c>
      <c r="C102" s="14">
        <v>781.53930000000003</v>
      </c>
      <c r="D102" s="14">
        <v>799.54729999999995</v>
      </c>
      <c r="E102" s="14">
        <v>815.00189999999998</v>
      </c>
      <c r="F102" s="14">
        <v>833.03920000000005</v>
      </c>
      <c r="G102" s="14">
        <v>866.13919999999996</v>
      </c>
      <c r="H102" s="14">
        <v>880.70389999999998</v>
      </c>
      <c r="I102" s="14">
        <v>893.87049999999999</v>
      </c>
      <c r="J102" s="14">
        <v>912.86339999999996</v>
      </c>
      <c r="K102" s="14">
        <v>924.6748</v>
      </c>
      <c r="L102" s="14">
        <v>935.28589999999997</v>
      </c>
      <c r="M102" s="14">
        <v>987.5643</v>
      </c>
      <c r="N102" s="14">
        <v>1031.0396000000001</v>
      </c>
    </row>
    <row r="103" spans="2:14">
      <c r="B103" t="s">
        <v>83</v>
      </c>
      <c r="C103" s="14">
        <v>170.1328</v>
      </c>
      <c r="D103" s="14">
        <v>163.31909999999999</v>
      </c>
      <c r="E103" s="14">
        <v>164.20590000000001</v>
      </c>
      <c r="F103" s="14">
        <v>156.95189999999999</v>
      </c>
      <c r="G103" s="14">
        <v>157.17920000000001</v>
      </c>
      <c r="H103" s="14">
        <v>158.14160000000001</v>
      </c>
      <c r="I103" s="14">
        <v>158.57159999999999</v>
      </c>
      <c r="J103" s="14">
        <v>165.048</v>
      </c>
      <c r="K103" s="14">
        <v>172.67869999999999</v>
      </c>
      <c r="L103" s="14">
        <v>166.8997</v>
      </c>
      <c r="M103" s="14">
        <v>179.33369999999999</v>
      </c>
      <c r="N103" s="14">
        <v>200.57169999999999</v>
      </c>
    </row>
    <row r="104" spans="2:14">
      <c r="B104" t="s">
        <v>242</v>
      </c>
      <c r="C104" s="14">
        <v>201.8569</v>
      </c>
      <c r="D104" s="14">
        <v>194.67070000000001</v>
      </c>
      <c r="E104" s="14">
        <v>177.9572</v>
      </c>
      <c r="F104" s="14">
        <v>171.10480000000001</v>
      </c>
      <c r="G104" s="14">
        <v>171.38740000000001</v>
      </c>
      <c r="H104" s="14">
        <v>163.44999999999999</v>
      </c>
      <c r="I104" s="14">
        <v>167.65100000000001</v>
      </c>
      <c r="J104" s="14">
        <v>165.28479999999999</v>
      </c>
      <c r="K104" s="14">
        <v>162.20949999999999</v>
      </c>
      <c r="L104" s="14">
        <v>166.98679999999999</v>
      </c>
      <c r="M104" s="14">
        <v>181.29740000000001</v>
      </c>
      <c r="N104" s="14">
        <v>195.93799999999999</v>
      </c>
    </row>
    <row r="105" spans="2:14">
      <c r="B105" t="s">
        <v>87</v>
      </c>
      <c r="C105" s="14">
        <v>354.28960000000001</v>
      </c>
      <c r="D105" s="14">
        <v>347.95670000000001</v>
      </c>
      <c r="E105" s="14">
        <v>346.7645</v>
      </c>
      <c r="F105" s="14">
        <v>351.38350000000003</v>
      </c>
      <c r="G105" s="14">
        <v>343.81110000000001</v>
      </c>
      <c r="H105" s="14">
        <v>348.90710000000001</v>
      </c>
      <c r="I105" s="14">
        <v>354.60570000000001</v>
      </c>
      <c r="J105" s="14">
        <v>374.67759999999998</v>
      </c>
      <c r="K105" s="14">
        <v>377.72550000000001</v>
      </c>
      <c r="L105" s="14">
        <v>378.49040000000002</v>
      </c>
      <c r="M105" s="14">
        <v>384.2647</v>
      </c>
      <c r="N105" s="14">
        <v>398.37740000000002</v>
      </c>
    </row>
    <row r="106" spans="2:14">
      <c r="B106" t="s">
        <v>86</v>
      </c>
      <c r="C106" s="14">
        <v>38.374299999999998</v>
      </c>
      <c r="D106" s="14">
        <v>39.502800000000001</v>
      </c>
      <c r="E106" s="14">
        <v>39.691000000000003</v>
      </c>
      <c r="F106" s="14">
        <v>39.442</v>
      </c>
      <c r="G106" s="14">
        <v>38.9039</v>
      </c>
      <c r="H106" s="14">
        <v>38.111699999999999</v>
      </c>
      <c r="I106" s="14">
        <v>36.6997</v>
      </c>
      <c r="J106" s="14">
        <v>33.036099999999998</v>
      </c>
      <c r="K106" s="14">
        <v>33.596800000000002</v>
      </c>
      <c r="L106" s="14">
        <v>32.131500000000003</v>
      </c>
      <c r="M106" s="14">
        <v>32.539700000000003</v>
      </c>
      <c r="N106" s="14">
        <v>31.814399999999999</v>
      </c>
    </row>
    <row r="107" spans="2:14">
      <c r="B107" t="s">
        <v>78</v>
      </c>
      <c r="C107" s="14">
        <v>183.71029999999999</v>
      </c>
      <c r="D107" s="14">
        <v>183.99809999999999</v>
      </c>
      <c r="E107" s="14">
        <v>183.14510000000001</v>
      </c>
      <c r="F107" s="14">
        <v>187.03960000000001</v>
      </c>
      <c r="G107" s="14">
        <v>196.3708</v>
      </c>
      <c r="H107" s="14">
        <v>196.095</v>
      </c>
      <c r="I107" s="14">
        <v>203.43199999999999</v>
      </c>
      <c r="J107" s="14">
        <v>213.8689</v>
      </c>
      <c r="K107" s="14">
        <v>214.39859999999999</v>
      </c>
      <c r="L107" s="14">
        <v>237.80690000000001</v>
      </c>
      <c r="M107" s="14">
        <v>245.39670000000001</v>
      </c>
      <c r="N107" s="14">
        <v>263.68799999999999</v>
      </c>
    </row>
    <row r="108" spans="2:14">
      <c r="B108" t="s">
        <v>245</v>
      </c>
      <c r="C108" s="14">
        <v>315.91820000000001</v>
      </c>
      <c r="D108" s="14">
        <v>317.4203</v>
      </c>
      <c r="E108" s="14">
        <v>310.93939999999998</v>
      </c>
      <c r="F108" s="14">
        <v>299.53699999999998</v>
      </c>
      <c r="G108" s="14">
        <v>294.3768</v>
      </c>
      <c r="H108" s="14">
        <v>288.9015</v>
      </c>
      <c r="I108" s="14">
        <v>295.88630000000001</v>
      </c>
      <c r="J108" s="14">
        <v>292.36149999999998</v>
      </c>
      <c r="K108" s="14">
        <v>289.44589999999999</v>
      </c>
      <c r="L108" s="14">
        <v>290.61630000000002</v>
      </c>
      <c r="M108" s="14">
        <v>302.94170000000003</v>
      </c>
      <c r="N108" s="14">
        <v>301.82080000000002</v>
      </c>
    </row>
    <row r="109" spans="2:14">
      <c r="B109" t="s">
        <v>85</v>
      </c>
      <c r="C109" s="14">
        <v>336.22519999999997</v>
      </c>
      <c r="D109" s="14">
        <v>351.48820000000001</v>
      </c>
      <c r="E109" s="14">
        <v>372.48360000000002</v>
      </c>
      <c r="F109" s="14">
        <v>390.33550000000002</v>
      </c>
      <c r="G109" s="14">
        <v>400.16</v>
      </c>
      <c r="H109" s="14">
        <v>421.29309999999998</v>
      </c>
      <c r="I109" s="14">
        <v>429.72949999999997</v>
      </c>
      <c r="J109" s="14">
        <v>432.05959999999999</v>
      </c>
      <c r="K109" s="14">
        <v>420.5102</v>
      </c>
      <c r="L109" s="14">
        <v>431.58269999999999</v>
      </c>
      <c r="M109" s="14">
        <v>465.70139999999998</v>
      </c>
      <c r="N109" s="14">
        <v>485.63209999999998</v>
      </c>
    </row>
    <row r="110" spans="2:14">
      <c r="B110" t="s">
        <v>84</v>
      </c>
      <c r="C110" s="14">
        <v>163.9528</v>
      </c>
      <c r="D110" s="14">
        <v>168.27969999999999</v>
      </c>
      <c r="E110" s="14">
        <v>169.58320000000001</v>
      </c>
      <c r="F110" s="14">
        <v>176.5179</v>
      </c>
      <c r="G110" s="14">
        <v>184.17580000000001</v>
      </c>
      <c r="H110" s="14">
        <v>212.53790000000001</v>
      </c>
      <c r="I110" s="14">
        <v>221.03649999999999</v>
      </c>
      <c r="J110" s="14">
        <v>229.34829999999999</v>
      </c>
      <c r="K110" s="14">
        <v>223.90199999999999</v>
      </c>
      <c r="L110" s="14">
        <v>223.20320000000001</v>
      </c>
      <c r="M110" s="14">
        <v>213.9657</v>
      </c>
      <c r="N110" s="14">
        <v>225.5171</v>
      </c>
    </row>
    <row r="111" spans="2:14">
      <c r="B111" t="s">
        <v>240</v>
      </c>
      <c r="C111" s="14">
        <v>223.21379999999999</v>
      </c>
      <c r="D111" s="14">
        <v>223.13</v>
      </c>
      <c r="E111" s="14">
        <v>234.73220000000001</v>
      </c>
      <c r="F111" s="14">
        <v>231.916</v>
      </c>
      <c r="G111" s="14">
        <v>235.7732</v>
      </c>
      <c r="H111" s="14">
        <v>223.6738</v>
      </c>
      <c r="I111" s="14">
        <v>231.83260000000001</v>
      </c>
      <c r="J111" s="14">
        <v>227.07560000000001</v>
      </c>
      <c r="K111" s="14">
        <v>235.40010000000001</v>
      </c>
      <c r="L111" s="14">
        <v>234.79570000000001</v>
      </c>
      <c r="M111" s="14">
        <v>226.75980000000001</v>
      </c>
      <c r="N111" s="14">
        <v>235.8229</v>
      </c>
    </row>
    <row r="112" spans="2:14">
      <c r="B112" t="s">
        <v>244</v>
      </c>
      <c r="C112" s="14">
        <v>18.164200000000001</v>
      </c>
      <c r="D112" s="14">
        <v>18.176500000000001</v>
      </c>
      <c r="E112" s="14">
        <v>19.408799999999999</v>
      </c>
      <c r="F112" s="14">
        <v>22.226099999999999</v>
      </c>
      <c r="G112" s="14">
        <v>20.0183</v>
      </c>
      <c r="H112" s="14">
        <v>20.574300000000001</v>
      </c>
      <c r="I112" s="14">
        <v>22.601299999999998</v>
      </c>
      <c r="J112" s="14">
        <v>21.875</v>
      </c>
      <c r="K112" s="14">
        <v>21.973199999999999</v>
      </c>
      <c r="L112" s="14">
        <v>22.961500000000001</v>
      </c>
      <c r="M112" s="14">
        <v>23.521000000000001</v>
      </c>
      <c r="N112" s="14">
        <v>22.636099999999999</v>
      </c>
    </row>
    <row r="113" spans="2:14">
      <c r="B113" t="s">
        <v>247</v>
      </c>
      <c r="C113" s="14">
        <v>368.19159999999999</v>
      </c>
      <c r="D113" s="14">
        <v>374.15320000000003</v>
      </c>
      <c r="E113" s="14">
        <v>365.27699999999999</v>
      </c>
      <c r="F113" s="14">
        <v>369.14449999999999</v>
      </c>
      <c r="G113" s="14">
        <v>358.37220000000002</v>
      </c>
      <c r="H113" s="14">
        <v>365.97370000000001</v>
      </c>
      <c r="I113" s="14">
        <v>378.88249999999999</v>
      </c>
      <c r="J113" s="14">
        <v>386.88279999999997</v>
      </c>
      <c r="K113" s="14">
        <v>388.35660000000001</v>
      </c>
      <c r="L113" s="14">
        <v>380.31799999999998</v>
      </c>
      <c r="M113" s="14">
        <v>389.50310000000002</v>
      </c>
      <c r="N113" s="14">
        <v>398.51530000000002</v>
      </c>
    </row>
    <row r="114" spans="2:14">
      <c r="B114" t="s">
        <v>243</v>
      </c>
      <c r="C114" s="14">
        <v>447.64139999999998</v>
      </c>
      <c r="D114" s="14">
        <v>445.90820000000002</v>
      </c>
      <c r="E114" s="14">
        <v>441.83780000000002</v>
      </c>
      <c r="F114" s="14">
        <v>433.30009999999999</v>
      </c>
      <c r="G114" s="14">
        <v>436.9674</v>
      </c>
      <c r="H114" s="14">
        <v>427.81880000000001</v>
      </c>
      <c r="I114" s="14">
        <v>428.09010000000001</v>
      </c>
      <c r="J114" s="14">
        <v>429.99400000000003</v>
      </c>
      <c r="K114" s="14">
        <v>440.57709999999997</v>
      </c>
      <c r="L114" s="14">
        <v>442.60550000000001</v>
      </c>
      <c r="M114" s="14">
        <v>451.40699999999998</v>
      </c>
      <c r="N114" s="14">
        <v>471.44420000000002</v>
      </c>
    </row>
    <row r="115" spans="2:14">
      <c r="B115" t="s">
        <v>82</v>
      </c>
      <c r="C115" s="14">
        <v>301.55110000000002</v>
      </c>
      <c r="D115" s="14">
        <v>309.49540000000002</v>
      </c>
      <c r="E115" s="14">
        <v>306.4735</v>
      </c>
      <c r="F115" s="14">
        <v>311.875</v>
      </c>
      <c r="G115" s="14">
        <v>297.97609999999997</v>
      </c>
      <c r="H115" s="14">
        <v>310.12060000000002</v>
      </c>
      <c r="I115" s="14">
        <v>318.63900000000001</v>
      </c>
      <c r="J115" s="14">
        <v>339.4846</v>
      </c>
      <c r="K115" s="14">
        <v>335.76479999999998</v>
      </c>
      <c r="L115" s="14">
        <v>329.81599999999997</v>
      </c>
      <c r="M115" s="14">
        <v>321.10109999999997</v>
      </c>
      <c r="N115" s="14">
        <v>343.9855</v>
      </c>
    </row>
    <row r="116" spans="2:14">
      <c r="B116" t="s">
        <v>135</v>
      </c>
      <c r="C116" s="14">
        <v>170.1516</v>
      </c>
      <c r="D116" s="14">
        <v>169.11449999999999</v>
      </c>
      <c r="E116" s="14">
        <v>177.48759999999999</v>
      </c>
      <c r="F116" s="14">
        <v>178.00620000000001</v>
      </c>
      <c r="G116" s="14">
        <v>183.15029999999999</v>
      </c>
      <c r="H116" s="14">
        <v>189.63650000000001</v>
      </c>
      <c r="I116" s="14">
        <v>185.72409999999999</v>
      </c>
      <c r="J116" s="14">
        <v>190.36160000000001</v>
      </c>
      <c r="K116" s="14">
        <v>185.1319</v>
      </c>
      <c r="L116" s="14">
        <v>176.84309999999999</v>
      </c>
      <c r="M116" s="14">
        <v>183.5744</v>
      </c>
      <c r="N116" s="14">
        <v>184.17830000000001</v>
      </c>
    </row>
    <row r="117" spans="2:14">
      <c r="B117" t="s">
        <v>102</v>
      </c>
      <c r="C117" s="14">
        <v>125.6846</v>
      </c>
      <c r="D117" s="14">
        <v>123.5254</v>
      </c>
      <c r="E117" s="14">
        <v>120.795</v>
      </c>
      <c r="F117" s="14">
        <v>119.06870000000001</v>
      </c>
      <c r="G117" s="14">
        <v>123.9766</v>
      </c>
      <c r="H117" s="14">
        <v>127.57040000000001</v>
      </c>
      <c r="I117" s="14">
        <v>132.25960000000001</v>
      </c>
      <c r="J117" s="14">
        <v>147.83959999999999</v>
      </c>
      <c r="K117" s="14">
        <v>148.10470000000001</v>
      </c>
      <c r="L117" s="14">
        <v>148.2037</v>
      </c>
      <c r="M117" s="14">
        <v>155.1705</v>
      </c>
      <c r="N117" s="14">
        <v>156.3398</v>
      </c>
    </row>
    <row r="118" spans="2:14">
      <c r="B118" t="s">
        <v>138</v>
      </c>
      <c r="C118" s="14">
        <v>242.52250000000001</v>
      </c>
      <c r="D118" s="14">
        <v>242.7227</v>
      </c>
      <c r="E118" s="14">
        <v>241.25899999999999</v>
      </c>
      <c r="F118" s="14">
        <v>246.58600000000001</v>
      </c>
      <c r="G118" s="14">
        <v>248.20590000000001</v>
      </c>
      <c r="H118" s="14">
        <v>251.87389999999999</v>
      </c>
      <c r="I118" s="14">
        <v>254.76249999999999</v>
      </c>
      <c r="J118" s="14">
        <v>265.34949999999998</v>
      </c>
      <c r="K118" s="14">
        <v>261.9776</v>
      </c>
      <c r="L118" s="14">
        <v>251.33260000000001</v>
      </c>
      <c r="M118" s="14">
        <v>271.47230000000002</v>
      </c>
      <c r="N118" s="14">
        <v>280.62290000000002</v>
      </c>
    </row>
    <row r="119" spans="2:14">
      <c r="B119" t="s">
        <v>115</v>
      </c>
      <c r="C119" s="14">
        <v>151.81649999999999</v>
      </c>
      <c r="D119" s="14">
        <v>149.77709999999999</v>
      </c>
      <c r="E119" s="14">
        <v>148.2433</v>
      </c>
      <c r="F119" s="14">
        <v>147.69159999999999</v>
      </c>
      <c r="G119" s="14">
        <v>142.5538</v>
      </c>
      <c r="H119" s="14">
        <v>142.71709999999999</v>
      </c>
      <c r="I119" s="14">
        <v>152.0984</v>
      </c>
      <c r="J119" s="14">
        <v>153.5427</v>
      </c>
      <c r="K119" s="14">
        <v>148.7182</v>
      </c>
      <c r="L119" s="14">
        <v>144.72550000000001</v>
      </c>
      <c r="M119" s="14">
        <v>157.47479999999999</v>
      </c>
      <c r="N119" s="14">
        <v>166.1849</v>
      </c>
    </row>
    <row r="120" spans="2:14">
      <c r="B120" t="s">
        <v>100</v>
      </c>
      <c r="C120" s="14">
        <v>835.66399999999999</v>
      </c>
      <c r="D120" s="14">
        <v>851.98220000000003</v>
      </c>
      <c r="E120" s="14">
        <v>902.03530000000001</v>
      </c>
      <c r="F120" s="14">
        <v>928.72770000000003</v>
      </c>
      <c r="G120" s="14">
        <v>946.74800000000005</v>
      </c>
      <c r="H120" s="14">
        <v>987.86189999999999</v>
      </c>
      <c r="I120" s="14">
        <v>1047.6377</v>
      </c>
      <c r="J120" s="14">
        <v>1072.9721</v>
      </c>
      <c r="K120" s="14">
        <v>1106.2601999999999</v>
      </c>
      <c r="L120" s="14">
        <v>1150.2692</v>
      </c>
      <c r="M120" s="14">
        <v>1218.9227000000001</v>
      </c>
      <c r="N120" s="14">
        <v>1240.1156000000001</v>
      </c>
    </row>
    <row r="121" spans="2:14">
      <c r="B121" t="s">
        <v>141</v>
      </c>
      <c r="C121" s="14">
        <v>192.0915</v>
      </c>
      <c r="D121" s="14">
        <v>195.7123</v>
      </c>
      <c r="E121" s="14">
        <v>198.68049999999999</v>
      </c>
      <c r="F121" s="14">
        <v>207.0692</v>
      </c>
      <c r="G121" s="14">
        <v>214.57939999999999</v>
      </c>
      <c r="H121" s="14">
        <v>219.14009999999999</v>
      </c>
      <c r="I121" s="14">
        <v>231.31290000000001</v>
      </c>
      <c r="J121" s="14">
        <v>244.22659999999999</v>
      </c>
      <c r="K121" s="14">
        <v>248.80510000000001</v>
      </c>
      <c r="L121" s="14">
        <v>246.1841</v>
      </c>
      <c r="M121" s="14">
        <v>248.41470000000001</v>
      </c>
      <c r="N121" s="14">
        <v>246.5318</v>
      </c>
    </row>
    <row r="122" spans="2:14">
      <c r="B122" t="s">
        <v>249</v>
      </c>
      <c r="C122" s="14">
        <v>31.566800000000001</v>
      </c>
      <c r="D122" s="14">
        <v>31.5913</v>
      </c>
      <c r="E122" s="14">
        <v>33.9754</v>
      </c>
      <c r="F122" s="14">
        <v>30.6097</v>
      </c>
      <c r="G122" s="14">
        <v>29.518999999999998</v>
      </c>
      <c r="H122" s="14">
        <v>28.418199999999999</v>
      </c>
      <c r="I122" s="14">
        <v>28.4162</v>
      </c>
      <c r="J122" s="14">
        <v>28.8414</v>
      </c>
      <c r="K122" s="14">
        <v>26.3674</v>
      </c>
      <c r="L122" s="14">
        <v>23.180399999999999</v>
      </c>
      <c r="M122" s="14">
        <v>28.420300000000001</v>
      </c>
      <c r="N122" s="14">
        <v>28.114699999999999</v>
      </c>
    </row>
    <row r="123" spans="2:14">
      <c r="B123" t="s">
        <v>127</v>
      </c>
      <c r="C123" s="14">
        <v>155.57560000000001</v>
      </c>
      <c r="D123" s="14">
        <v>134.78819999999999</v>
      </c>
      <c r="E123" s="14">
        <v>130.863</v>
      </c>
      <c r="F123" s="14">
        <v>130.1747</v>
      </c>
      <c r="G123" s="14">
        <v>129.12809999999999</v>
      </c>
      <c r="H123" s="14">
        <v>128.96729999999999</v>
      </c>
      <c r="I123" s="14">
        <v>128.1747</v>
      </c>
      <c r="J123" s="14">
        <v>135.5676</v>
      </c>
      <c r="K123" s="14">
        <v>135.32669999999999</v>
      </c>
      <c r="L123" s="14">
        <v>136.916</v>
      </c>
      <c r="M123" s="14">
        <v>154.39850000000001</v>
      </c>
      <c r="N123" s="14">
        <v>156.2079</v>
      </c>
    </row>
    <row r="124" spans="2:14">
      <c r="B124" t="s">
        <v>144</v>
      </c>
      <c r="C124" s="14">
        <v>59.264600000000002</v>
      </c>
      <c r="D124" s="14">
        <v>58.604900000000001</v>
      </c>
      <c r="E124" s="14">
        <v>55.988100000000003</v>
      </c>
      <c r="F124" s="14">
        <v>55.356099999999998</v>
      </c>
      <c r="G124" s="14">
        <v>51.079000000000001</v>
      </c>
      <c r="H124" s="14">
        <v>50.990099999999998</v>
      </c>
      <c r="I124" s="14">
        <v>54.562199999999997</v>
      </c>
      <c r="J124" s="14">
        <v>58.183500000000002</v>
      </c>
      <c r="K124" s="14">
        <v>55.4146</v>
      </c>
      <c r="L124" s="14">
        <v>59.4377</v>
      </c>
      <c r="M124" s="14">
        <v>59.799199999999999</v>
      </c>
      <c r="N124" s="14">
        <v>61.851100000000002</v>
      </c>
    </row>
    <row r="125" spans="2:14">
      <c r="B125" t="s">
        <v>133</v>
      </c>
      <c r="C125" s="14">
        <v>201.66640000000001</v>
      </c>
      <c r="D125" s="14">
        <v>199.44069999999999</v>
      </c>
      <c r="E125" s="14">
        <v>202.5187</v>
      </c>
      <c r="F125" s="14">
        <v>204.84649999999999</v>
      </c>
      <c r="G125" s="14">
        <v>209.9101</v>
      </c>
      <c r="H125" s="14">
        <v>201.3946</v>
      </c>
      <c r="I125" s="14">
        <v>202.2637</v>
      </c>
      <c r="J125" s="14">
        <v>202.79679999999999</v>
      </c>
      <c r="K125" s="14">
        <v>208.1371</v>
      </c>
      <c r="L125" s="14">
        <v>211.36179999999999</v>
      </c>
      <c r="M125" s="14">
        <v>215.0668</v>
      </c>
      <c r="N125" s="14">
        <v>226.143</v>
      </c>
    </row>
    <row r="126" spans="2:14">
      <c r="B126" t="s">
        <v>146</v>
      </c>
      <c r="C126" s="14">
        <v>121.3112</v>
      </c>
      <c r="D126" s="14">
        <v>120.2436</v>
      </c>
      <c r="E126" s="14">
        <v>119.47069999999999</v>
      </c>
      <c r="F126" s="14">
        <v>123.7638</v>
      </c>
      <c r="G126" s="14">
        <v>129.708</v>
      </c>
      <c r="H126" s="14">
        <v>126.19240000000001</v>
      </c>
      <c r="I126" s="14">
        <v>124.3655</v>
      </c>
      <c r="J126" s="14">
        <v>119.22020000000001</v>
      </c>
      <c r="K126" s="14">
        <v>121.8783</v>
      </c>
      <c r="L126" s="14">
        <v>124.626</v>
      </c>
      <c r="M126" s="14">
        <v>133.79730000000001</v>
      </c>
      <c r="N126" s="14">
        <v>134.2413</v>
      </c>
    </row>
    <row r="127" spans="2:14">
      <c r="B127" t="s">
        <v>134</v>
      </c>
      <c r="C127" s="14">
        <v>661.50480000000005</v>
      </c>
      <c r="D127" s="14">
        <v>678.2251</v>
      </c>
      <c r="E127" s="14">
        <v>688.94420000000002</v>
      </c>
      <c r="F127" s="14">
        <v>703.87159999999994</v>
      </c>
      <c r="G127" s="14">
        <v>725.55830000000003</v>
      </c>
      <c r="H127" s="14">
        <v>736.05489999999998</v>
      </c>
      <c r="I127" s="14">
        <v>759.71479999999997</v>
      </c>
      <c r="J127" s="14">
        <v>787.57749999999999</v>
      </c>
      <c r="K127" s="14">
        <v>794.51790000000005</v>
      </c>
      <c r="L127" s="14">
        <v>797.02739999999994</v>
      </c>
      <c r="M127" s="14">
        <v>836.2414</v>
      </c>
      <c r="N127" s="14">
        <v>848.44560000000001</v>
      </c>
    </row>
    <row r="128" spans="2:14">
      <c r="B128" t="s">
        <v>123</v>
      </c>
      <c r="C128" s="14">
        <v>423.69970000000001</v>
      </c>
      <c r="D128" s="14">
        <v>413.81450000000001</v>
      </c>
      <c r="E128" s="14">
        <v>416.04410000000001</v>
      </c>
      <c r="F128" s="14">
        <v>411.9024</v>
      </c>
      <c r="G128" s="14">
        <v>422.04539999999997</v>
      </c>
      <c r="H128" s="14">
        <v>432.82889999999998</v>
      </c>
      <c r="I128" s="14">
        <v>459.13690000000003</v>
      </c>
      <c r="J128" s="14">
        <v>471.82729999999998</v>
      </c>
      <c r="K128" s="14">
        <v>480.13420000000002</v>
      </c>
      <c r="L128" s="14">
        <v>487.47309999999999</v>
      </c>
      <c r="M128" s="14">
        <v>499.64920000000001</v>
      </c>
      <c r="N128" s="14">
        <v>520.08709999999996</v>
      </c>
    </row>
    <row r="129" spans="2:14">
      <c r="B129" t="s">
        <v>148</v>
      </c>
      <c r="C129" s="14">
        <v>240.6046</v>
      </c>
      <c r="D129" s="14">
        <v>238.80520000000001</v>
      </c>
      <c r="E129" s="14">
        <v>246.3588</v>
      </c>
      <c r="F129" s="14">
        <v>246.28960000000001</v>
      </c>
      <c r="G129" s="14">
        <v>249.18029999999999</v>
      </c>
      <c r="H129" s="14">
        <v>241.51669999999999</v>
      </c>
      <c r="I129" s="14">
        <v>250.5822</v>
      </c>
      <c r="J129" s="14">
        <v>250.7192</v>
      </c>
      <c r="K129" s="14">
        <v>246.7714</v>
      </c>
      <c r="L129" s="14">
        <v>242.32910000000001</v>
      </c>
      <c r="M129" s="14">
        <v>253.98519999999999</v>
      </c>
      <c r="N129" s="14">
        <v>250.98599999999999</v>
      </c>
    </row>
    <row r="130" spans="2:14">
      <c r="B130" t="s">
        <v>109</v>
      </c>
      <c r="C130" s="14">
        <v>41.900300000000001</v>
      </c>
      <c r="D130" s="14">
        <v>40.7714</v>
      </c>
      <c r="E130" s="14">
        <v>50.420400000000001</v>
      </c>
      <c r="F130" s="14">
        <v>50.048299999999998</v>
      </c>
      <c r="G130" s="14">
        <v>52.725700000000003</v>
      </c>
      <c r="H130" s="14">
        <v>48.778100000000002</v>
      </c>
      <c r="I130" s="14">
        <v>51.224600000000002</v>
      </c>
      <c r="J130" s="14">
        <v>51.248800000000003</v>
      </c>
      <c r="K130" s="14">
        <v>48.702300000000001</v>
      </c>
      <c r="L130" s="14">
        <v>48.747100000000003</v>
      </c>
      <c r="M130" s="14">
        <v>47.700200000000002</v>
      </c>
      <c r="N130" s="14">
        <v>50.155799999999999</v>
      </c>
    </row>
    <row r="131" spans="2:14">
      <c r="B131" t="s">
        <v>250</v>
      </c>
      <c r="C131" s="14">
        <v>69.664500000000004</v>
      </c>
      <c r="D131" s="14">
        <v>64.484800000000007</v>
      </c>
      <c r="E131" s="14">
        <v>63.241999999999997</v>
      </c>
      <c r="F131" s="14">
        <v>58.5854</v>
      </c>
      <c r="G131" s="14">
        <v>57.346899999999998</v>
      </c>
      <c r="H131" s="14">
        <v>58.518700000000003</v>
      </c>
      <c r="I131" s="14">
        <v>55.712899999999998</v>
      </c>
      <c r="J131" s="14">
        <v>57.105899999999998</v>
      </c>
      <c r="K131" s="14">
        <v>57.561799999999998</v>
      </c>
      <c r="L131" s="14">
        <v>57.359099999999998</v>
      </c>
      <c r="M131" s="14">
        <v>57.903399999999998</v>
      </c>
      <c r="N131" s="14">
        <v>62.202100000000002</v>
      </c>
    </row>
    <row r="132" spans="2:14">
      <c r="B132" t="s">
        <v>97</v>
      </c>
      <c r="C132" s="14">
        <v>346.8698</v>
      </c>
      <c r="D132" s="14">
        <v>354.18270000000001</v>
      </c>
      <c r="E132" s="14">
        <v>355.3021</v>
      </c>
      <c r="F132" s="14">
        <v>358.3655</v>
      </c>
      <c r="G132" s="14">
        <v>353.84539999999998</v>
      </c>
      <c r="H132" s="14">
        <v>358.2808</v>
      </c>
      <c r="I132" s="14">
        <v>373.20890000000003</v>
      </c>
      <c r="J132" s="14">
        <v>375.33260000000001</v>
      </c>
      <c r="K132" s="14">
        <v>394.70280000000002</v>
      </c>
      <c r="L132" s="14">
        <v>393.20760000000001</v>
      </c>
      <c r="M132" s="14">
        <v>422.04689999999999</v>
      </c>
      <c r="N132" s="14">
        <v>433.16640000000001</v>
      </c>
    </row>
    <row r="133" spans="2:14">
      <c r="B133" t="s">
        <v>142</v>
      </c>
      <c r="C133" s="14">
        <v>52.0884</v>
      </c>
      <c r="D133" s="14">
        <v>51.498899999999999</v>
      </c>
      <c r="E133" s="14">
        <v>52.895299999999999</v>
      </c>
      <c r="F133" s="14">
        <v>52.847200000000001</v>
      </c>
      <c r="G133" s="14">
        <v>51.673099999999998</v>
      </c>
      <c r="H133" s="14">
        <v>49.833500000000001</v>
      </c>
      <c r="I133" s="14">
        <v>54.621899999999997</v>
      </c>
      <c r="J133" s="14">
        <v>52.953600000000002</v>
      </c>
      <c r="K133" s="14">
        <v>58.466999999999999</v>
      </c>
      <c r="L133" s="14">
        <v>54.795299999999997</v>
      </c>
      <c r="M133" s="14">
        <v>53.204099999999997</v>
      </c>
      <c r="N133" s="14">
        <v>57.3185</v>
      </c>
    </row>
    <row r="134" spans="2:14">
      <c r="B134" t="s">
        <v>101</v>
      </c>
      <c r="C134" s="14">
        <v>465.65289999999999</v>
      </c>
      <c r="D134" s="14">
        <v>473.3646</v>
      </c>
      <c r="E134" s="14">
        <v>483.04669999999999</v>
      </c>
      <c r="F134" s="14">
        <v>485.86779999999999</v>
      </c>
      <c r="G134" s="14">
        <v>495.93130000000002</v>
      </c>
      <c r="H134" s="14">
        <v>503.38189999999997</v>
      </c>
      <c r="I134" s="14">
        <v>506.58080000000001</v>
      </c>
      <c r="J134" s="14">
        <v>520.61130000000003</v>
      </c>
      <c r="K134" s="14">
        <v>522.19100000000003</v>
      </c>
      <c r="L134" s="14">
        <v>516.99270000000001</v>
      </c>
      <c r="M134" s="14">
        <v>533.44460000000004</v>
      </c>
      <c r="N134" s="14">
        <v>548.70240000000001</v>
      </c>
    </row>
    <row r="135" spans="2:14">
      <c r="B135" t="s">
        <v>116</v>
      </c>
      <c r="C135" s="14">
        <v>347.7441</v>
      </c>
      <c r="D135" s="14">
        <v>340.76659999999998</v>
      </c>
      <c r="E135" s="14">
        <v>342.03440000000001</v>
      </c>
      <c r="F135" s="14">
        <v>342.00540000000001</v>
      </c>
      <c r="G135" s="14">
        <v>342.35919999999999</v>
      </c>
      <c r="H135" s="14">
        <v>347.39710000000002</v>
      </c>
      <c r="I135" s="14">
        <v>344.67189999999999</v>
      </c>
      <c r="J135" s="14">
        <v>350.96319999999997</v>
      </c>
      <c r="K135" s="14">
        <v>356.60469999999998</v>
      </c>
      <c r="L135" s="14">
        <v>356.64080000000001</v>
      </c>
      <c r="M135" s="14">
        <v>358.73570000000001</v>
      </c>
      <c r="N135" s="14">
        <v>357.57490000000001</v>
      </c>
    </row>
    <row r="136" spans="2:14">
      <c r="B136" t="s">
        <v>90</v>
      </c>
      <c r="C136" s="14">
        <v>51.951599999999999</v>
      </c>
      <c r="D136" s="14">
        <v>52.004100000000001</v>
      </c>
      <c r="E136" s="14">
        <v>51.229100000000003</v>
      </c>
      <c r="F136" s="14">
        <v>50.064300000000003</v>
      </c>
      <c r="G136" s="14">
        <v>52.114800000000002</v>
      </c>
      <c r="H136" s="14">
        <v>50.732599999999998</v>
      </c>
      <c r="I136" s="14">
        <v>52.960999999999999</v>
      </c>
      <c r="J136" s="14">
        <v>54.378700000000002</v>
      </c>
      <c r="K136" s="14">
        <v>53.825699999999998</v>
      </c>
      <c r="L136" s="14">
        <v>54.081800000000001</v>
      </c>
      <c r="M136" s="14">
        <v>55.558799999999998</v>
      </c>
      <c r="N136" s="14">
        <v>54.760800000000003</v>
      </c>
    </row>
    <row r="137" spans="2:14">
      <c r="B137" t="s">
        <v>118</v>
      </c>
      <c r="C137" s="14">
        <v>450.5598</v>
      </c>
      <c r="D137" s="14">
        <v>453.98779999999999</v>
      </c>
      <c r="E137" s="14">
        <v>450.613</v>
      </c>
      <c r="F137" s="14">
        <v>443.1857</v>
      </c>
      <c r="G137" s="14">
        <v>445.18849999999998</v>
      </c>
      <c r="H137" s="14">
        <v>455.18880000000001</v>
      </c>
      <c r="I137" s="14">
        <v>465.55090000000001</v>
      </c>
      <c r="J137" s="14">
        <v>474.24299999999999</v>
      </c>
      <c r="K137" s="14">
        <v>473.47840000000002</v>
      </c>
      <c r="L137" s="14">
        <v>478.3621</v>
      </c>
      <c r="M137" s="14">
        <v>497.80110000000002</v>
      </c>
      <c r="N137" s="14">
        <v>506.85430000000002</v>
      </c>
    </row>
    <row r="138" spans="2:14">
      <c r="B138" t="s">
        <v>130</v>
      </c>
      <c r="C138" s="14">
        <v>60.320500000000003</v>
      </c>
      <c r="D138" s="14">
        <v>60.974899999999998</v>
      </c>
      <c r="E138" s="14">
        <v>58.760399999999997</v>
      </c>
      <c r="F138" s="14">
        <v>61.408099999999997</v>
      </c>
      <c r="G138" s="14">
        <v>58.444200000000002</v>
      </c>
      <c r="H138" s="14">
        <v>54.973799999999997</v>
      </c>
      <c r="I138" s="14">
        <v>53.61</v>
      </c>
      <c r="J138" s="14">
        <v>57.9786</v>
      </c>
      <c r="K138" s="14">
        <v>59.553100000000001</v>
      </c>
      <c r="L138" s="14">
        <v>60.971299999999999</v>
      </c>
      <c r="M138" s="14">
        <v>61.908099999999997</v>
      </c>
      <c r="N138" s="14">
        <v>64.337100000000007</v>
      </c>
    </row>
    <row r="139" spans="2:14">
      <c r="B139" t="s">
        <v>126</v>
      </c>
      <c r="C139" s="14">
        <v>101.45010000000001</v>
      </c>
      <c r="D139" s="14">
        <v>99.846900000000005</v>
      </c>
      <c r="E139" s="14">
        <v>102.01949999999999</v>
      </c>
      <c r="F139" s="14">
        <v>105.57940000000001</v>
      </c>
      <c r="G139" s="14">
        <v>105.5746</v>
      </c>
      <c r="H139" s="14">
        <v>104.3503</v>
      </c>
      <c r="I139" s="14">
        <v>112.9139</v>
      </c>
      <c r="J139" s="14">
        <v>117.6127</v>
      </c>
      <c r="K139" s="14">
        <v>123.10809999999999</v>
      </c>
      <c r="L139" s="14">
        <v>142.35659999999999</v>
      </c>
      <c r="M139" s="14">
        <v>138.63560000000001</v>
      </c>
      <c r="N139" s="14">
        <v>143.072</v>
      </c>
    </row>
    <row r="140" spans="2:14">
      <c r="B140" t="s">
        <v>124</v>
      </c>
      <c r="C140" s="14">
        <v>67.815700000000007</v>
      </c>
      <c r="D140" s="14">
        <v>64.822199999999995</v>
      </c>
      <c r="E140" s="14">
        <v>61.646099999999997</v>
      </c>
      <c r="F140" s="14">
        <v>59.6798</v>
      </c>
      <c r="G140" s="14">
        <v>61.596400000000003</v>
      </c>
      <c r="H140" s="14">
        <v>65.144300000000001</v>
      </c>
      <c r="I140" s="14">
        <v>65.439400000000006</v>
      </c>
      <c r="J140" s="14">
        <v>65.350099999999998</v>
      </c>
      <c r="K140" s="14">
        <v>63.974299999999999</v>
      </c>
      <c r="L140" s="14">
        <v>64.380600000000001</v>
      </c>
      <c r="M140" s="14">
        <v>64.721699999999998</v>
      </c>
      <c r="N140" s="14">
        <v>66.315700000000007</v>
      </c>
    </row>
    <row r="141" spans="2:14">
      <c r="B141" t="s">
        <v>149</v>
      </c>
      <c r="C141" s="14">
        <v>255.09620000000001</v>
      </c>
      <c r="D141" s="14">
        <v>259.93560000000002</v>
      </c>
      <c r="E141" s="14">
        <v>259.17790000000002</v>
      </c>
      <c r="F141" s="14">
        <v>253.8372</v>
      </c>
      <c r="G141" s="14">
        <v>246.91210000000001</v>
      </c>
      <c r="H141" s="14">
        <v>250.53729999999999</v>
      </c>
      <c r="I141" s="14">
        <v>256.64929999999998</v>
      </c>
      <c r="J141" s="14">
        <v>259.02409999999998</v>
      </c>
      <c r="K141" s="14">
        <v>260.60449999999997</v>
      </c>
      <c r="L141" s="14">
        <v>260.24450000000002</v>
      </c>
      <c r="M141" s="14">
        <v>265.8091</v>
      </c>
      <c r="N141" s="14">
        <v>281.5367</v>
      </c>
    </row>
    <row r="142" spans="2:14">
      <c r="B142" t="s">
        <v>122</v>
      </c>
      <c r="C142" s="14">
        <v>90.584900000000005</v>
      </c>
      <c r="D142" s="14">
        <v>88.365700000000004</v>
      </c>
      <c r="E142" s="14">
        <v>74.896699999999996</v>
      </c>
      <c r="F142" s="14">
        <v>79.089600000000004</v>
      </c>
      <c r="G142" s="14">
        <v>77.714399999999998</v>
      </c>
      <c r="H142" s="14">
        <v>79.065100000000001</v>
      </c>
      <c r="I142" s="14">
        <v>77.0989</v>
      </c>
      <c r="J142" s="14">
        <v>77.535200000000003</v>
      </c>
      <c r="K142" s="14">
        <v>72.710300000000004</v>
      </c>
      <c r="L142" s="14">
        <v>74.012100000000004</v>
      </c>
      <c r="M142" s="14">
        <v>71.958500000000001</v>
      </c>
      <c r="N142" s="14">
        <v>75.433599999999998</v>
      </c>
    </row>
    <row r="143" spans="2:14">
      <c r="B143" t="s">
        <v>112</v>
      </c>
      <c r="C143" s="14">
        <v>99.776200000000003</v>
      </c>
      <c r="D143" s="14">
        <v>103.95310000000001</v>
      </c>
      <c r="E143" s="14">
        <v>104.1521</v>
      </c>
      <c r="F143" s="14">
        <v>109.65519999999999</v>
      </c>
      <c r="G143" s="14">
        <v>108.6545</v>
      </c>
      <c r="H143" s="14">
        <v>104.7544</v>
      </c>
      <c r="I143" s="14">
        <v>107.9435</v>
      </c>
      <c r="J143" s="14">
        <v>113.5809</v>
      </c>
      <c r="K143" s="14">
        <v>116.34310000000001</v>
      </c>
      <c r="L143" s="14">
        <v>115.1354</v>
      </c>
      <c r="M143" s="14">
        <v>125.17659999999999</v>
      </c>
      <c r="N143" s="14">
        <v>128.63740000000001</v>
      </c>
    </row>
    <row r="144" spans="2:14">
      <c r="B144" t="s">
        <v>119</v>
      </c>
      <c r="C144" s="14">
        <v>507.89179999999999</v>
      </c>
      <c r="D144" s="14">
        <v>507.18579999999997</v>
      </c>
      <c r="E144" s="14">
        <v>529.86090000000002</v>
      </c>
      <c r="F144" s="14">
        <v>536.36360000000002</v>
      </c>
      <c r="G144" s="14">
        <v>546.75109999999995</v>
      </c>
      <c r="H144" s="14">
        <v>559.66719999999998</v>
      </c>
      <c r="I144" s="14">
        <v>572.22239999999999</v>
      </c>
      <c r="J144" s="14">
        <v>574.70060000000001</v>
      </c>
      <c r="K144" s="14">
        <v>582.44200000000001</v>
      </c>
      <c r="L144" s="14">
        <v>582.49459999999999</v>
      </c>
      <c r="M144" s="14">
        <v>598.07730000000004</v>
      </c>
      <c r="N144" s="14">
        <v>604.50160000000005</v>
      </c>
    </row>
    <row r="145" spans="2:14">
      <c r="B145" t="s">
        <v>131</v>
      </c>
      <c r="C145" s="14">
        <v>86.339500000000001</v>
      </c>
      <c r="D145" s="14">
        <v>85.587699999999998</v>
      </c>
      <c r="E145" s="14">
        <v>85.503200000000007</v>
      </c>
      <c r="F145" s="14">
        <v>86.718000000000004</v>
      </c>
      <c r="G145" s="14">
        <v>86.907899999999998</v>
      </c>
      <c r="H145" s="14">
        <v>84.412400000000005</v>
      </c>
      <c r="I145" s="14">
        <v>87.120999999999995</v>
      </c>
      <c r="J145" s="14">
        <v>91.689800000000005</v>
      </c>
      <c r="K145" s="14">
        <v>91.320400000000006</v>
      </c>
      <c r="L145" s="14">
        <v>86.530299999999997</v>
      </c>
      <c r="M145" s="14">
        <v>90.190100000000001</v>
      </c>
      <c r="N145" s="14">
        <v>90.767200000000003</v>
      </c>
    </row>
    <row r="146" spans="2:14">
      <c r="B146" t="s">
        <v>103</v>
      </c>
      <c r="C146" s="14">
        <v>137.05289999999999</v>
      </c>
      <c r="D146" s="14">
        <v>134.77160000000001</v>
      </c>
      <c r="E146" s="14">
        <v>126.13160000000001</v>
      </c>
      <c r="F146" s="14">
        <v>129.9623</v>
      </c>
      <c r="G146" s="14">
        <v>125.70489999999999</v>
      </c>
      <c r="H146" s="14">
        <v>123.4906</v>
      </c>
      <c r="I146" s="14">
        <v>131.29679999999999</v>
      </c>
      <c r="J146" s="14">
        <v>139.0702</v>
      </c>
      <c r="K146" s="14">
        <v>136.43989999999999</v>
      </c>
      <c r="L146" s="14">
        <v>137.01900000000001</v>
      </c>
      <c r="M146" s="14">
        <v>144.1995</v>
      </c>
      <c r="N146" s="14">
        <v>151.28370000000001</v>
      </c>
    </row>
    <row r="147" spans="2:14">
      <c r="B147" t="s">
        <v>108</v>
      </c>
      <c r="C147" s="14">
        <v>239.40870000000001</v>
      </c>
      <c r="D147" s="14">
        <v>252.66900000000001</v>
      </c>
      <c r="E147" s="14">
        <v>240.47329999999999</v>
      </c>
      <c r="F147" s="14">
        <v>243.31180000000001</v>
      </c>
      <c r="G147" s="14">
        <v>238.60239999999999</v>
      </c>
      <c r="H147" s="14">
        <v>250.0223</v>
      </c>
      <c r="I147" s="14">
        <v>247.5438</v>
      </c>
      <c r="J147" s="14">
        <v>251.44730000000001</v>
      </c>
      <c r="K147" s="14">
        <v>248.84219999999999</v>
      </c>
      <c r="L147" s="14">
        <v>243.50890000000001</v>
      </c>
      <c r="M147" s="14">
        <v>251.4742</v>
      </c>
      <c r="N147" s="14">
        <v>254.02260000000001</v>
      </c>
    </row>
    <row r="148" spans="2:14">
      <c r="B148" t="s">
        <v>120</v>
      </c>
      <c r="C148" s="14">
        <v>201.3134</v>
      </c>
      <c r="D148" s="14">
        <v>196.0881</v>
      </c>
      <c r="E148" s="14">
        <v>193.24510000000001</v>
      </c>
      <c r="F148" s="14">
        <v>193.8707</v>
      </c>
      <c r="G148" s="14">
        <v>201.7996</v>
      </c>
      <c r="H148" s="14">
        <v>211.93989999999999</v>
      </c>
      <c r="I148" s="14">
        <v>211.75890000000001</v>
      </c>
      <c r="J148" s="14">
        <v>224.3126</v>
      </c>
      <c r="K148" s="14">
        <v>224.41460000000001</v>
      </c>
      <c r="L148" s="14">
        <v>237.05940000000001</v>
      </c>
      <c r="M148" s="14">
        <v>247.8338</v>
      </c>
      <c r="N148" s="14">
        <v>255.0275</v>
      </c>
    </row>
    <row r="149" spans="2:14">
      <c r="B149" t="s">
        <v>137</v>
      </c>
      <c r="C149" s="14">
        <v>239.87360000000001</v>
      </c>
      <c r="D149" s="14">
        <v>236.12270000000001</v>
      </c>
      <c r="E149" s="14">
        <v>241.3409</v>
      </c>
      <c r="F149" s="14">
        <v>241.02549999999999</v>
      </c>
      <c r="G149" s="14">
        <v>241.0076</v>
      </c>
      <c r="H149" s="14">
        <v>229.04580000000001</v>
      </c>
      <c r="I149" s="14">
        <v>238.23679999999999</v>
      </c>
      <c r="J149" s="14">
        <v>245.28030000000001</v>
      </c>
      <c r="K149" s="14">
        <v>246.2456</v>
      </c>
      <c r="L149" s="14">
        <v>243.9</v>
      </c>
      <c r="M149" s="14">
        <v>245.39750000000001</v>
      </c>
      <c r="N149" s="14">
        <v>252.29169999999999</v>
      </c>
    </row>
    <row r="150" spans="2:14">
      <c r="B150" t="s">
        <v>110</v>
      </c>
      <c r="C150" s="14">
        <v>455.26639999999998</v>
      </c>
      <c r="D150" s="14">
        <v>468.8152</v>
      </c>
      <c r="E150" s="14">
        <v>474.47620000000001</v>
      </c>
      <c r="F150" s="14">
        <v>471.4563</v>
      </c>
      <c r="G150" s="14">
        <v>473.87169999999998</v>
      </c>
      <c r="H150" s="14">
        <v>474.23540000000003</v>
      </c>
      <c r="I150" s="14">
        <v>475.72879999999998</v>
      </c>
      <c r="J150" s="14">
        <v>478.6696</v>
      </c>
      <c r="K150" s="14">
        <v>477.37810000000002</v>
      </c>
      <c r="L150" s="14">
        <v>465.19110000000001</v>
      </c>
      <c r="M150" s="14">
        <v>491.78640000000001</v>
      </c>
      <c r="N150" s="14">
        <v>501.75040000000001</v>
      </c>
    </row>
    <row r="151" spans="2:14">
      <c r="B151" t="s">
        <v>145</v>
      </c>
      <c r="C151" s="14">
        <v>761.78959999999995</v>
      </c>
      <c r="D151" s="14">
        <v>768.56859999999995</v>
      </c>
      <c r="E151" s="14">
        <v>789.49379999999996</v>
      </c>
      <c r="F151" s="14">
        <v>809.26739999999995</v>
      </c>
      <c r="G151" s="14">
        <v>810.6164</v>
      </c>
      <c r="H151" s="14">
        <v>809.59649999999999</v>
      </c>
      <c r="I151" s="14">
        <v>832.56209999999999</v>
      </c>
      <c r="J151" s="14">
        <v>841.57389999999998</v>
      </c>
      <c r="K151" s="14">
        <v>814.25649999999996</v>
      </c>
      <c r="L151" s="14">
        <v>820.71479999999997</v>
      </c>
      <c r="M151" s="14">
        <v>825.68110000000001</v>
      </c>
      <c r="N151" s="14">
        <v>843.04949999999997</v>
      </c>
    </row>
    <row r="152" spans="2:14">
      <c r="B152" t="s">
        <v>114</v>
      </c>
      <c r="C152" s="14">
        <v>225.00380000000001</v>
      </c>
      <c r="D152" s="14">
        <v>216.6593</v>
      </c>
      <c r="E152" s="14">
        <v>215.49539999999999</v>
      </c>
      <c r="F152" s="14">
        <v>219.5829</v>
      </c>
      <c r="G152" s="14">
        <v>222.42740000000001</v>
      </c>
      <c r="H152" s="14">
        <v>216.80600000000001</v>
      </c>
      <c r="I152" s="14">
        <v>218.40549999999999</v>
      </c>
      <c r="J152" s="14">
        <v>226.53479999999999</v>
      </c>
      <c r="K152" s="14">
        <v>223.4298</v>
      </c>
      <c r="L152" s="14">
        <v>219.2217</v>
      </c>
      <c r="M152" s="14">
        <v>227.4699</v>
      </c>
      <c r="N152" s="14">
        <v>234.71180000000001</v>
      </c>
    </row>
    <row r="153" spans="2:14">
      <c r="B153" t="s">
        <v>89</v>
      </c>
      <c r="C153" s="14">
        <v>10.535</v>
      </c>
      <c r="D153" s="14">
        <v>11.163399999999999</v>
      </c>
      <c r="E153" s="14">
        <v>11.053900000000001</v>
      </c>
      <c r="F153" s="14">
        <v>12.315099999999999</v>
      </c>
      <c r="G153" s="14">
        <v>12.0305</v>
      </c>
      <c r="H153" s="14">
        <v>12.222799999999999</v>
      </c>
      <c r="I153" s="14">
        <v>12.6576</v>
      </c>
      <c r="J153" s="14">
        <v>12.8461</v>
      </c>
      <c r="K153" s="14">
        <v>12.4338</v>
      </c>
      <c r="L153" s="14">
        <v>12.9863</v>
      </c>
      <c r="M153" s="14">
        <v>13.178000000000001</v>
      </c>
      <c r="N153" s="14">
        <v>12.6608</v>
      </c>
    </row>
    <row r="154" spans="2:14">
      <c r="B154" t="s">
        <v>128</v>
      </c>
      <c r="C154" s="14">
        <v>38.399700000000003</v>
      </c>
      <c r="D154" s="14">
        <v>36.412700000000001</v>
      </c>
      <c r="E154" s="14">
        <v>36.050199999999997</v>
      </c>
      <c r="F154" s="14">
        <v>33.269300000000001</v>
      </c>
      <c r="G154" s="14">
        <v>31.9603</v>
      </c>
      <c r="H154" s="14">
        <v>35.4756</v>
      </c>
      <c r="I154" s="14">
        <v>39.575699999999998</v>
      </c>
      <c r="J154" s="14">
        <v>47.133499999999998</v>
      </c>
      <c r="K154" s="14">
        <v>54.9024</v>
      </c>
      <c r="L154" s="14">
        <v>57.738399999999999</v>
      </c>
      <c r="M154" s="14">
        <v>53.811999999999998</v>
      </c>
      <c r="N154" s="14">
        <v>55.136200000000002</v>
      </c>
    </row>
    <row r="155" spans="2:14">
      <c r="B155" t="s">
        <v>132</v>
      </c>
      <c r="C155" s="14">
        <v>228.3426</v>
      </c>
      <c r="D155" s="14">
        <v>234.02680000000001</v>
      </c>
      <c r="E155" s="14">
        <v>231.43270000000001</v>
      </c>
      <c r="F155" s="14">
        <v>236.81700000000001</v>
      </c>
      <c r="G155" s="14">
        <v>246.57579999999999</v>
      </c>
      <c r="H155" s="14">
        <v>247.5556</v>
      </c>
      <c r="I155" s="14">
        <v>246.9512</v>
      </c>
      <c r="J155" s="14">
        <v>247.4392</v>
      </c>
      <c r="K155" s="14">
        <v>241.2337</v>
      </c>
      <c r="L155" s="14">
        <v>242.91890000000001</v>
      </c>
      <c r="M155" s="14">
        <v>251.97739999999999</v>
      </c>
      <c r="N155" s="14">
        <v>251.11539999999999</v>
      </c>
    </row>
    <row r="156" spans="2:14">
      <c r="B156" t="s">
        <v>117</v>
      </c>
      <c r="C156" s="14">
        <v>268.4658</v>
      </c>
      <c r="D156" s="14">
        <v>266.0702</v>
      </c>
      <c r="E156" s="14">
        <v>263.68400000000003</v>
      </c>
      <c r="F156" s="14">
        <v>265.96570000000003</v>
      </c>
      <c r="G156" s="14">
        <v>265.42020000000002</v>
      </c>
      <c r="H156" s="14">
        <v>260.24939999999998</v>
      </c>
      <c r="I156" s="14">
        <v>273.13130000000001</v>
      </c>
      <c r="J156" s="14">
        <v>276.73289999999997</v>
      </c>
      <c r="K156" s="14">
        <v>271.38049999999998</v>
      </c>
      <c r="L156" s="14">
        <v>271.9889</v>
      </c>
      <c r="M156" s="14">
        <v>270.07229999999998</v>
      </c>
      <c r="N156" s="14">
        <v>280.52670000000001</v>
      </c>
    </row>
    <row r="157" spans="2:14">
      <c r="B157" t="s">
        <v>113</v>
      </c>
      <c r="C157" s="14">
        <v>171.69229999999999</v>
      </c>
      <c r="D157" s="14">
        <v>170.51159999999999</v>
      </c>
      <c r="E157" s="14">
        <v>168.33179999999999</v>
      </c>
      <c r="F157" s="14">
        <v>167.4759</v>
      </c>
      <c r="G157" s="14">
        <v>169.63339999999999</v>
      </c>
      <c r="H157" s="14">
        <v>177.74950000000001</v>
      </c>
      <c r="I157" s="14">
        <v>189.5367</v>
      </c>
      <c r="J157" s="14">
        <v>194.58850000000001</v>
      </c>
      <c r="K157" s="14">
        <v>190.2182</v>
      </c>
      <c r="L157" s="14">
        <v>193.53790000000001</v>
      </c>
      <c r="M157" s="14">
        <v>196.62719999999999</v>
      </c>
      <c r="N157" s="14">
        <v>201.50489999999999</v>
      </c>
    </row>
    <row r="158" spans="2:14">
      <c r="B158" t="s">
        <v>106</v>
      </c>
      <c r="C158" s="14">
        <v>23.1282</v>
      </c>
      <c r="D158" s="14">
        <v>20.863099999999999</v>
      </c>
      <c r="E158" s="14">
        <v>20.379200000000001</v>
      </c>
      <c r="F158" s="14">
        <v>21.899899999999999</v>
      </c>
      <c r="G158" s="14">
        <v>20.901700000000002</v>
      </c>
      <c r="H158" s="14">
        <v>22.8764</v>
      </c>
      <c r="I158" s="14">
        <v>24.4361</v>
      </c>
      <c r="J158" s="14">
        <v>24.033999999999999</v>
      </c>
      <c r="K158" s="14">
        <v>23.738099999999999</v>
      </c>
      <c r="L158" s="14">
        <v>22.763300000000001</v>
      </c>
      <c r="M158" s="14">
        <v>23.924299999999999</v>
      </c>
      <c r="N158" s="14">
        <v>22.2987</v>
      </c>
    </row>
    <row r="159" spans="2:14">
      <c r="B159" t="s">
        <v>88</v>
      </c>
      <c r="C159" s="14">
        <v>62.151699999999998</v>
      </c>
      <c r="D159" s="14">
        <v>58.336399999999998</v>
      </c>
      <c r="E159" s="14">
        <v>56.561500000000002</v>
      </c>
      <c r="F159" s="14">
        <v>54.660600000000002</v>
      </c>
      <c r="G159" s="14">
        <v>56.515300000000003</v>
      </c>
      <c r="H159" s="14">
        <v>55.144199999999998</v>
      </c>
      <c r="I159" s="14">
        <v>56.424100000000003</v>
      </c>
      <c r="J159" s="14">
        <v>56.8352</v>
      </c>
      <c r="K159" s="14">
        <v>56.638500000000001</v>
      </c>
      <c r="L159" s="14">
        <v>57.7089</v>
      </c>
      <c r="M159" s="14">
        <v>55.0886</v>
      </c>
      <c r="N159" s="14">
        <v>57.632300000000001</v>
      </c>
    </row>
    <row r="160" spans="2:14">
      <c r="B160" t="s">
        <v>99</v>
      </c>
      <c r="C160" s="14">
        <v>65.283500000000004</v>
      </c>
      <c r="D160" s="14">
        <v>63.153199999999998</v>
      </c>
      <c r="E160" s="14">
        <v>63.673499999999997</v>
      </c>
      <c r="F160" s="14">
        <v>62.167999999999999</v>
      </c>
      <c r="G160" s="14">
        <v>61.540999999999997</v>
      </c>
      <c r="H160" s="14">
        <v>58.815800000000003</v>
      </c>
      <c r="I160" s="14">
        <v>64.486099999999993</v>
      </c>
      <c r="J160" s="14">
        <v>66.751000000000005</v>
      </c>
      <c r="K160" s="14">
        <v>65.384200000000007</v>
      </c>
      <c r="L160" s="14">
        <v>64.633600000000001</v>
      </c>
      <c r="M160" s="14">
        <v>66.963300000000004</v>
      </c>
      <c r="N160" s="14">
        <v>62.558100000000003</v>
      </c>
    </row>
    <row r="161" spans="2:14">
      <c r="B161" t="s">
        <v>147</v>
      </c>
      <c r="C161" s="14">
        <v>47.576000000000001</v>
      </c>
      <c r="D161" s="14">
        <v>46.242400000000004</v>
      </c>
      <c r="E161" s="14">
        <v>43.1096</v>
      </c>
      <c r="F161" s="14">
        <v>43.38</v>
      </c>
      <c r="G161" s="14">
        <v>43.856699999999996</v>
      </c>
      <c r="H161" s="14">
        <v>40.614199999999997</v>
      </c>
      <c r="I161" s="14">
        <v>44.781399999999998</v>
      </c>
      <c r="J161" s="14">
        <v>47.248399999999997</v>
      </c>
      <c r="K161" s="14">
        <v>48.344799999999999</v>
      </c>
      <c r="L161" s="14">
        <v>45.842100000000002</v>
      </c>
      <c r="M161" s="14">
        <v>45.580100000000002</v>
      </c>
      <c r="N161" s="14">
        <v>52.456099999999999</v>
      </c>
    </row>
    <row r="162" spans="2:14">
      <c r="B162" t="s">
        <v>104</v>
      </c>
      <c r="C162" s="14">
        <v>63.026699999999998</v>
      </c>
      <c r="D162" s="14">
        <v>64.177999999999997</v>
      </c>
      <c r="E162" s="14">
        <v>66.936499999999995</v>
      </c>
      <c r="F162" s="14">
        <v>68.075800000000001</v>
      </c>
      <c r="G162" s="14">
        <v>68.908600000000007</v>
      </c>
      <c r="H162" s="14">
        <v>67.4268</v>
      </c>
      <c r="I162" s="14">
        <v>69.162599999999998</v>
      </c>
      <c r="J162" s="14">
        <v>68.074600000000004</v>
      </c>
      <c r="K162" s="14">
        <v>67.953000000000003</v>
      </c>
      <c r="L162" s="14">
        <v>65.787199999999999</v>
      </c>
      <c r="M162" s="14">
        <v>66.206100000000006</v>
      </c>
      <c r="N162" s="14">
        <v>70.353099999999998</v>
      </c>
    </row>
    <row r="163" spans="2:14">
      <c r="B163" t="s">
        <v>139</v>
      </c>
      <c r="C163" s="14">
        <v>234.47499999999999</v>
      </c>
      <c r="D163" s="14">
        <v>236.9529</v>
      </c>
      <c r="E163" s="14">
        <v>232.1405</v>
      </c>
      <c r="F163" s="14">
        <v>234.11199999999999</v>
      </c>
      <c r="G163" s="14">
        <v>238.1172</v>
      </c>
      <c r="H163" s="14">
        <v>238.93180000000001</v>
      </c>
      <c r="I163" s="14">
        <v>249.37710000000001</v>
      </c>
      <c r="J163" s="14">
        <v>253.07749999999999</v>
      </c>
      <c r="K163" s="14">
        <v>255.6508</v>
      </c>
      <c r="L163" s="14">
        <v>255.07239999999999</v>
      </c>
      <c r="M163" s="14">
        <v>263.27820000000003</v>
      </c>
      <c r="N163" s="14">
        <v>268.767</v>
      </c>
    </row>
    <row r="164" spans="2:14">
      <c r="B164" t="s">
        <v>93</v>
      </c>
      <c r="C164" s="14">
        <v>1598.0636</v>
      </c>
      <c r="D164" s="14">
        <v>1598.4519</v>
      </c>
      <c r="E164" s="14">
        <v>1609.6945000000001</v>
      </c>
      <c r="F164" s="14">
        <v>1668.527</v>
      </c>
      <c r="G164" s="14">
        <v>1717.8458000000001</v>
      </c>
      <c r="H164" s="14">
        <v>1752.2828999999999</v>
      </c>
      <c r="I164" s="14">
        <v>1764.5930000000001</v>
      </c>
      <c r="J164" s="14">
        <v>1777.4005</v>
      </c>
      <c r="K164" s="14">
        <v>1784.2434000000001</v>
      </c>
      <c r="L164" s="14">
        <v>1814.7219</v>
      </c>
      <c r="M164" s="14">
        <v>1858.807</v>
      </c>
      <c r="N164" s="14">
        <v>1920.4308000000001</v>
      </c>
    </row>
    <row r="165" spans="2:14">
      <c r="B165" t="s">
        <v>125</v>
      </c>
      <c r="C165" s="14">
        <v>188.2998</v>
      </c>
      <c r="D165" s="14">
        <v>192.52850000000001</v>
      </c>
      <c r="E165" s="14">
        <v>210.76089999999999</v>
      </c>
      <c r="F165" s="14">
        <v>232.79669999999999</v>
      </c>
      <c r="G165" s="14">
        <v>236.6808</v>
      </c>
      <c r="H165" s="14">
        <v>247.13290000000001</v>
      </c>
      <c r="I165" s="14">
        <v>247.1679</v>
      </c>
      <c r="J165" s="14">
        <v>267.7627</v>
      </c>
      <c r="K165" s="14">
        <v>276.27010000000001</v>
      </c>
      <c r="L165" s="14">
        <v>285.0086</v>
      </c>
      <c r="M165" s="14">
        <v>300.98509999999999</v>
      </c>
      <c r="N165" s="14">
        <v>315.66070000000002</v>
      </c>
    </row>
    <row r="166" spans="2:14">
      <c r="B166" t="s">
        <v>75</v>
      </c>
      <c r="C166" s="14">
        <v>123.42100000000001</v>
      </c>
      <c r="D166" s="14">
        <v>128.2294</v>
      </c>
      <c r="E166" s="14">
        <v>118.8942</v>
      </c>
      <c r="F166" s="14">
        <v>125.7349</v>
      </c>
      <c r="G166" s="14">
        <v>124.5864</v>
      </c>
      <c r="H166" s="14">
        <v>123.7479</v>
      </c>
      <c r="I166" s="14">
        <v>133.30359999999999</v>
      </c>
      <c r="J166" s="14">
        <v>140.05109999999999</v>
      </c>
      <c r="K166" s="14">
        <v>144.16390000000001</v>
      </c>
      <c r="L166" s="14">
        <v>151.2353</v>
      </c>
      <c r="M166" s="14">
        <v>157.18940000000001</v>
      </c>
      <c r="N166" s="14">
        <v>166.381</v>
      </c>
    </row>
    <row r="167" spans="2:14">
      <c r="B167" t="s">
        <v>136</v>
      </c>
      <c r="C167" s="14">
        <v>273.32429999999999</v>
      </c>
      <c r="D167" s="14">
        <v>268.25099999999998</v>
      </c>
      <c r="E167" s="14">
        <v>277.06799999999998</v>
      </c>
      <c r="F167" s="14">
        <v>271.11290000000002</v>
      </c>
      <c r="G167" s="14">
        <v>272.58319999999998</v>
      </c>
      <c r="H167" s="14">
        <v>275.31389999999999</v>
      </c>
      <c r="I167" s="14">
        <v>279.09559999999999</v>
      </c>
      <c r="J167" s="14">
        <v>280.82709999999997</v>
      </c>
      <c r="K167" s="14">
        <v>279.83730000000003</v>
      </c>
      <c r="L167" s="14">
        <v>279.1456</v>
      </c>
      <c r="M167" s="14">
        <v>291.58839999999998</v>
      </c>
      <c r="N167" s="14">
        <v>300.50240000000002</v>
      </c>
    </row>
    <row r="168" spans="2:14">
      <c r="B168" t="s">
        <v>111</v>
      </c>
      <c r="C168" s="14">
        <v>35.697200000000002</v>
      </c>
      <c r="D168" s="14">
        <v>36.1387</v>
      </c>
      <c r="E168" s="14">
        <v>37.555700000000002</v>
      </c>
      <c r="F168" s="14">
        <v>36.719200000000001</v>
      </c>
      <c r="G168" s="14">
        <v>36.262</v>
      </c>
      <c r="H168" s="14">
        <v>39.879199999999997</v>
      </c>
      <c r="I168" s="14">
        <v>41.0075</v>
      </c>
      <c r="J168" s="14">
        <v>42.857999999999997</v>
      </c>
      <c r="K168" s="14">
        <v>42.473599999999998</v>
      </c>
      <c r="L168" s="14">
        <v>40.5017</v>
      </c>
      <c r="M168" s="14">
        <v>38.185099999999998</v>
      </c>
      <c r="N168" s="14">
        <v>40.256399999999999</v>
      </c>
    </row>
    <row r="169" spans="2:14">
      <c r="B169" t="s">
        <v>140</v>
      </c>
      <c r="C169" s="14">
        <v>27.765699999999999</v>
      </c>
      <c r="D169" s="14">
        <v>27.794799999999999</v>
      </c>
      <c r="E169" s="14">
        <v>27.5825</v>
      </c>
      <c r="F169" s="14">
        <v>27.206499999999998</v>
      </c>
      <c r="G169" s="14">
        <v>27.108899999999998</v>
      </c>
      <c r="H169" s="14">
        <v>25.017700000000001</v>
      </c>
      <c r="I169" s="14">
        <v>23.666899999999998</v>
      </c>
      <c r="J169" s="14">
        <v>24.989899999999999</v>
      </c>
      <c r="K169" s="14">
        <v>27.285799999999998</v>
      </c>
      <c r="L169" s="14">
        <v>25.695799999999998</v>
      </c>
      <c r="M169" s="14">
        <v>27.4999</v>
      </c>
      <c r="N169" s="14">
        <v>28.631</v>
      </c>
    </row>
    <row r="170" spans="2:14">
      <c r="B170" t="s">
        <v>143</v>
      </c>
      <c r="C170" s="14">
        <v>123.9924</v>
      </c>
      <c r="D170" s="14">
        <v>120.05549999999999</v>
      </c>
      <c r="E170" s="14">
        <v>119.56870000000001</v>
      </c>
      <c r="F170" s="14">
        <v>114.23050000000001</v>
      </c>
      <c r="G170" s="14">
        <v>116.214</v>
      </c>
      <c r="H170" s="14">
        <v>115.8275</v>
      </c>
      <c r="I170" s="14">
        <v>116.2189</v>
      </c>
      <c r="J170" s="14">
        <v>114.5864</v>
      </c>
      <c r="K170" s="14">
        <v>115.8085</v>
      </c>
      <c r="L170" s="14">
        <v>112.19110000000001</v>
      </c>
      <c r="M170" s="14">
        <v>116.6889</v>
      </c>
      <c r="N170" s="14">
        <v>121.9383</v>
      </c>
    </row>
    <row r="171" spans="2:14">
      <c r="B171" t="s">
        <v>91</v>
      </c>
      <c r="C171" s="14">
        <v>117.51</v>
      </c>
      <c r="D171" s="14">
        <v>121.60980000000001</v>
      </c>
      <c r="E171" s="14">
        <v>115.01739999999999</v>
      </c>
      <c r="F171" s="14">
        <v>123.62269999999999</v>
      </c>
      <c r="G171" s="14">
        <v>125.3888</v>
      </c>
      <c r="H171" s="14">
        <v>126.43899999999999</v>
      </c>
      <c r="I171" s="14">
        <v>130.6748</v>
      </c>
      <c r="J171" s="14">
        <v>135.60140000000001</v>
      </c>
      <c r="K171" s="14">
        <v>133.4367</v>
      </c>
      <c r="L171" s="14">
        <v>126.8552</v>
      </c>
      <c r="M171" s="14">
        <v>130.87280000000001</v>
      </c>
      <c r="N171" s="14">
        <v>137.42339999999999</v>
      </c>
    </row>
    <row r="172" spans="2:14">
      <c r="B172" t="s">
        <v>121</v>
      </c>
      <c r="C172" s="14">
        <v>105.71599999999999</v>
      </c>
      <c r="D172" s="14">
        <v>111.3811</v>
      </c>
      <c r="E172" s="14">
        <v>118.553</v>
      </c>
      <c r="F172" s="14">
        <v>126.8402</v>
      </c>
      <c r="G172" s="14">
        <v>140.5959</v>
      </c>
      <c r="H172" s="14">
        <v>148.59280000000001</v>
      </c>
      <c r="I172" s="14">
        <v>152.0924</v>
      </c>
      <c r="J172" s="14">
        <v>155.65539999999999</v>
      </c>
      <c r="K172" s="14">
        <v>168.9299</v>
      </c>
      <c r="L172" s="14">
        <v>173.72219999999999</v>
      </c>
      <c r="M172" s="14">
        <v>181.76429999999999</v>
      </c>
      <c r="N172" s="14">
        <v>190.80879999999999</v>
      </c>
    </row>
    <row r="173" spans="2:14">
      <c r="B173" t="s">
        <v>95</v>
      </c>
      <c r="C173" s="14">
        <v>590.25459999999998</v>
      </c>
      <c r="D173" s="14">
        <v>592.41740000000004</v>
      </c>
      <c r="E173" s="14">
        <v>587.29610000000002</v>
      </c>
      <c r="F173" s="14">
        <v>591.83259999999996</v>
      </c>
      <c r="G173" s="14">
        <v>600.49019999999996</v>
      </c>
      <c r="H173" s="14">
        <v>602.57150000000001</v>
      </c>
      <c r="I173" s="14">
        <v>611.60749999999996</v>
      </c>
      <c r="J173" s="14">
        <v>608.36109999999996</v>
      </c>
      <c r="K173" s="14">
        <v>610.33870000000002</v>
      </c>
      <c r="L173" s="14">
        <v>613.59960000000001</v>
      </c>
      <c r="M173" s="14">
        <v>645.71159999999998</v>
      </c>
      <c r="N173" s="14">
        <v>668.96960000000001</v>
      </c>
    </row>
    <row r="174" spans="2:14">
      <c r="B174" t="s">
        <v>94</v>
      </c>
      <c r="C174" s="14">
        <v>120.0215</v>
      </c>
      <c r="D174" s="14">
        <v>116.81480000000001</v>
      </c>
      <c r="E174" s="14">
        <v>116.82859999999999</v>
      </c>
      <c r="F174" s="14">
        <v>116.383</v>
      </c>
      <c r="G174" s="14">
        <v>114.1944</v>
      </c>
      <c r="H174" s="14">
        <v>110.0817</v>
      </c>
      <c r="I174" s="14">
        <v>116.2152</v>
      </c>
      <c r="J174" s="14">
        <v>118.9892</v>
      </c>
      <c r="K174" s="14">
        <v>115.9404</v>
      </c>
      <c r="L174" s="14">
        <v>112.23869999999999</v>
      </c>
      <c r="M174" s="14">
        <v>113.3604</v>
      </c>
      <c r="N174" s="14">
        <v>120.2604</v>
      </c>
    </row>
    <row r="175" spans="2:14">
      <c r="B175" t="s">
        <v>129</v>
      </c>
      <c r="C175" s="14">
        <v>130.9717</v>
      </c>
      <c r="D175" s="14">
        <v>134.39250000000001</v>
      </c>
      <c r="E175" s="14">
        <v>132.48349999999999</v>
      </c>
      <c r="F175" s="14">
        <v>133.3408</v>
      </c>
      <c r="G175" s="14">
        <v>135.9537</v>
      </c>
      <c r="H175" s="14">
        <v>144.02350000000001</v>
      </c>
      <c r="I175" s="14">
        <v>152.81549999999999</v>
      </c>
      <c r="J175" s="14">
        <v>152.5034</v>
      </c>
      <c r="K175" s="14">
        <v>153.23660000000001</v>
      </c>
      <c r="L175" s="14">
        <v>160.56489999999999</v>
      </c>
      <c r="M175" s="14">
        <v>162.2816</v>
      </c>
      <c r="N175" s="14">
        <v>168.4639</v>
      </c>
    </row>
    <row r="176" spans="2:14">
      <c r="B176" t="s">
        <v>98</v>
      </c>
      <c r="C176" s="14">
        <v>73.847899999999996</v>
      </c>
      <c r="D176" s="14">
        <v>72.551100000000005</v>
      </c>
      <c r="E176" s="14">
        <v>69.159899999999993</v>
      </c>
      <c r="F176" s="14">
        <v>67.426599999999993</v>
      </c>
      <c r="G176" s="14">
        <v>66.75</v>
      </c>
      <c r="H176" s="14">
        <v>70.040899999999993</v>
      </c>
      <c r="I176" s="14">
        <v>70.128900000000002</v>
      </c>
      <c r="J176" s="14">
        <v>73.771100000000004</v>
      </c>
      <c r="K176" s="14">
        <v>72.890500000000003</v>
      </c>
      <c r="L176" s="14">
        <v>73.237200000000001</v>
      </c>
      <c r="M176" s="14">
        <v>83.334999999999994</v>
      </c>
      <c r="N176" s="14">
        <v>78.678200000000004</v>
      </c>
    </row>
    <row r="177" spans="1:14">
      <c r="B177" t="s">
        <v>105</v>
      </c>
      <c r="C177" s="14">
        <v>387.00450000000001</v>
      </c>
      <c r="D177" s="14">
        <v>386.3</v>
      </c>
      <c r="E177" s="14">
        <v>388.85849999999999</v>
      </c>
      <c r="F177" s="14">
        <v>383.78739999999999</v>
      </c>
      <c r="G177" s="14">
        <v>379.79969999999997</v>
      </c>
      <c r="H177" s="14">
        <v>389.01369999999997</v>
      </c>
      <c r="I177" s="14">
        <v>396.59980000000002</v>
      </c>
      <c r="J177" s="14">
        <v>406.09530000000001</v>
      </c>
      <c r="K177" s="14">
        <v>406.62639999999999</v>
      </c>
      <c r="L177" s="14">
        <v>403.50839999999999</v>
      </c>
      <c r="M177" s="14">
        <v>415.49040000000002</v>
      </c>
      <c r="N177" s="14">
        <v>425.42559999999997</v>
      </c>
    </row>
    <row r="178" spans="1:14">
      <c r="B178" t="s">
        <v>42</v>
      </c>
      <c r="C178" s="14">
        <v>292.21789999999999</v>
      </c>
      <c r="D178" s="14">
        <v>286.87189999999998</v>
      </c>
      <c r="E178" s="14">
        <v>276.9033</v>
      </c>
      <c r="F178" s="14">
        <v>283.82920000000001</v>
      </c>
      <c r="G178" s="14">
        <v>283.90320000000003</v>
      </c>
      <c r="H178" s="14">
        <v>288.4479</v>
      </c>
      <c r="I178" s="14">
        <v>305.09769999999997</v>
      </c>
      <c r="J178" s="14">
        <v>330.05130000000003</v>
      </c>
      <c r="K178" s="14">
        <v>387.06079999999997</v>
      </c>
      <c r="L178" s="14">
        <v>415.35579999999999</v>
      </c>
      <c r="M178" s="14">
        <v>430.95330000000001</v>
      </c>
      <c r="N178" s="14">
        <v>472.77370000000002</v>
      </c>
    </row>
    <row r="179" spans="1:14">
      <c r="A179" t="s">
        <v>37</v>
      </c>
      <c r="B179" t="s">
        <v>96</v>
      </c>
      <c r="C179" s="14">
        <v>850.92920000000004</v>
      </c>
      <c r="D179" s="14">
        <v>854.08900000000006</v>
      </c>
      <c r="E179" s="14">
        <v>852.48400000000004</v>
      </c>
      <c r="F179" s="14">
        <v>863.72900000000004</v>
      </c>
      <c r="G179" s="14">
        <v>868.96619999999996</v>
      </c>
      <c r="H179" s="14">
        <v>844.90099999999995</v>
      </c>
      <c r="I179" s="14">
        <v>880.33789999999999</v>
      </c>
      <c r="J179" s="14">
        <v>885.87909999999999</v>
      </c>
      <c r="K179" s="14">
        <v>899.06970000000001</v>
      </c>
      <c r="L179" s="14">
        <v>898.97799999999995</v>
      </c>
      <c r="M179" s="14">
        <v>922.85990000000004</v>
      </c>
      <c r="N179" s="14">
        <v>947.96420000000001</v>
      </c>
    </row>
    <row r="180" spans="1:14">
      <c r="B180" t="s">
        <v>150</v>
      </c>
      <c r="C180" s="14">
        <v>1004.7868999999999</v>
      </c>
      <c r="D180" s="14">
        <v>1009.8778</v>
      </c>
      <c r="E180" s="14">
        <v>1034.8321000000001</v>
      </c>
      <c r="F180" s="14">
        <v>1048.4834000000001</v>
      </c>
      <c r="G180" s="14">
        <v>1050.6882000000001</v>
      </c>
      <c r="H180" s="14">
        <v>1096.6309000000001</v>
      </c>
      <c r="I180" s="14">
        <v>1133.9365</v>
      </c>
      <c r="J180" s="14">
        <v>1169.9802</v>
      </c>
      <c r="K180" s="14">
        <v>1150.8264999999999</v>
      </c>
      <c r="L180" s="14">
        <v>1142.2760000000001</v>
      </c>
      <c r="M180" s="14">
        <v>1172.6818000000001</v>
      </c>
      <c r="N180" s="14">
        <v>1215.1873000000001</v>
      </c>
    </row>
    <row r="181" spans="1:14">
      <c r="B181" t="s">
        <v>107</v>
      </c>
      <c r="C181" s="14">
        <v>211.0043</v>
      </c>
      <c r="D181" s="14">
        <v>213.1704</v>
      </c>
      <c r="E181" s="14">
        <v>213.4547</v>
      </c>
      <c r="F181" s="14">
        <v>215.21950000000001</v>
      </c>
      <c r="G181" s="14">
        <v>219.6968</v>
      </c>
      <c r="H181" s="14">
        <v>219.63239999999999</v>
      </c>
      <c r="I181" s="14">
        <v>230.0069</v>
      </c>
      <c r="J181" s="14">
        <v>241.11789999999999</v>
      </c>
      <c r="K181" s="14">
        <v>240.59190000000001</v>
      </c>
      <c r="L181" s="14">
        <v>250.71170000000001</v>
      </c>
      <c r="M181" s="14">
        <v>270.59460000000001</v>
      </c>
      <c r="N181" s="14">
        <v>276.96600000000001</v>
      </c>
    </row>
    <row r="182" spans="1:14">
      <c r="B182" t="s">
        <v>248</v>
      </c>
      <c r="C182" s="14">
        <v>775.40869999999995</v>
      </c>
      <c r="D182" s="14">
        <v>783.11059999999998</v>
      </c>
      <c r="E182" s="14">
        <v>800.66330000000005</v>
      </c>
      <c r="F182" s="14">
        <v>829.46540000000005</v>
      </c>
      <c r="G182" s="14">
        <v>834.60569999999996</v>
      </c>
      <c r="H182" s="14">
        <v>853.01350000000002</v>
      </c>
      <c r="I182" s="14">
        <v>869.90740000000005</v>
      </c>
      <c r="J182" s="14">
        <v>870.43830000000003</v>
      </c>
      <c r="K182" s="14">
        <v>850.4615</v>
      </c>
      <c r="L182" s="14">
        <v>851.476</v>
      </c>
      <c r="M182" s="14">
        <v>870.35879999999997</v>
      </c>
      <c r="N182" s="14">
        <v>887.78229999999996</v>
      </c>
    </row>
    <row r="183" spans="1:14">
      <c r="B183" t="s">
        <v>76</v>
      </c>
      <c r="C183" s="14">
        <v>1040.8612000000001</v>
      </c>
      <c r="D183" s="14">
        <v>1071.6421</v>
      </c>
      <c r="E183" s="14">
        <v>1081.5843</v>
      </c>
      <c r="F183" s="14">
        <v>1096.3146999999999</v>
      </c>
      <c r="G183" s="14">
        <v>1107.6648</v>
      </c>
      <c r="H183" s="14">
        <v>1114.1137000000001</v>
      </c>
      <c r="I183" s="14">
        <v>1123.2557999999999</v>
      </c>
      <c r="J183" s="14">
        <v>1126.2781</v>
      </c>
      <c r="K183" s="14">
        <v>1106.7699</v>
      </c>
      <c r="L183" s="14">
        <v>1102.9630999999999</v>
      </c>
      <c r="M183" s="14">
        <v>1164.3197</v>
      </c>
      <c r="N183" s="14">
        <v>1201.0228</v>
      </c>
    </row>
    <row r="184" spans="1:14">
      <c r="B184" t="s">
        <v>246</v>
      </c>
      <c r="C184" s="14">
        <v>1034.6838</v>
      </c>
      <c r="D184" s="14">
        <v>1036.0128999999999</v>
      </c>
      <c r="E184" s="14">
        <v>1031.2304999999999</v>
      </c>
      <c r="F184" s="14">
        <v>1036.3688999999999</v>
      </c>
      <c r="G184" s="14">
        <v>1029.0143</v>
      </c>
      <c r="H184" s="14">
        <v>1025.2325000000001</v>
      </c>
      <c r="I184" s="14">
        <v>1036.2307000000001</v>
      </c>
      <c r="J184" s="14">
        <v>1035.6379999999999</v>
      </c>
      <c r="K184" s="14">
        <v>1011.4777</v>
      </c>
      <c r="L184" s="14">
        <v>1003.7802</v>
      </c>
      <c r="M184" s="14">
        <v>1054.394</v>
      </c>
      <c r="N184" s="14">
        <v>1116.27</v>
      </c>
    </row>
    <row r="185" spans="1:14">
      <c r="B185" t="s">
        <v>80</v>
      </c>
      <c r="C185" s="14">
        <v>925.87289999999996</v>
      </c>
      <c r="D185" s="14">
        <v>928.07770000000005</v>
      </c>
      <c r="E185" s="14">
        <v>941.47760000000005</v>
      </c>
      <c r="F185" s="14">
        <v>970.76229999999998</v>
      </c>
      <c r="G185" s="14">
        <v>978.05050000000006</v>
      </c>
      <c r="H185" s="14">
        <v>1004.5231</v>
      </c>
      <c r="I185" s="14">
        <v>1040.0228</v>
      </c>
      <c r="J185" s="14">
        <v>1071.6647</v>
      </c>
      <c r="K185" s="14">
        <v>1074.1478</v>
      </c>
      <c r="L185" s="14">
        <v>1099.2457999999999</v>
      </c>
      <c r="M185" s="14">
        <v>1129.4911999999999</v>
      </c>
      <c r="N185" s="14">
        <v>1186.9836</v>
      </c>
    </row>
    <row r="186" spans="1:14">
      <c r="B186" t="s">
        <v>77</v>
      </c>
      <c r="C186" s="14">
        <v>947.69410000000005</v>
      </c>
      <c r="D186" s="14">
        <v>953.25739999999996</v>
      </c>
      <c r="E186" s="14">
        <v>959.88800000000003</v>
      </c>
      <c r="F186" s="14">
        <v>974.58910000000003</v>
      </c>
      <c r="G186" s="14">
        <v>989.17619999999999</v>
      </c>
      <c r="H186" s="14">
        <v>991.52639999999997</v>
      </c>
      <c r="I186" s="14">
        <v>969.82029999999997</v>
      </c>
      <c r="J186" s="14">
        <v>946.57410000000004</v>
      </c>
      <c r="K186" s="14">
        <v>933.94510000000002</v>
      </c>
      <c r="L186" s="14">
        <v>951.24109999999996</v>
      </c>
      <c r="M186" s="14">
        <v>995.12710000000004</v>
      </c>
      <c r="N186" s="14">
        <v>1018.1834</v>
      </c>
    </row>
    <row r="187" spans="1:14">
      <c r="B187" t="s">
        <v>79</v>
      </c>
      <c r="C187" s="14">
        <v>1214.9487999999999</v>
      </c>
      <c r="D187" s="14">
        <v>1216.3766000000001</v>
      </c>
      <c r="E187" s="14">
        <v>1216.386</v>
      </c>
      <c r="F187" s="14">
        <v>1197.8731</v>
      </c>
      <c r="G187" s="14">
        <v>1227.8440000000001</v>
      </c>
      <c r="H187" s="14">
        <v>1259.4241999999999</v>
      </c>
      <c r="I187" s="14">
        <v>1273.4487999999999</v>
      </c>
      <c r="J187" s="14">
        <v>1283.5329999999999</v>
      </c>
      <c r="K187" s="14">
        <v>1266.1641999999999</v>
      </c>
      <c r="L187" s="14">
        <v>1263.0839000000001</v>
      </c>
      <c r="M187" s="14">
        <v>1318.1323</v>
      </c>
      <c r="N187" s="14">
        <v>1396.4755</v>
      </c>
    </row>
    <row r="188" spans="1:14">
      <c r="B188" t="s">
        <v>81</v>
      </c>
      <c r="C188" s="14">
        <v>1594.4871000000001</v>
      </c>
      <c r="D188" s="14">
        <v>1633.4905000000001</v>
      </c>
      <c r="E188" s="14">
        <v>1668.4158</v>
      </c>
      <c r="F188" s="14">
        <v>1713.7249999999999</v>
      </c>
      <c r="G188" s="14">
        <v>1749.9138</v>
      </c>
      <c r="H188" s="14">
        <v>1800.9929999999999</v>
      </c>
      <c r="I188" s="14">
        <v>1838.2882</v>
      </c>
      <c r="J188" s="14">
        <v>1860.1327000000001</v>
      </c>
      <c r="K188" s="14">
        <v>1866.3403000000001</v>
      </c>
      <c r="L188" s="14">
        <v>1888.557</v>
      </c>
      <c r="M188" s="14">
        <v>1994.4540999999999</v>
      </c>
      <c r="N188" s="14">
        <v>2057.9299999999998</v>
      </c>
    </row>
    <row r="189" spans="1:14">
      <c r="B189" t="s">
        <v>83</v>
      </c>
      <c r="C189" s="14">
        <v>534.78470000000004</v>
      </c>
      <c r="D189" s="14">
        <v>535.01279999999997</v>
      </c>
      <c r="E189" s="14">
        <v>540.96559999999999</v>
      </c>
      <c r="F189" s="14">
        <v>543.09310000000005</v>
      </c>
      <c r="G189" s="14">
        <v>551.31079999999997</v>
      </c>
      <c r="H189" s="14">
        <v>572.80589999999995</v>
      </c>
      <c r="I189" s="14">
        <v>592.03449999999998</v>
      </c>
      <c r="J189" s="14">
        <v>616.82820000000004</v>
      </c>
      <c r="K189" s="14">
        <v>629.99570000000006</v>
      </c>
      <c r="L189" s="14">
        <v>641.96029999999996</v>
      </c>
      <c r="M189" s="14">
        <v>685.21209999999996</v>
      </c>
      <c r="N189" s="14">
        <v>741.28819999999996</v>
      </c>
    </row>
    <row r="190" spans="1:14">
      <c r="B190" t="s">
        <v>242</v>
      </c>
      <c r="C190" s="14">
        <v>618.4692</v>
      </c>
      <c r="D190" s="14">
        <v>620.18579999999997</v>
      </c>
      <c r="E190" s="14">
        <v>608.71249999999998</v>
      </c>
      <c r="F190" s="14">
        <v>605.99639999999999</v>
      </c>
      <c r="G190" s="14">
        <v>629.61670000000004</v>
      </c>
      <c r="H190" s="14">
        <v>636.87779999999998</v>
      </c>
      <c r="I190" s="14">
        <v>693.89250000000004</v>
      </c>
      <c r="J190" s="14">
        <v>694.04570000000001</v>
      </c>
      <c r="K190" s="14">
        <v>695.98519999999996</v>
      </c>
      <c r="L190" s="14">
        <v>681.52670000000001</v>
      </c>
      <c r="M190" s="14">
        <v>726.08770000000004</v>
      </c>
      <c r="N190" s="14">
        <v>753.18100000000004</v>
      </c>
    </row>
    <row r="191" spans="1:14">
      <c r="B191" t="s">
        <v>87</v>
      </c>
      <c r="C191" s="14">
        <v>889.12699999999995</v>
      </c>
      <c r="D191" s="14">
        <v>894.21199999999999</v>
      </c>
      <c r="E191" s="14">
        <v>919.06960000000004</v>
      </c>
      <c r="F191" s="14">
        <v>923.60580000000004</v>
      </c>
      <c r="G191" s="14">
        <v>906.75810000000001</v>
      </c>
      <c r="H191" s="14">
        <v>920.5086</v>
      </c>
      <c r="I191" s="14">
        <v>932.97739999999999</v>
      </c>
      <c r="J191" s="14">
        <v>871.33529999999996</v>
      </c>
      <c r="K191" s="14">
        <v>862.52840000000003</v>
      </c>
      <c r="L191" s="14">
        <v>873.94359999999995</v>
      </c>
      <c r="M191" s="14">
        <v>895.21349999999995</v>
      </c>
      <c r="N191" s="14">
        <v>922.87149999999997</v>
      </c>
    </row>
    <row r="192" spans="1:14">
      <c r="B192" t="s">
        <v>86</v>
      </c>
      <c r="C192" s="14">
        <v>74.579499999999996</v>
      </c>
      <c r="D192" s="14">
        <v>77.907899999999998</v>
      </c>
      <c r="E192" s="14">
        <v>78.552000000000007</v>
      </c>
      <c r="F192" s="14">
        <v>78.339399999999998</v>
      </c>
      <c r="G192" s="14">
        <v>76.468699999999998</v>
      </c>
      <c r="H192" s="14">
        <v>74.955699999999993</v>
      </c>
      <c r="I192" s="14">
        <v>70.548000000000002</v>
      </c>
      <c r="J192" s="14">
        <v>69.793099999999995</v>
      </c>
      <c r="K192" s="14">
        <v>68.912400000000005</v>
      </c>
      <c r="L192" s="14">
        <v>66.905900000000003</v>
      </c>
      <c r="M192" s="14">
        <v>65.761399999999995</v>
      </c>
      <c r="N192" s="14">
        <v>67.922799999999995</v>
      </c>
    </row>
    <row r="193" spans="2:14">
      <c r="B193" t="s">
        <v>78</v>
      </c>
      <c r="C193" s="14">
        <v>714.77110000000005</v>
      </c>
      <c r="D193" s="14">
        <v>715.47879999999998</v>
      </c>
      <c r="E193" s="14">
        <v>720.19479999999999</v>
      </c>
      <c r="F193" s="14">
        <v>733.87469999999996</v>
      </c>
      <c r="G193" s="14">
        <v>754.83219999999994</v>
      </c>
      <c r="H193" s="14">
        <v>776.94770000000005</v>
      </c>
      <c r="I193" s="14">
        <v>813.66499999999996</v>
      </c>
      <c r="J193" s="14">
        <v>843.69219999999996</v>
      </c>
      <c r="K193" s="14">
        <v>843.73119999999994</v>
      </c>
      <c r="L193" s="14">
        <v>858.0566</v>
      </c>
      <c r="M193" s="14">
        <v>873.08709999999996</v>
      </c>
      <c r="N193" s="14">
        <v>919.46730000000002</v>
      </c>
    </row>
    <row r="194" spans="2:14">
      <c r="B194" t="s">
        <v>245</v>
      </c>
      <c r="C194" s="14">
        <v>731.89760000000001</v>
      </c>
      <c r="D194" s="14">
        <v>728.98720000000003</v>
      </c>
      <c r="E194" s="14">
        <v>722.93209999999999</v>
      </c>
      <c r="F194" s="14">
        <v>725.9443</v>
      </c>
      <c r="G194" s="14">
        <v>714.88930000000005</v>
      </c>
      <c r="H194" s="14">
        <v>713.86689999999999</v>
      </c>
      <c r="I194" s="14">
        <v>718.61980000000005</v>
      </c>
      <c r="J194" s="14">
        <v>717.79719999999998</v>
      </c>
      <c r="K194" s="14">
        <v>713.55349999999999</v>
      </c>
      <c r="L194" s="14">
        <v>708.2577</v>
      </c>
      <c r="M194" s="14">
        <v>729.44510000000002</v>
      </c>
      <c r="N194" s="14">
        <v>725.92359999999996</v>
      </c>
    </row>
    <row r="195" spans="2:14">
      <c r="B195" t="s">
        <v>85</v>
      </c>
      <c r="C195" s="14">
        <v>588.87570000000005</v>
      </c>
      <c r="D195" s="14">
        <v>612.70690000000002</v>
      </c>
      <c r="E195" s="14">
        <v>640.47389999999996</v>
      </c>
      <c r="F195" s="14">
        <v>670.43970000000002</v>
      </c>
      <c r="G195" s="14">
        <v>695.8184</v>
      </c>
      <c r="H195" s="14">
        <v>723.67579999999998</v>
      </c>
      <c r="I195" s="14">
        <v>767.75620000000004</v>
      </c>
      <c r="J195" s="14">
        <v>789.29380000000003</v>
      </c>
      <c r="K195" s="14">
        <v>774.09979999999996</v>
      </c>
      <c r="L195" s="14">
        <v>795.04989999999998</v>
      </c>
      <c r="M195" s="14">
        <v>844.20399999999995</v>
      </c>
      <c r="N195" s="14">
        <v>866.37360000000001</v>
      </c>
    </row>
    <row r="196" spans="2:14">
      <c r="B196" t="s">
        <v>84</v>
      </c>
      <c r="C196" s="14">
        <v>480.63589999999999</v>
      </c>
      <c r="D196" s="14">
        <v>490.14659999999998</v>
      </c>
      <c r="E196" s="14">
        <v>500.512</v>
      </c>
      <c r="F196" s="14">
        <v>518.62990000000002</v>
      </c>
      <c r="G196" s="14">
        <v>537.51850000000002</v>
      </c>
      <c r="H196" s="14">
        <v>568.89009999999996</v>
      </c>
      <c r="I196" s="14">
        <v>598.68679999999995</v>
      </c>
      <c r="J196" s="14">
        <v>612.80409999999995</v>
      </c>
      <c r="K196" s="14">
        <v>613.8655</v>
      </c>
      <c r="L196" s="14">
        <v>629.76139999999998</v>
      </c>
      <c r="M196" s="14">
        <v>642.58150000000001</v>
      </c>
      <c r="N196" s="14">
        <v>675.71489999999994</v>
      </c>
    </row>
    <row r="197" spans="2:14">
      <c r="B197" t="s">
        <v>240</v>
      </c>
      <c r="C197" s="14">
        <v>636.9769</v>
      </c>
      <c r="D197" s="14">
        <v>639.36199999999997</v>
      </c>
      <c r="E197" s="14">
        <v>662.74969999999996</v>
      </c>
      <c r="F197" s="14">
        <v>658.57029999999997</v>
      </c>
      <c r="G197" s="14">
        <v>658.13040000000001</v>
      </c>
      <c r="H197" s="14">
        <v>658.58330000000001</v>
      </c>
      <c r="I197" s="14">
        <v>696.9556</v>
      </c>
      <c r="J197" s="14">
        <v>707.42309999999998</v>
      </c>
      <c r="K197" s="14">
        <v>710.74919999999997</v>
      </c>
      <c r="L197" s="14">
        <v>708.28740000000005</v>
      </c>
      <c r="M197" s="14">
        <v>708.98109999999997</v>
      </c>
      <c r="N197" s="14">
        <v>736.78250000000003</v>
      </c>
    </row>
    <row r="198" spans="2:14">
      <c r="B198" t="s">
        <v>244</v>
      </c>
      <c r="C198" s="14">
        <v>338.86619999999999</v>
      </c>
      <c r="D198" s="14">
        <v>335.3467</v>
      </c>
      <c r="E198" s="14">
        <v>338.29199999999997</v>
      </c>
      <c r="F198" s="14">
        <v>347.08710000000002</v>
      </c>
      <c r="G198" s="14">
        <v>345.69310000000002</v>
      </c>
      <c r="H198" s="14">
        <v>345.83940000000001</v>
      </c>
      <c r="I198" s="14">
        <v>363.54140000000001</v>
      </c>
      <c r="J198" s="14">
        <v>393.89699999999999</v>
      </c>
      <c r="K198" s="14">
        <v>386.05770000000001</v>
      </c>
      <c r="L198" s="14">
        <v>378.92509999999999</v>
      </c>
      <c r="M198" s="14">
        <v>378.21589999999998</v>
      </c>
      <c r="N198" s="14">
        <v>394.67290000000003</v>
      </c>
    </row>
    <row r="199" spans="2:14">
      <c r="B199" t="s">
        <v>247</v>
      </c>
      <c r="C199" s="14">
        <v>742.77269999999999</v>
      </c>
      <c r="D199" s="14">
        <v>746.22559999999999</v>
      </c>
      <c r="E199" s="14">
        <v>744.42420000000004</v>
      </c>
      <c r="F199" s="14">
        <v>744.0598</v>
      </c>
      <c r="G199" s="14">
        <v>745.84069999999997</v>
      </c>
      <c r="H199" s="14">
        <v>763.98099999999999</v>
      </c>
      <c r="I199" s="14">
        <v>786.94060000000002</v>
      </c>
      <c r="J199" s="14">
        <v>818.71559999999999</v>
      </c>
      <c r="K199" s="14">
        <v>816.85050000000001</v>
      </c>
      <c r="L199" s="14">
        <v>828.0598</v>
      </c>
      <c r="M199" s="14">
        <v>859.81920000000002</v>
      </c>
      <c r="N199" s="14">
        <v>881.90940000000001</v>
      </c>
    </row>
    <row r="200" spans="2:14">
      <c r="B200" t="s">
        <v>243</v>
      </c>
      <c r="C200" s="14">
        <v>992.84739999999999</v>
      </c>
      <c r="D200" s="14">
        <v>988.28930000000003</v>
      </c>
      <c r="E200" s="14">
        <v>984.02610000000004</v>
      </c>
      <c r="F200" s="14">
        <v>964.11059999999998</v>
      </c>
      <c r="G200" s="14">
        <v>962.22270000000003</v>
      </c>
      <c r="H200" s="14">
        <v>1007.135</v>
      </c>
      <c r="I200" s="14">
        <v>1018.1248000000001</v>
      </c>
      <c r="J200" s="14">
        <v>1033.0331000000001</v>
      </c>
      <c r="K200" s="14">
        <v>1034.7752</v>
      </c>
      <c r="L200" s="14">
        <v>1035.7748999999999</v>
      </c>
      <c r="M200" s="14">
        <v>1059.2049</v>
      </c>
      <c r="N200" s="14">
        <v>1106.4594999999999</v>
      </c>
    </row>
    <row r="201" spans="2:14">
      <c r="B201" t="s">
        <v>241</v>
      </c>
      <c r="C201" s="14">
        <v>9.3368000000000002</v>
      </c>
      <c r="D201" s="14">
        <v>9.1806999999999999</v>
      </c>
      <c r="E201" s="14">
        <v>8.7765000000000004</v>
      </c>
      <c r="F201" s="14">
        <v>8.0951000000000004</v>
      </c>
      <c r="G201" s="14">
        <v>7.6882000000000001</v>
      </c>
      <c r="H201" s="14">
        <v>9.4514999999999993</v>
      </c>
      <c r="I201" s="14">
        <v>10.0694</v>
      </c>
      <c r="J201" s="14">
        <v>8.9444999999999997</v>
      </c>
      <c r="K201" s="14">
        <v>9.1663999999999994</v>
      </c>
      <c r="L201" s="14">
        <v>10.291700000000001</v>
      </c>
      <c r="M201" s="14">
        <v>10.4208</v>
      </c>
      <c r="N201" s="14">
        <v>9.7292000000000005</v>
      </c>
    </row>
    <row r="202" spans="2:14">
      <c r="B202" t="s">
        <v>82</v>
      </c>
      <c r="C202" s="14">
        <v>1096.0823</v>
      </c>
      <c r="D202" s="14">
        <v>1114.5473999999999</v>
      </c>
      <c r="E202" s="14">
        <v>1112.1174000000001</v>
      </c>
      <c r="F202" s="14">
        <v>1133.2747999999999</v>
      </c>
      <c r="G202" s="14">
        <v>1124.1024</v>
      </c>
      <c r="H202" s="14">
        <v>1142.1380999999999</v>
      </c>
      <c r="I202" s="14">
        <v>1169.5857000000001</v>
      </c>
      <c r="J202" s="14">
        <v>1208.3100999999999</v>
      </c>
      <c r="K202" s="14">
        <v>1182.066</v>
      </c>
      <c r="L202" s="14">
        <v>1159.8960999999999</v>
      </c>
      <c r="M202" s="14">
        <v>1173.5458000000001</v>
      </c>
      <c r="N202" s="14">
        <v>1248.3158000000001</v>
      </c>
    </row>
    <row r="203" spans="2:14">
      <c r="B203" t="s">
        <v>135</v>
      </c>
      <c r="C203" s="14">
        <v>274.13479999999998</v>
      </c>
      <c r="D203" s="14">
        <v>271.01639999999998</v>
      </c>
      <c r="E203" s="14">
        <v>276.73379999999997</v>
      </c>
      <c r="F203" s="14">
        <v>279.4067</v>
      </c>
      <c r="G203" s="14">
        <v>283.32990000000001</v>
      </c>
      <c r="H203" s="14">
        <v>290.18669999999997</v>
      </c>
      <c r="I203" s="14">
        <v>292.34359999999998</v>
      </c>
      <c r="J203" s="14">
        <v>294.23250000000002</v>
      </c>
      <c r="K203" s="14">
        <v>292.51490000000001</v>
      </c>
      <c r="L203" s="14">
        <v>284.75130000000001</v>
      </c>
      <c r="M203" s="14">
        <v>291.964</v>
      </c>
      <c r="N203" s="14">
        <v>296.70999999999998</v>
      </c>
    </row>
    <row r="204" spans="2:14">
      <c r="B204" t="s">
        <v>102</v>
      </c>
      <c r="C204" s="14">
        <v>266.9853</v>
      </c>
      <c r="D204" s="14">
        <v>263.2208</v>
      </c>
      <c r="E204" s="14">
        <v>262.40710000000001</v>
      </c>
      <c r="F204" s="14">
        <v>268.4828</v>
      </c>
      <c r="G204" s="14">
        <v>269.39260000000002</v>
      </c>
      <c r="H204" s="14">
        <v>274.64890000000003</v>
      </c>
      <c r="I204" s="14">
        <v>283.4699</v>
      </c>
      <c r="J204" s="14">
        <v>283.6422</v>
      </c>
      <c r="K204" s="14">
        <v>287.24090000000001</v>
      </c>
      <c r="L204" s="14">
        <v>290.4366</v>
      </c>
      <c r="M204" s="14">
        <v>300.46460000000002</v>
      </c>
      <c r="N204" s="14">
        <v>307.50139999999999</v>
      </c>
    </row>
    <row r="205" spans="2:14">
      <c r="B205" t="s">
        <v>138</v>
      </c>
      <c r="C205" s="14">
        <v>664.97649999999999</v>
      </c>
      <c r="D205" s="14">
        <v>674.36090000000002</v>
      </c>
      <c r="E205" s="14">
        <v>677.7319</v>
      </c>
      <c r="F205" s="14">
        <v>693.78989999999999</v>
      </c>
      <c r="G205" s="14">
        <v>699.87350000000004</v>
      </c>
      <c r="H205" s="14">
        <v>707.99369999999999</v>
      </c>
      <c r="I205" s="14">
        <v>722.67619999999999</v>
      </c>
      <c r="J205" s="14">
        <v>749.11630000000002</v>
      </c>
      <c r="K205" s="14">
        <v>748.50340000000006</v>
      </c>
      <c r="L205" s="14">
        <v>739.03890000000001</v>
      </c>
      <c r="M205" s="14">
        <v>780.60680000000002</v>
      </c>
      <c r="N205" s="14">
        <v>823.93619999999999</v>
      </c>
    </row>
    <row r="206" spans="2:14">
      <c r="B206" t="s">
        <v>115</v>
      </c>
      <c r="C206" s="14">
        <v>375.96899999999999</v>
      </c>
      <c r="D206" s="14">
        <v>397.04180000000002</v>
      </c>
      <c r="E206" s="14">
        <v>394.77539999999999</v>
      </c>
      <c r="F206" s="14">
        <v>398.05419999999998</v>
      </c>
      <c r="G206" s="14">
        <v>398.14210000000003</v>
      </c>
      <c r="H206" s="14">
        <v>400.5763</v>
      </c>
      <c r="I206" s="14">
        <v>413.49079999999998</v>
      </c>
      <c r="J206" s="14">
        <v>419.21600000000001</v>
      </c>
      <c r="K206" s="14">
        <v>411.33690000000001</v>
      </c>
      <c r="L206" s="14">
        <v>407.12889999999999</v>
      </c>
      <c r="M206" s="14">
        <v>439.5754</v>
      </c>
      <c r="N206" s="14">
        <v>453.96789999999999</v>
      </c>
    </row>
    <row r="207" spans="2:14">
      <c r="B207" t="s">
        <v>100</v>
      </c>
      <c r="C207" s="14">
        <v>1780.2814000000001</v>
      </c>
      <c r="D207" s="14">
        <v>1818.5214000000001</v>
      </c>
      <c r="E207" s="14">
        <v>1892.2974999999999</v>
      </c>
      <c r="F207" s="14">
        <v>1936.8340000000001</v>
      </c>
      <c r="G207" s="14">
        <v>1981.1226999999999</v>
      </c>
      <c r="H207" s="14">
        <v>2063.7242999999999</v>
      </c>
      <c r="I207" s="14">
        <v>2158.8946000000001</v>
      </c>
      <c r="J207" s="14">
        <v>2203.4411</v>
      </c>
      <c r="K207" s="14">
        <v>2201.3402000000001</v>
      </c>
      <c r="L207" s="14">
        <v>2275.5783999999999</v>
      </c>
      <c r="M207" s="14">
        <v>2384.2037999999998</v>
      </c>
      <c r="N207" s="14">
        <v>2437.6361000000002</v>
      </c>
    </row>
    <row r="208" spans="2:14">
      <c r="B208" t="s">
        <v>141</v>
      </c>
      <c r="C208" s="14">
        <v>516.38800000000003</v>
      </c>
      <c r="D208" s="14">
        <v>526.5711</v>
      </c>
      <c r="E208" s="14">
        <v>533.29740000000004</v>
      </c>
      <c r="F208" s="14">
        <v>554.45830000000001</v>
      </c>
      <c r="G208" s="14">
        <v>568.32960000000003</v>
      </c>
      <c r="H208" s="14">
        <v>570.45749999999998</v>
      </c>
      <c r="I208" s="14">
        <v>604.50170000000003</v>
      </c>
      <c r="J208" s="14">
        <v>624.80989999999997</v>
      </c>
      <c r="K208" s="14">
        <v>625.58500000000004</v>
      </c>
      <c r="L208" s="14">
        <v>626.34540000000004</v>
      </c>
      <c r="M208" s="14">
        <v>656.8569</v>
      </c>
      <c r="N208" s="14">
        <v>664.65480000000002</v>
      </c>
    </row>
    <row r="209" spans="2:14">
      <c r="B209" t="s">
        <v>249</v>
      </c>
      <c r="C209" s="14">
        <v>99.271699999999996</v>
      </c>
      <c r="D209" s="14">
        <v>95.740300000000005</v>
      </c>
      <c r="E209" s="14">
        <v>101.10429999999999</v>
      </c>
      <c r="F209" s="14">
        <v>97.843100000000007</v>
      </c>
      <c r="G209" s="14">
        <v>95.218699999999998</v>
      </c>
      <c r="H209" s="14">
        <v>95.235500000000002</v>
      </c>
      <c r="I209" s="14">
        <v>100.5746</v>
      </c>
      <c r="J209" s="14">
        <v>98.249700000000004</v>
      </c>
      <c r="K209" s="14">
        <v>96.683700000000002</v>
      </c>
      <c r="L209" s="14">
        <v>92.841999999999999</v>
      </c>
      <c r="M209" s="14">
        <v>102.0372</v>
      </c>
      <c r="N209" s="14">
        <v>105.9415</v>
      </c>
    </row>
    <row r="210" spans="2:14">
      <c r="B210" t="s">
        <v>127</v>
      </c>
      <c r="C210" s="14">
        <v>311.1121</v>
      </c>
      <c r="D210" s="14">
        <v>289.3383</v>
      </c>
      <c r="E210" s="14">
        <v>287.08659999999998</v>
      </c>
      <c r="F210" s="14">
        <v>285.44040000000001</v>
      </c>
      <c r="G210" s="14">
        <v>289.10700000000003</v>
      </c>
      <c r="H210" s="14">
        <v>291.81990000000002</v>
      </c>
      <c r="I210" s="14">
        <v>296.46170000000001</v>
      </c>
      <c r="J210" s="14">
        <v>303.67160000000001</v>
      </c>
      <c r="K210" s="14">
        <v>308.2457</v>
      </c>
      <c r="L210" s="14">
        <v>305.1977</v>
      </c>
      <c r="M210" s="14">
        <v>323.76620000000003</v>
      </c>
      <c r="N210" s="14">
        <v>328.23039999999997</v>
      </c>
    </row>
    <row r="211" spans="2:14">
      <c r="B211" t="s">
        <v>144</v>
      </c>
      <c r="C211" s="14">
        <v>139.57509999999999</v>
      </c>
      <c r="D211" s="14">
        <v>136.60749999999999</v>
      </c>
      <c r="E211" s="14">
        <v>131.65880000000001</v>
      </c>
      <c r="F211" s="14">
        <v>131.53030000000001</v>
      </c>
      <c r="G211" s="14">
        <v>124.1771</v>
      </c>
      <c r="H211" s="14">
        <v>123.6075</v>
      </c>
      <c r="I211" s="14">
        <v>128.20910000000001</v>
      </c>
      <c r="J211" s="14">
        <v>132.29820000000001</v>
      </c>
      <c r="K211" s="14">
        <v>128.1927</v>
      </c>
      <c r="L211" s="14">
        <v>128.82839999999999</v>
      </c>
      <c r="M211" s="14">
        <v>134.49529999999999</v>
      </c>
      <c r="N211" s="14">
        <v>135.32509999999999</v>
      </c>
    </row>
    <row r="212" spans="2:14">
      <c r="B212" t="s">
        <v>133</v>
      </c>
      <c r="C212" s="14">
        <v>394.16230000000002</v>
      </c>
      <c r="D212" s="14">
        <v>393.8057</v>
      </c>
      <c r="E212" s="14">
        <v>395.5933</v>
      </c>
      <c r="F212" s="14">
        <v>405.87689999999998</v>
      </c>
      <c r="G212" s="14">
        <v>401.7287</v>
      </c>
      <c r="H212" s="14">
        <v>408.86079999999998</v>
      </c>
      <c r="I212" s="14">
        <v>421.22449999999998</v>
      </c>
      <c r="J212" s="14">
        <v>423.30380000000002</v>
      </c>
      <c r="K212" s="14">
        <v>424.77510000000001</v>
      </c>
      <c r="L212" s="14">
        <v>427.2595</v>
      </c>
      <c r="M212" s="14">
        <v>439.03489999999999</v>
      </c>
      <c r="N212" s="14">
        <v>464.57260000000002</v>
      </c>
    </row>
    <row r="213" spans="2:14">
      <c r="B213" t="s">
        <v>146</v>
      </c>
      <c r="C213" s="14">
        <v>357.57260000000002</v>
      </c>
      <c r="D213" s="14">
        <v>365.33730000000003</v>
      </c>
      <c r="E213" s="14">
        <v>378.33449999999999</v>
      </c>
      <c r="F213" s="14">
        <v>390.05500000000001</v>
      </c>
      <c r="G213" s="14">
        <v>399.25639999999999</v>
      </c>
      <c r="H213" s="14">
        <v>405.52140000000003</v>
      </c>
      <c r="I213" s="14">
        <v>406.78570000000002</v>
      </c>
      <c r="J213" s="14">
        <v>415.12990000000002</v>
      </c>
      <c r="K213" s="14">
        <v>417.63529999999997</v>
      </c>
      <c r="L213" s="14">
        <v>407.55860000000001</v>
      </c>
      <c r="M213" s="14">
        <v>438.48259999999999</v>
      </c>
      <c r="N213" s="14">
        <v>457.03429999999997</v>
      </c>
    </row>
    <row r="214" spans="2:14">
      <c r="B214" t="s">
        <v>134</v>
      </c>
      <c r="C214" s="14">
        <v>1437.3893</v>
      </c>
      <c r="D214" s="14">
        <v>1478.4738</v>
      </c>
      <c r="E214" s="14">
        <v>1516.287</v>
      </c>
      <c r="F214" s="14">
        <v>1557.4051999999999</v>
      </c>
      <c r="G214" s="14">
        <v>1587.5315000000001</v>
      </c>
      <c r="H214" s="14">
        <v>1630.7573</v>
      </c>
      <c r="I214" s="14">
        <v>1680.1959999999999</v>
      </c>
      <c r="J214" s="14">
        <v>1736.3150000000001</v>
      </c>
      <c r="K214" s="14">
        <v>1733.4585999999999</v>
      </c>
      <c r="L214" s="14">
        <v>1753.0445</v>
      </c>
      <c r="M214" s="14">
        <v>1815.0826999999999</v>
      </c>
      <c r="N214" s="14">
        <v>1874.6454000000001</v>
      </c>
    </row>
    <row r="215" spans="2:14">
      <c r="B215" t="s">
        <v>123</v>
      </c>
      <c r="C215" s="14">
        <v>904.39620000000002</v>
      </c>
      <c r="D215" s="14">
        <v>904.64589999999998</v>
      </c>
      <c r="E215" s="14">
        <v>910.97910000000002</v>
      </c>
      <c r="F215" s="14">
        <v>915.36779999999999</v>
      </c>
      <c r="G215" s="14">
        <v>921.70119999999997</v>
      </c>
      <c r="H215" s="14">
        <v>930.83889999999997</v>
      </c>
      <c r="I215" s="14">
        <v>955.8691</v>
      </c>
      <c r="J215" s="14">
        <v>983.82320000000004</v>
      </c>
      <c r="K215" s="14">
        <v>992.62950000000001</v>
      </c>
      <c r="L215" s="14">
        <v>999.73990000000003</v>
      </c>
      <c r="M215" s="14">
        <v>1020.6612</v>
      </c>
      <c r="N215" s="14">
        <v>1061.1172999999999</v>
      </c>
    </row>
    <row r="216" spans="2:14">
      <c r="B216" t="s">
        <v>148</v>
      </c>
      <c r="C216" s="14">
        <v>506.03870000000001</v>
      </c>
      <c r="D216" s="14">
        <v>499.51859999999999</v>
      </c>
      <c r="E216" s="14">
        <v>511.4554</v>
      </c>
      <c r="F216" s="14">
        <v>502.45530000000002</v>
      </c>
      <c r="G216" s="14">
        <v>507.53570000000002</v>
      </c>
      <c r="H216" s="14">
        <v>500.68490000000003</v>
      </c>
      <c r="I216" s="14">
        <v>525.34439999999995</v>
      </c>
      <c r="J216" s="14">
        <v>524.54380000000003</v>
      </c>
      <c r="K216" s="14">
        <v>520.28959999999995</v>
      </c>
      <c r="L216" s="14">
        <v>514.2201</v>
      </c>
      <c r="M216" s="14">
        <v>523.35140000000001</v>
      </c>
      <c r="N216" s="14">
        <v>531.99109999999996</v>
      </c>
    </row>
    <row r="217" spans="2:14">
      <c r="B217" t="s">
        <v>109</v>
      </c>
      <c r="C217" s="14">
        <v>82.116299999999995</v>
      </c>
      <c r="D217" s="14">
        <v>80.0792</v>
      </c>
      <c r="E217" s="14">
        <v>82.172200000000004</v>
      </c>
      <c r="F217" s="14">
        <v>82.676500000000004</v>
      </c>
      <c r="G217" s="14">
        <v>87.878</v>
      </c>
      <c r="H217" s="14">
        <v>81.595200000000006</v>
      </c>
      <c r="I217" s="14">
        <v>86.820700000000002</v>
      </c>
      <c r="J217" s="14">
        <v>87.846800000000002</v>
      </c>
      <c r="K217" s="14">
        <v>82.526300000000006</v>
      </c>
      <c r="L217" s="14">
        <v>83.263400000000004</v>
      </c>
      <c r="M217" s="14">
        <v>83.656099999999995</v>
      </c>
      <c r="N217" s="14">
        <v>87.502899999999997</v>
      </c>
    </row>
    <row r="218" spans="2:14">
      <c r="B218" t="s">
        <v>250</v>
      </c>
      <c r="C218" s="14">
        <v>141.17939999999999</v>
      </c>
      <c r="D218" s="14">
        <v>134.8467</v>
      </c>
      <c r="E218" s="14">
        <v>130.2106</v>
      </c>
      <c r="F218" s="14">
        <v>126.3929</v>
      </c>
      <c r="G218" s="14">
        <v>122.66889999999999</v>
      </c>
      <c r="H218" s="14">
        <v>126.24850000000001</v>
      </c>
      <c r="I218" s="14">
        <v>123.4567</v>
      </c>
      <c r="J218" s="14">
        <v>125.0228</v>
      </c>
      <c r="K218" s="14">
        <v>126.5634</v>
      </c>
      <c r="L218" s="14">
        <v>124.5668</v>
      </c>
      <c r="M218" s="14">
        <v>133.0934</v>
      </c>
      <c r="N218" s="14">
        <v>130.95570000000001</v>
      </c>
    </row>
    <row r="219" spans="2:14">
      <c r="B219" t="s">
        <v>97</v>
      </c>
      <c r="C219" s="14">
        <v>687.20650000000001</v>
      </c>
      <c r="D219" s="14">
        <v>702.03689999999995</v>
      </c>
      <c r="E219" s="14">
        <v>694.33190000000002</v>
      </c>
      <c r="F219" s="14">
        <v>701.41290000000004</v>
      </c>
      <c r="G219" s="14">
        <v>699.5403</v>
      </c>
      <c r="H219" s="14">
        <v>704.09670000000006</v>
      </c>
      <c r="I219" s="14">
        <v>728.66250000000002</v>
      </c>
      <c r="J219" s="14">
        <v>739.57579999999996</v>
      </c>
      <c r="K219" s="14">
        <v>739.08420000000001</v>
      </c>
      <c r="L219" s="14">
        <v>746.90210000000002</v>
      </c>
      <c r="M219" s="14">
        <v>778.45989999999995</v>
      </c>
      <c r="N219" s="14">
        <v>795.48779999999999</v>
      </c>
    </row>
    <row r="220" spans="2:14">
      <c r="B220" t="s">
        <v>142</v>
      </c>
      <c r="C220" s="14">
        <v>111.6985</v>
      </c>
      <c r="D220" s="14">
        <v>110.48390000000001</v>
      </c>
      <c r="E220" s="14">
        <v>111.4537</v>
      </c>
      <c r="F220" s="14">
        <v>114.194</v>
      </c>
      <c r="G220" s="14">
        <v>112.16370000000001</v>
      </c>
      <c r="H220" s="14">
        <v>111.1122</v>
      </c>
      <c r="I220" s="14">
        <v>116.7218</v>
      </c>
      <c r="J220" s="14">
        <v>118.23260000000001</v>
      </c>
      <c r="K220" s="14">
        <v>124.74290000000001</v>
      </c>
      <c r="L220" s="14">
        <v>124.57080000000001</v>
      </c>
      <c r="M220" s="14">
        <v>124.2396</v>
      </c>
      <c r="N220" s="14">
        <v>126.1122</v>
      </c>
    </row>
    <row r="221" spans="2:14">
      <c r="B221" t="s">
        <v>101</v>
      </c>
      <c r="C221" s="14">
        <v>1012.2482</v>
      </c>
      <c r="D221" s="14">
        <v>1007.1608</v>
      </c>
      <c r="E221" s="14">
        <v>1020.8246</v>
      </c>
      <c r="F221" s="14">
        <v>1039.8393000000001</v>
      </c>
      <c r="G221" s="14">
        <v>1046.9767999999999</v>
      </c>
      <c r="H221" s="14">
        <v>1065.3447000000001</v>
      </c>
      <c r="I221" s="14">
        <v>1082.8583000000001</v>
      </c>
      <c r="J221" s="14">
        <v>1101.9657999999999</v>
      </c>
      <c r="K221" s="14">
        <v>1108.0248999999999</v>
      </c>
      <c r="L221" s="14">
        <v>1101.3531</v>
      </c>
      <c r="M221" s="14">
        <v>1125.6706999999999</v>
      </c>
      <c r="N221" s="14">
        <v>1151.6918000000001</v>
      </c>
    </row>
    <row r="222" spans="2:14">
      <c r="B222" t="s">
        <v>116</v>
      </c>
      <c r="C222" s="14">
        <v>736.23199999999997</v>
      </c>
      <c r="D222" s="14">
        <v>731.43690000000004</v>
      </c>
      <c r="E222" s="14">
        <v>739.93430000000001</v>
      </c>
      <c r="F222" s="14">
        <v>749.13120000000004</v>
      </c>
      <c r="G222" s="14">
        <v>758.80449999999996</v>
      </c>
      <c r="H222" s="14">
        <v>764.44330000000002</v>
      </c>
      <c r="I222" s="14">
        <v>767.87519999999995</v>
      </c>
      <c r="J222" s="14">
        <v>780.26229999999998</v>
      </c>
      <c r="K222" s="14">
        <v>789.26639999999998</v>
      </c>
      <c r="L222" s="14">
        <v>783.07320000000004</v>
      </c>
      <c r="M222" s="14">
        <v>787.96130000000005</v>
      </c>
      <c r="N222" s="14">
        <v>799.58609999999999</v>
      </c>
    </row>
    <row r="223" spans="2:14">
      <c r="B223" t="s">
        <v>90</v>
      </c>
      <c r="C223" s="14">
        <v>149.00649999999999</v>
      </c>
      <c r="D223" s="14">
        <v>149.50399999999999</v>
      </c>
      <c r="E223" s="14">
        <v>150.39949999999999</v>
      </c>
      <c r="F223" s="14">
        <v>151.59110000000001</v>
      </c>
      <c r="G223" s="14">
        <v>156.6893</v>
      </c>
      <c r="H223" s="14">
        <v>158.30709999999999</v>
      </c>
      <c r="I223" s="14">
        <v>165.57550000000001</v>
      </c>
      <c r="J223" s="14">
        <v>170.97829999999999</v>
      </c>
      <c r="K223" s="14">
        <v>173.13229999999999</v>
      </c>
      <c r="L223" s="14">
        <v>170.06710000000001</v>
      </c>
      <c r="M223" s="14">
        <v>174.69970000000001</v>
      </c>
      <c r="N223" s="14">
        <v>179.60499999999999</v>
      </c>
    </row>
    <row r="224" spans="2:14">
      <c r="B224" t="s">
        <v>118</v>
      </c>
      <c r="C224" s="14">
        <v>913.48609999999996</v>
      </c>
      <c r="D224" s="14">
        <v>915.82389999999998</v>
      </c>
      <c r="E224" s="14">
        <v>930.59810000000004</v>
      </c>
      <c r="F224" s="14">
        <v>923.98839999999996</v>
      </c>
      <c r="G224" s="14">
        <v>940.0335</v>
      </c>
      <c r="H224" s="14">
        <v>966.4665</v>
      </c>
      <c r="I224" s="14">
        <v>997.74990000000003</v>
      </c>
      <c r="J224" s="14">
        <v>1020.11</v>
      </c>
      <c r="K224" s="14">
        <v>1008.0362</v>
      </c>
      <c r="L224" s="14">
        <v>1016.1137</v>
      </c>
      <c r="M224" s="14">
        <v>1045.0189</v>
      </c>
      <c r="N224" s="14">
        <v>1066.0398</v>
      </c>
    </row>
    <row r="225" spans="2:14">
      <c r="B225" t="s">
        <v>130</v>
      </c>
      <c r="C225" s="14">
        <v>127.9218</v>
      </c>
      <c r="D225" s="14">
        <v>131.60650000000001</v>
      </c>
      <c r="E225" s="14">
        <v>124.9653</v>
      </c>
      <c r="F225" s="14">
        <v>133.47640000000001</v>
      </c>
      <c r="G225" s="14">
        <v>134.2004</v>
      </c>
      <c r="H225" s="14">
        <v>136.4281</v>
      </c>
      <c r="I225" s="14">
        <v>138.25489999999999</v>
      </c>
      <c r="J225" s="14">
        <v>144.99350000000001</v>
      </c>
      <c r="K225" s="14">
        <v>144.75550000000001</v>
      </c>
      <c r="L225" s="14">
        <v>144.05340000000001</v>
      </c>
      <c r="M225" s="14">
        <v>142.14760000000001</v>
      </c>
      <c r="N225" s="14">
        <v>147.25479999999999</v>
      </c>
    </row>
    <row r="226" spans="2:14">
      <c r="B226" t="s">
        <v>126</v>
      </c>
      <c r="C226" s="14">
        <v>295.17599999999999</v>
      </c>
      <c r="D226" s="14">
        <v>298.06029999999998</v>
      </c>
      <c r="E226" s="14">
        <v>306.16739999999999</v>
      </c>
      <c r="F226" s="14">
        <v>307.73509999999999</v>
      </c>
      <c r="G226" s="14">
        <v>302.90030000000002</v>
      </c>
      <c r="H226" s="14">
        <v>303.09500000000003</v>
      </c>
      <c r="I226" s="14">
        <v>306.33420000000001</v>
      </c>
      <c r="J226" s="14">
        <v>315.28109999999998</v>
      </c>
      <c r="K226" s="14">
        <v>321.85750000000002</v>
      </c>
      <c r="L226" s="14">
        <v>317.7131</v>
      </c>
      <c r="M226" s="14">
        <v>313.55590000000001</v>
      </c>
      <c r="N226" s="14">
        <v>323.76760000000002</v>
      </c>
    </row>
    <row r="227" spans="2:14">
      <c r="B227" t="s">
        <v>124</v>
      </c>
      <c r="C227" s="14">
        <v>176.095</v>
      </c>
      <c r="D227" s="14">
        <v>168.18469999999999</v>
      </c>
      <c r="E227" s="14">
        <v>170.56200000000001</v>
      </c>
      <c r="F227" s="14">
        <v>169.12700000000001</v>
      </c>
      <c r="G227" s="14">
        <v>166.24870000000001</v>
      </c>
      <c r="H227" s="14">
        <v>177.04509999999999</v>
      </c>
      <c r="I227" s="14">
        <v>176.5504</v>
      </c>
      <c r="J227" s="14">
        <v>177.06309999999999</v>
      </c>
      <c r="K227" s="14">
        <v>181.73</v>
      </c>
      <c r="L227" s="14">
        <v>176.54179999999999</v>
      </c>
      <c r="M227" s="14">
        <v>182.36949999999999</v>
      </c>
      <c r="N227" s="14">
        <v>183.03380000000001</v>
      </c>
    </row>
    <row r="228" spans="2:14">
      <c r="B228" t="s">
        <v>149</v>
      </c>
      <c r="C228" s="14">
        <v>568.29589999999996</v>
      </c>
      <c r="D228" s="14">
        <v>569.85310000000004</v>
      </c>
      <c r="E228" s="14">
        <v>578.12760000000003</v>
      </c>
      <c r="F228" s="14">
        <v>576.88900000000001</v>
      </c>
      <c r="G228" s="14">
        <v>577.52149999999995</v>
      </c>
      <c r="H228" s="14">
        <v>590.54390000000001</v>
      </c>
      <c r="I228" s="14">
        <v>608.22810000000004</v>
      </c>
      <c r="J228" s="14">
        <v>603.81820000000005</v>
      </c>
      <c r="K228" s="14">
        <v>608.07439999999997</v>
      </c>
      <c r="L228" s="14">
        <v>610.78030000000001</v>
      </c>
      <c r="M228" s="14">
        <v>628.75660000000005</v>
      </c>
      <c r="N228" s="14">
        <v>651.18219999999997</v>
      </c>
    </row>
    <row r="229" spans="2:14">
      <c r="B229" t="s">
        <v>122</v>
      </c>
      <c r="C229" s="14">
        <v>183.0335</v>
      </c>
      <c r="D229" s="14">
        <v>179.2655</v>
      </c>
      <c r="E229" s="14">
        <v>170.8415</v>
      </c>
      <c r="F229" s="14">
        <v>172.10290000000001</v>
      </c>
      <c r="G229" s="14">
        <v>175.57550000000001</v>
      </c>
      <c r="H229" s="14">
        <v>173.28</v>
      </c>
      <c r="I229" s="14">
        <v>175.28360000000001</v>
      </c>
      <c r="J229" s="14">
        <v>176.62899999999999</v>
      </c>
      <c r="K229" s="14">
        <v>170.59639999999999</v>
      </c>
      <c r="L229" s="14">
        <v>172.3373</v>
      </c>
      <c r="M229" s="14">
        <v>172.49600000000001</v>
      </c>
      <c r="N229" s="14">
        <v>178.44040000000001</v>
      </c>
    </row>
    <row r="230" spans="2:14">
      <c r="B230" t="s">
        <v>112</v>
      </c>
      <c r="C230" s="14">
        <v>276.07139999999998</v>
      </c>
      <c r="D230" s="14">
        <v>284.18549999999999</v>
      </c>
      <c r="E230" s="14">
        <v>280.39769999999999</v>
      </c>
      <c r="F230" s="14">
        <v>287.47980000000001</v>
      </c>
      <c r="G230" s="14">
        <v>289.24360000000001</v>
      </c>
      <c r="H230" s="14">
        <v>295.55700000000002</v>
      </c>
      <c r="I230" s="14">
        <v>310.36320000000001</v>
      </c>
      <c r="J230" s="14">
        <v>324.88459999999998</v>
      </c>
      <c r="K230" s="14">
        <v>331.09539999999998</v>
      </c>
      <c r="L230" s="14">
        <v>329.57330000000002</v>
      </c>
      <c r="M230" s="14">
        <v>347.69839999999999</v>
      </c>
      <c r="N230" s="14">
        <v>351.96969999999999</v>
      </c>
    </row>
    <row r="231" spans="2:14">
      <c r="B231" t="s">
        <v>119</v>
      </c>
      <c r="C231" s="14">
        <v>988.05740000000003</v>
      </c>
      <c r="D231" s="14">
        <v>994.15729999999996</v>
      </c>
      <c r="E231" s="14">
        <v>1023.6187</v>
      </c>
      <c r="F231" s="14">
        <v>1041.2619</v>
      </c>
      <c r="G231" s="14">
        <v>1061.2086999999999</v>
      </c>
      <c r="H231" s="14">
        <v>1082.1203</v>
      </c>
      <c r="I231" s="14">
        <v>1109.3440000000001</v>
      </c>
      <c r="J231" s="14">
        <v>1117.6018999999999</v>
      </c>
      <c r="K231" s="14">
        <v>1120.8219999999999</v>
      </c>
      <c r="L231" s="14">
        <v>1120.2844</v>
      </c>
      <c r="M231" s="14">
        <v>1155.0935999999999</v>
      </c>
      <c r="N231" s="14">
        <v>1177.0537999999999</v>
      </c>
    </row>
    <row r="232" spans="2:14">
      <c r="B232" t="s">
        <v>131</v>
      </c>
      <c r="C232" s="14">
        <v>203.33449999999999</v>
      </c>
      <c r="D232" s="14">
        <v>201.29939999999999</v>
      </c>
      <c r="E232" s="14">
        <v>201.94820000000001</v>
      </c>
      <c r="F232" s="14">
        <v>207.6575</v>
      </c>
      <c r="G232" s="14">
        <v>205.70779999999999</v>
      </c>
      <c r="H232" s="14">
        <v>204.98490000000001</v>
      </c>
      <c r="I232" s="14">
        <v>209.0044</v>
      </c>
      <c r="J232" s="14">
        <v>215.5813</v>
      </c>
      <c r="K232" s="14">
        <v>211.76779999999999</v>
      </c>
      <c r="L232" s="14">
        <v>206.82730000000001</v>
      </c>
      <c r="M232" s="14">
        <v>215.79679999999999</v>
      </c>
      <c r="N232" s="14">
        <v>218.16139999999999</v>
      </c>
    </row>
    <row r="233" spans="2:14">
      <c r="B233" t="s">
        <v>103</v>
      </c>
      <c r="C233" s="14">
        <v>318.76</v>
      </c>
      <c r="D233" s="14">
        <v>317.86439999999999</v>
      </c>
      <c r="E233" s="14">
        <v>315.51960000000003</v>
      </c>
      <c r="F233" s="14">
        <v>319.52519999999998</v>
      </c>
      <c r="G233" s="14">
        <v>323.024</v>
      </c>
      <c r="H233" s="14">
        <v>319.2355</v>
      </c>
      <c r="I233" s="14">
        <v>334.80450000000002</v>
      </c>
      <c r="J233" s="14">
        <v>342.79289999999997</v>
      </c>
      <c r="K233" s="14">
        <v>347.06369999999998</v>
      </c>
      <c r="L233" s="14">
        <v>343.0077</v>
      </c>
      <c r="M233" s="14">
        <v>351.31319999999999</v>
      </c>
      <c r="N233" s="14">
        <v>372.07740000000001</v>
      </c>
    </row>
    <row r="234" spans="2:14">
      <c r="B234" t="s">
        <v>108</v>
      </c>
      <c r="C234" s="14">
        <v>500.22910000000002</v>
      </c>
      <c r="D234" s="14">
        <v>511.53449999999998</v>
      </c>
      <c r="E234" s="14">
        <v>500.23099999999999</v>
      </c>
      <c r="F234" s="14">
        <v>510.61590000000001</v>
      </c>
      <c r="G234" s="14">
        <v>512.98670000000004</v>
      </c>
      <c r="H234" s="14">
        <v>519.43899999999996</v>
      </c>
      <c r="I234" s="14">
        <v>519.82119999999998</v>
      </c>
      <c r="J234" s="14">
        <v>525.41859999999997</v>
      </c>
      <c r="K234" s="14">
        <v>525.76760000000002</v>
      </c>
      <c r="L234" s="14">
        <v>513.52030000000002</v>
      </c>
      <c r="M234" s="14">
        <v>531.79939999999999</v>
      </c>
      <c r="N234" s="14">
        <v>545.0829</v>
      </c>
    </row>
    <row r="235" spans="2:14">
      <c r="B235" t="s">
        <v>120</v>
      </c>
      <c r="C235" s="14">
        <v>598.5933</v>
      </c>
      <c r="D235" s="14">
        <v>600.72889999999995</v>
      </c>
      <c r="E235" s="14">
        <v>594.34199999999998</v>
      </c>
      <c r="F235" s="14">
        <v>593.31129999999996</v>
      </c>
      <c r="G235" s="14">
        <v>617.65170000000001</v>
      </c>
      <c r="H235" s="14">
        <v>633.55240000000003</v>
      </c>
      <c r="I235" s="14">
        <v>643.89980000000003</v>
      </c>
      <c r="J235" s="14">
        <v>666.65620000000001</v>
      </c>
      <c r="K235" s="14">
        <v>654.6277</v>
      </c>
      <c r="L235" s="14">
        <v>696.01469999999995</v>
      </c>
      <c r="M235" s="14">
        <v>715.62630000000001</v>
      </c>
      <c r="N235" s="14">
        <v>742.23419999999999</v>
      </c>
    </row>
    <row r="236" spans="2:14">
      <c r="B236" t="s">
        <v>137</v>
      </c>
      <c r="C236" s="14">
        <v>480.84140000000002</v>
      </c>
      <c r="D236" s="14">
        <v>479.8381</v>
      </c>
      <c r="E236" s="14">
        <v>485.01190000000003</v>
      </c>
      <c r="F236" s="14">
        <v>487.96440000000001</v>
      </c>
      <c r="G236" s="14">
        <v>488.1902</v>
      </c>
      <c r="H236" s="14">
        <v>478.00060000000002</v>
      </c>
      <c r="I236" s="14">
        <v>502.05759999999998</v>
      </c>
      <c r="J236" s="14">
        <v>517.62519999999995</v>
      </c>
      <c r="K236" s="14">
        <v>515.90940000000001</v>
      </c>
      <c r="L236" s="14">
        <v>511.4495</v>
      </c>
      <c r="M236" s="14">
        <v>527.38739999999996</v>
      </c>
      <c r="N236" s="14">
        <v>541.13289999999995</v>
      </c>
    </row>
    <row r="237" spans="2:14">
      <c r="B237" t="s">
        <v>110</v>
      </c>
      <c r="C237" s="14">
        <v>1113.3378</v>
      </c>
      <c r="D237" s="14">
        <v>1117.8988999999999</v>
      </c>
      <c r="E237" s="14">
        <v>1133.4721999999999</v>
      </c>
      <c r="F237" s="14">
        <v>1121.2379000000001</v>
      </c>
      <c r="G237" s="14">
        <v>1122.7492</v>
      </c>
      <c r="H237" s="14">
        <v>1137.7528</v>
      </c>
      <c r="I237" s="14">
        <v>1147.3028999999999</v>
      </c>
      <c r="J237" s="14">
        <v>1163.1415</v>
      </c>
      <c r="K237" s="14">
        <v>1153.3438000000001</v>
      </c>
      <c r="L237" s="14">
        <v>1143.0714</v>
      </c>
      <c r="M237" s="14">
        <v>1185.6856</v>
      </c>
      <c r="N237" s="14">
        <v>1221.691</v>
      </c>
    </row>
    <row r="238" spans="2:14">
      <c r="B238" t="s">
        <v>145</v>
      </c>
      <c r="C238" s="14">
        <v>1813.5533</v>
      </c>
      <c r="D238" s="14">
        <v>1842.1141</v>
      </c>
      <c r="E238" s="14">
        <v>1888.3159000000001</v>
      </c>
      <c r="F238" s="14">
        <v>1914.6229000000001</v>
      </c>
      <c r="G238" s="14">
        <v>1932.9480000000001</v>
      </c>
      <c r="H238" s="14">
        <v>1942.4113</v>
      </c>
      <c r="I238" s="14">
        <v>1962.2499</v>
      </c>
      <c r="J238" s="14">
        <v>1967.8173999999999</v>
      </c>
      <c r="K238" s="14">
        <v>1864.0359000000001</v>
      </c>
      <c r="L238" s="14">
        <v>1842.9358</v>
      </c>
      <c r="M238" s="14">
        <v>1870.1795</v>
      </c>
      <c r="N238" s="14">
        <v>1897.2037</v>
      </c>
    </row>
    <row r="239" spans="2:14">
      <c r="B239" t="s">
        <v>114</v>
      </c>
      <c r="C239" s="14">
        <v>394.39339999999999</v>
      </c>
      <c r="D239" s="14">
        <v>387.60329999999999</v>
      </c>
      <c r="E239" s="14">
        <v>392.34320000000002</v>
      </c>
      <c r="F239" s="14">
        <v>397.6635</v>
      </c>
      <c r="G239" s="14">
        <v>404.55399999999997</v>
      </c>
      <c r="H239" s="14">
        <v>398.4504</v>
      </c>
      <c r="I239" s="14">
        <v>407.71300000000002</v>
      </c>
      <c r="J239" s="14">
        <v>417.96449999999999</v>
      </c>
      <c r="K239" s="14">
        <v>419.49849999999998</v>
      </c>
      <c r="L239" s="14">
        <v>414.49059999999997</v>
      </c>
      <c r="M239" s="14">
        <v>429.5378</v>
      </c>
      <c r="N239" s="14">
        <v>442.25049999999999</v>
      </c>
    </row>
    <row r="240" spans="2:14">
      <c r="B240" t="s">
        <v>89</v>
      </c>
      <c r="C240" s="14">
        <v>52.4863</v>
      </c>
      <c r="D240" s="14">
        <v>54.460500000000003</v>
      </c>
      <c r="E240" s="14">
        <v>55.947699999999998</v>
      </c>
      <c r="F240" s="14">
        <v>54.7607</v>
      </c>
      <c r="G240" s="14">
        <v>55.927999999999997</v>
      </c>
      <c r="H240" s="14">
        <v>57.911299999999997</v>
      </c>
      <c r="I240" s="14">
        <v>58.162999999999997</v>
      </c>
      <c r="J240" s="14">
        <v>59.213500000000003</v>
      </c>
      <c r="K240" s="14">
        <v>60.279400000000003</v>
      </c>
      <c r="L240" s="14">
        <v>63.016199999999998</v>
      </c>
      <c r="M240" s="14">
        <v>66.033500000000004</v>
      </c>
      <c r="N240" s="14">
        <v>63.559800000000003</v>
      </c>
    </row>
    <row r="241" spans="2:14">
      <c r="B241" t="s">
        <v>128</v>
      </c>
      <c r="C241" s="14">
        <v>99.734200000000001</v>
      </c>
      <c r="D241" s="14">
        <v>96.096800000000002</v>
      </c>
      <c r="E241" s="14">
        <v>96.733999999999995</v>
      </c>
      <c r="F241" s="14">
        <v>92.9696</v>
      </c>
      <c r="G241" s="14">
        <v>94.618099999999998</v>
      </c>
      <c r="H241" s="14">
        <v>100.40770000000001</v>
      </c>
      <c r="I241" s="14">
        <v>105.5659</v>
      </c>
      <c r="J241" s="14">
        <v>112.5498</v>
      </c>
      <c r="K241" s="14">
        <v>121.5805</v>
      </c>
      <c r="L241" s="14">
        <v>121.9687</v>
      </c>
      <c r="M241" s="14">
        <v>118.00020000000001</v>
      </c>
      <c r="N241" s="14">
        <v>122.2907</v>
      </c>
    </row>
    <row r="242" spans="2:14">
      <c r="B242" t="s">
        <v>132</v>
      </c>
      <c r="C242" s="14">
        <v>533.70230000000004</v>
      </c>
      <c r="D242" s="14">
        <v>545.21519999999998</v>
      </c>
      <c r="E242" s="14">
        <v>529.59249999999997</v>
      </c>
      <c r="F242" s="14">
        <v>547.35910000000001</v>
      </c>
      <c r="G242" s="14">
        <v>558.49680000000001</v>
      </c>
      <c r="H242" s="14">
        <v>565.19870000000003</v>
      </c>
      <c r="I242" s="14">
        <v>576.54280000000006</v>
      </c>
      <c r="J242" s="14">
        <v>581.3759</v>
      </c>
      <c r="K242" s="14">
        <v>576.74929999999995</v>
      </c>
      <c r="L242" s="14">
        <v>573.08910000000003</v>
      </c>
      <c r="M242" s="14">
        <v>566.31240000000003</v>
      </c>
      <c r="N242" s="14">
        <v>570.35609999999997</v>
      </c>
    </row>
    <row r="243" spans="2:14">
      <c r="B243" t="s">
        <v>117</v>
      </c>
      <c r="C243" s="14">
        <v>541.06989999999996</v>
      </c>
      <c r="D243" s="14">
        <v>540.25699999999995</v>
      </c>
      <c r="E243" s="14">
        <v>543.17629999999997</v>
      </c>
      <c r="F243" s="14">
        <v>551.80460000000005</v>
      </c>
      <c r="G243" s="14">
        <v>555.11379999999997</v>
      </c>
      <c r="H243" s="14">
        <v>553.92359999999996</v>
      </c>
      <c r="I243" s="14">
        <v>576.23599999999999</v>
      </c>
      <c r="J243" s="14">
        <v>578.16679999999997</v>
      </c>
      <c r="K243" s="14">
        <v>560.12279999999998</v>
      </c>
      <c r="L243" s="14">
        <v>568.04480000000001</v>
      </c>
      <c r="M243" s="14">
        <v>597.00549999999998</v>
      </c>
      <c r="N243" s="14">
        <v>622.36260000000004</v>
      </c>
    </row>
    <row r="244" spans="2:14">
      <c r="B244" t="s">
        <v>113</v>
      </c>
      <c r="C244" s="14">
        <v>429.62290000000002</v>
      </c>
      <c r="D244" s="14">
        <v>427.5292</v>
      </c>
      <c r="E244" s="14">
        <v>434.09390000000002</v>
      </c>
      <c r="F244" s="14">
        <v>442.83909999999997</v>
      </c>
      <c r="G244" s="14">
        <v>436.72210000000001</v>
      </c>
      <c r="H244" s="14">
        <v>448.61009999999999</v>
      </c>
      <c r="I244" s="14">
        <v>463.47669999999999</v>
      </c>
      <c r="J244" s="14">
        <v>467.93979999999999</v>
      </c>
      <c r="K244" s="14">
        <v>467.82839999999999</v>
      </c>
      <c r="L244" s="14">
        <v>465.4717</v>
      </c>
      <c r="M244" s="14">
        <v>473.57350000000002</v>
      </c>
      <c r="N244" s="14">
        <v>489.44389999999999</v>
      </c>
    </row>
    <row r="245" spans="2:14">
      <c r="B245" t="s">
        <v>106</v>
      </c>
      <c r="C245" s="14">
        <v>45.037300000000002</v>
      </c>
      <c r="D245" s="14">
        <v>41.660299999999999</v>
      </c>
      <c r="E245" s="14">
        <v>41.590899999999998</v>
      </c>
      <c r="F245" s="14">
        <v>44.595799999999997</v>
      </c>
      <c r="G245" s="14">
        <v>43.399700000000003</v>
      </c>
      <c r="H245" s="14">
        <v>46.534199999999998</v>
      </c>
      <c r="I245" s="14">
        <v>47.966200000000001</v>
      </c>
      <c r="J245" s="14">
        <v>45.8416</v>
      </c>
      <c r="K245" s="14">
        <v>43.447099999999999</v>
      </c>
      <c r="L245" s="14">
        <v>43.414200000000001</v>
      </c>
      <c r="M245" s="14">
        <v>45.055</v>
      </c>
      <c r="N245" s="14">
        <v>45.3033</v>
      </c>
    </row>
    <row r="246" spans="2:14">
      <c r="B246" t="s">
        <v>88</v>
      </c>
      <c r="C246" s="14">
        <v>114.62260000000001</v>
      </c>
      <c r="D246" s="14">
        <v>105.3017</v>
      </c>
      <c r="E246" s="14">
        <v>100.7453</v>
      </c>
      <c r="F246" s="14">
        <v>99.685000000000002</v>
      </c>
      <c r="G246" s="14">
        <v>103.1837</v>
      </c>
      <c r="H246" s="14">
        <v>99.464500000000001</v>
      </c>
      <c r="I246" s="14">
        <v>97.870500000000007</v>
      </c>
      <c r="J246" s="14">
        <v>101.0902</v>
      </c>
      <c r="K246" s="14">
        <v>104.9817</v>
      </c>
      <c r="L246" s="14">
        <v>103.17789999999999</v>
      </c>
      <c r="M246" s="14">
        <v>99.915499999999994</v>
      </c>
      <c r="N246" s="14">
        <v>103.8994</v>
      </c>
    </row>
    <row r="247" spans="2:14">
      <c r="B247" t="s">
        <v>99</v>
      </c>
      <c r="C247" s="14">
        <v>163.86840000000001</v>
      </c>
      <c r="D247" s="14">
        <v>160.10849999999999</v>
      </c>
      <c r="E247" s="14">
        <v>156.25960000000001</v>
      </c>
      <c r="F247" s="14">
        <v>155.40940000000001</v>
      </c>
      <c r="G247" s="14">
        <v>154.24600000000001</v>
      </c>
      <c r="H247" s="14">
        <v>151.5428</v>
      </c>
      <c r="I247" s="14">
        <v>161.91730000000001</v>
      </c>
      <c r="J247" s="14">
        <v>162.58539999999999</v>
      </c>
      <c r="K247" s="14">
        <v>160.68729999999999</v>
      </c>
      <c r="L247" s="14">
        <v>158.35169999999999</v>
      </c>
      <c r="M247" s="14">
        <v>162.4836</v>
      </c>
      <c r="N247" s="14">
        <v>156.95660000000001</v>
      </c>
    </row>
    <row r="248" spans="2:14">
      <c r="B248" t="s">
        <v>147</v>
      </c>
      <c r="C248" s="14">
        <v>94.429500000000004</v>
      </c>
      <c r="D248" s="14">
        <v>93.736900000000006</v>
      </c>
      <c r="E248" s="14">
        <v>90.641800000000003</v>
      </c>
      <c r="F248" s="14">
        <v>88.465000000000003</v>
      </c>
      <c r="G248" s="14">
        <v>90.126499999999993</v>
      </c>
      <c r="H248" s="14">
        <v>87.596000000000004</v>
      </c>
      <c r="I248" s="14">
        <v>93.558499999999995</v>
      </c>
      <c r="J248" s="14">
        <v>94.252499999999998</v>
      </c>
      <c r="K248" s="14">
        <v>93.535899999999998</v>
      </c>
      <c r="L248" s="14">
        <v>93.259</v>
      </c>
      <c r="M248" s="14">
        <v>97.259</v>
      </c>
      <c r="N248" s="14">
        <v>104.2496</v>
      </c>
    </row>
    <row r="249" spans="2:14">
      <c r="B249" t="s">
        <v>104</v>
      </c>
      <c r="C249" s="14">
        <v>117.0638</v>
      </c>
      <c r="D249" s="14">
        <v>119.82559999999999</v>
      </c>
      <c r="E249" s="14">
        <v>121.9708</v>
      </c>
      <c r="F249" s="14">
        <v>124.351</v>
      </c>
      <c r="G249" s="14">
        <v>126.28449999999999</v>
      </c>
      <c r="H249" s="14">
        <v>120.9222</v>
      </c>
      <c r="I249" s="14">
        <v>124.1335</v>
      </c>
      <c r="J249" s="14">
        <v>124.1511</v>
      </c>
      <c r="K249" s="14">
        <v>121.6507</v>
      </c>
      <c r="L249" s="14">
        <v>118.5449</v>
      </c>
      <c r="M249" s="14">
        <v>123.35429999999999</v>
      </c>
      <c r="N249" s="14">
        <v>131.32400000000001</v>
      </c>
    </row>
    <row r="250" spans="2:14">
      <c r="B250" t="s">
        <v>139</v>
      </c>
      <c r="C250" s="14">
        <v>548.09960000000001</v>
      </c>
      <c r="D250" s="14">
        <v>557.64589999999998</v>
      </c>
      <c r="E250" s="14">
        <v>551.99390000000005</v>
      </c>
      <c r="F250" s="14">
        <v>561.58709999999996</v>
      </c>
      <c r="G250" s="14">
        <v>561.41079999999999</v>
      </c>
      <c r="H250" s="14">
        <v>562.93790000000001</v>
      </c>
      <c r="I250" s="14">
        <v>595.98270000000002</v>
      </c>
      <c r="J250" s="14">
        <v>604.21289999999999</v>
      </c>
      <c r="K250" s="14">
        <v>608.54150000000004</v>
      </c>
      <c r="L250" s="14">
        <v>609.92619999999999</v>
      </c>
      <c r="M250" s="14">
        <v>624.17160000000001</v>
      </c>
      <c r="N250" s="14">
        <v>654.84929999999997</v>
      </c>
    </row>
    <row r="251" spans="2:14">
      <c r="B251" t="s">
        <v>93</v>
      </c>
      <c r="C251" s="14">
        <v>3602.4989</v>
      </c>
      <c r="D251" s="14">
        <v>3605.1712000000002</v>
      </c>
      <c r="E251" s="14">
        <v>3649.0716000000002</v>
      </c>
      <c r="F251" s="14">
        <v>3689.3888999999999</v>
      </c>
      <c r="G251" s="14">
        <v>3756.2543000000001</v>
      </c>
      <c r="H251" s="14">
        <v>3853.5944</v>
      </c>
      <c r="I251" s="14">
        <v>3897.9834999999998</v>
      </c>
      <c r="J251" s="14">
        <v>4013.4722999999999</v>
      </c>
      <c r="K251" s="14">
        <v>4026.8202000000001</v>
      </c>
      <c r="L251" s="14">
        <v>4023.5540000000001</v>
      </c>
      <c r="M251" s="14">
        <v>4164.0591999999997</v>
      </c>
      <c r="N251" s="14">
        <v>4301.2893999999997</v>
      </c>
    </row>
    <row r="252" spans="2:14">
      <c r="B252" t="s">
        <v>125</v>
      </c>
      <c r="C252" s="14">
        <v>510.28809999999999</v>
      </c>
      <c r="D252" s="14">
        <v>532.31700000000001</v>
      </c>
      <c r="E252" s="14">
        <v>578.15740000000005</v>
      </c>
      <c r="F252" s="14">
        <v>622.35159999999996</v>
      </c>
      <c r="G252" s="14">
        <v>644.82830000000001</v>
      </c>
      <c r="H252" s="14">
        <v>683.09709999999995</v>
      </c>
      <c r="I252" s="14">
        <v>695.57989999999995</v>
      </c>
      <c r="J252" s="14">
        <v>745.91060000000004</v>
      </c>
      <c r="K252" s="14">
        <v>787.38160000000005</v>
      </c>
      <c r="L252" s="14">
        <v>808.33249999999998</v>
      </c>
      <c r="M252" s="14">
        <v>873.19209999999998</v>
      </c>
      <c r="N252" s="14">
        <v>938.8229</v>
      </c>
    </row>
    <row r="253" spans="2:14">
      <c r="B253" t="s">
        <v>75</v>
      </c>
      <c r="C253" s="14">
        <v>320.53120000000001</v>
      </c>
      <c r="D253" s="14">
        <v>337.5215</v>
      </c>
      <c r="E253" s="14">
        <v>329.55349999999999</v>
      </c>
      <c r="F253" s="14">
        <v>337.75940000000003</v>
      </c>
      <c r="G253" s="14">
        <v>340.13350000000003</v>
      </c>
      <c r="H253" s="14">
        <v>340.70650000000001</v>
      </c>
      <c r="I253" s="14">
        <v>353.90460000000002</v>
      </c>
      <c r="J253" s="14">
        <v>364.52269999999999</v>
      </c>
      <c r="K253" s="14">
        <v>370.25659999999999</v>
      </c>
      <c r="L253" s="14">
        <v>378.93799999999999</v>
      </c>
      <c r="M253" s="14">
        <v>387.84620000000001</v>
      </c>
      <c r="N253" s="14">
        <v>403.15949999999998</v>
      </c>
    </row>
    <row r="254" spans="2:14">
      <c r="B254" t="s">
        <v>136</v>
      </c>
      <c r="C254" s="14">
        <v>527.43489999999997</v>
      </c>
      <c r="D254" s="14">
        <v>522.94370000000004</v>
      </c>
      <c r="E254" s="14">
        <v>531.26570000000004</v>
      </c>
      <c r="F254" s="14">
        <v>528.32010000000002</v>
      </c>
      <c r="G254" s="14">
        <v>531.77509999999995</v>
      </c>
      <c r="H254" s="14">
        <v>535.51940000000002</v>
      </c>
      <c r="I254" s="14">
        <v>545.24149999999997</v>
      </c>
      <c r="J254" s="14">
        <v>544.58889999999997</v>
      </c>
      <c r="K254" s="14">
        <v>546.24879999999996</v>
      </c>
      <c r="L254" s="14">
        <v>545.46320000000003</v>
      </c>
      <c r="M254" s="14">
        <v>573.02350000000001</v>
      </c>
      <c r="N254" s="14">
        <v>592.00469999999996</v>
      </c>
    </row>
    <row r="255" spans="2:14">
      <c r="B255" t="s">
        <v>111</v>
      </c>
      <c r="C255" s="14">
        <v>53.671199999999999</v>
      </c>
      <c r="D255" s="14">
        <v>54.532600000000002</v>
      </c>
      <c r="E255" s="14">
        <v>54.911000000000001</v>
      </c>
      <c r="F255" s="14">
        <v>54.359200000000001</v>
      </c>
      <c r="G255" s="14">
        <v>54.206600000000002</v>
      </c>
      <c r="H255" s="14">
        <v>60.545400000000001</v>
      </c>
      <c r="I255" s="14">
        <v>59.830300000000001</v>
      </c>
      <c r="J255" s="14">
        <v>61.020400000000002</v>
      </c>
      <c r="K255" s="14">
        <v>60.846899999999998</v>
      </c>
      <c r="L255" s="14">
        <v>59.835799999999999</v>
      </c>
      <c r="M255" s="14">
        <v>58.622199999999999</v>
      </c>
      <c r="N255" s="14">
        <v>59.863700000000001</v>
      </c>
    </row>
    <row r="256" spans="2:14">
      <c r="B256" t="s">
        <v>140</v>
      </c>
      <c r="C256" s="14">
        <v>67.265199999999993</v>
      </c>
      <c r="D256" s="14">
        <v>70.537300000000002</v>
      </c>
      <c r="E256" s="14">
        <v>69.497600000000006</v>
      </c>
      <c r="F256" s="14">
        <v>67.805199999999999</v>
      </c>
      <c r="G256" s="14">
        <v>66.881299999999996</v>
      </c>
      <c r="H256" s="14">
        <v>64.118200000000002</v>
      </c>
      <c r="I256" s="14">
        <v>66.121499999999997</v>
      </c>
      <c r="J256" s="14">
        <v>66.628299999999996</v>
      </c>
      <c r="K256" s="14">
        <v>71.945499999999996</v>
      </c>
      <c r="L256" s="14">
        <v>69.219399999999993</v>
      </c>
      <c r="M256" s="14">
        <v>69.994100000000003</v>
      </c>
      <c r="N256" s="14">
        <v>73.705799999999996</v>
      </c>
    </row>
    <row r="257" spans="2:14">
      <c r="B257" t="s">
        <v>92</v>
      </c>
      <c r="C257" s="14">
        <v>7.9194000000000004</v>
      </c>
      <c r="D257" s="14">
        <v>7.9610000000000003</v>
      </c>
      <c r="E257" s="14">
        <v>7.6878000000000002</v>
      </c>
      <c r="F257" s="14">
        <v>7.6985999999999999</v>
      </c>
      <c r="G257" s="14">
        <v>7.6898999999999997</v>
      </c>
      <c r="H257" s="14">
        <v>7.1981999999999999</v>
      </c>
      <c r="I257" s="14">
        <v>6.5594000000000001</v>
      </c>
      <c r="J257" s="14">
        <v>7.2925000000000004</v>
      </c>
      <c r="K257" s="14">
        <v>7.1300999999999997</v>
      </c>
      <c r="L257" s="14">
        <v>7.8994</v>
      </c>
      <c r="M257" s="14">
        <v>6.7366999999999999</v>
      </c>
      <c r="N257" s="14">
        <v>7.6064999999999996</v>
      </c>
    </row>
    <row r="258" spans="2:14">
      <c r="B258" t="s">
        <v>143</v>
      </c>
      <c r="C258" s="14">
        <v>257.00709999999998</v>
      </c>
      <c r="D258" s="14">
        <v>260.24720000000002</v>
      </c>
      <c r="E258" s="14">
        <v>255.03399999999999</v>
      </c>
      <c r="F258" s="14">
        <v>249.66380000000001</v>
      </c>
      <c r="G258" s="14">
        <v>252.50409999999999</v>
      </c>
      <c r="H258" s="14">
        <v>258.59519999999998</v>
      </c>
      <c r="I258" s="14">
        <v>265.87310000000002</v>
      </c>
      <c r="J258" s="14">
        <v>261.22469999999998</v>
      </c>
      <c r="K258" s="14">
        <v>263.3</v>
      </c>
      <c r="L258" s="14">
        <v>254.93790000000001</v>
      </c>
      <c r="M258" s="14">
        <v>268.25049999999999</v>
      </c>
      <c r="N258" s="14">
        <v>279.99709999999999</v>
      </c>
    </row>
    <row r="259" spans="2:14">
      <c r="B259" t="s">
        <v>91</v>
      </c>
      <c r="C259" s="14">
        <v>206.67959999999999</v>
      </c>
      <c r="D259" s="14">
        <v>213.91050000000001</v>
      </c>
      <c r="E259" s="14">
        <v>210.0247</v>
      </c>
      <c r="F259" s="14">
        <v>226.0592</v>
      </c>
      <c r="G259" s="14">
        <v>227.3887</v>
      </c>
      <c r="H259" s="14">
        <v>229.37450000000001</v>
      </c>
      <c r="I259" s="14">
        <v>236.3271</v>
      </c>
      <c r="J259" s="14">
        <v>242.07669999999999</v>
      </c>
      <c r="K259" s="14">
        <v>240.31780000000001</v>
      </c>
      <c r="L259" s="14">
        <v>238.26400000000001</v>
      </c>
      <c r="M259" s="14">
        <v>247.24930000000001</v>
      </c>
      <c r="N259" s="14">
        <v>257.3793</v>
      </c>
    </row>
    <row r="260" spans="2:14">
      <c r="B260" t="s">
        <v>121</v>
      </c>
      <c r="C260" s="14">
        <v>260.58190000000002</v>
      </c>
      <c r="D260" s="14">
        <v>289.87209999999999</v>
      </c>
      <c r="E260" s="14">
        <v>315.99</v>
      </c>
      <c r="F260" s="14">
        <v>326.51760000000002</v>
      </c>
      <c r="G260" s="14">
        <v>345.5437</v>
      </c>
      <c r="H260" s="14">
        <v>363.22859999999997</v>
      </c>
      <c r="I260" s="14">
        <v>373.32389999999998</v>
      </c>
      <c r="J260" s="14">
        <v>382.87540000000001</v>
      </c>
      <c r="K260" s="14">
        <v>402.4203</v>
      </c>
      <c r="L260" s="14">
        <v>401.60770000000002</v>
      </c>
      <c r="M260" s="14">
        <v>423.28</v>
      </c>
      <c r="N260" s="14">
        <v>447.5761</v>
      </c>
    </row>
    <row r="261" spans="2:14">
      <c r="B261" t="s">
        <v>95</v>
      </c>
      <c r="C261" s="14">
        <v>1203.5825</v>
      </c>
      <c r="D261" s="14">
        <v>1205.5444</v>
      </c>
      <c r="E261" s="14">
        <v>1207.4102</v>
      </c>
      <c r="F261" s="14">
        <v>1220.5895</v>
      </c>
      <c r="G261" s="14">
        <v>1238.3049000000001</v>
      </c>
      <c r="H261" s="14">
        <v>1255.3755000000001</v>
      </c>
      <c r="I261" s="14">
        <v>1279.7961</v>
      </c>
      <c r="J261" s="14">
        <v>1277.2355</v>
      </c>
      <c r="K261" s="14">
        <v>1261.9351999999999</v>
      </c>
      <c r="L261" s="14">
        <v>1261.4087</v>
      </c>
      <c r="M261" s="14">
        <v>1309.5304000000001</v>
      </c>
      <c r="N261" s="14">
        <v>1350.6261999999999</v>
      </c>
    </row>
    <row r="262" spans="2:14">
      <c r="B262" t="s">
        <v>94</v>
      </c>
      <c r="C262" s="14">
        <v>222.93809999999999</v>
      </c>
      <c r="D262" s="14">
        <v>222.858</v>
      </c>
      <c r="E262" s="14">
        <v>217.74539999999999</v>
      </c>
      <c r="F262" s="14">
        <v>223.57329999999999</v>
      </c>
      <c r="G262" s="14">
        <v>218.17429999999999</v>
      </c>
      <c r="H262" s="14">
        <v>214.53550000000001</v>
      </c>
      <c r="I262" s="14">
        <v>219.17009999999999</v>
      </c>
      <c r="J262" s="14">
        <v>221.95519999999999</v>
      </c>
      <c r="K262" s="14">
        <v>213.48339999999999</v>
      </c>
      <c r="L262" s="14">
        <v>210.274</v>
      </c>
      <c r="M262" s="14">
        <v>216.77269999999999</v>
      </c>
      <c r="N262" s="14">
        <v>226.2835</v>
      </c>
    </row>
    <row r="263" spans="2:14">
      <c r="B263" t="s">
        <v>129</v>
      </c>
      <c r="C263" s="14">
        <v>322.49169999999998</v>
      </c>
      <c r="D263" s="14">
        <v>328.28539999999998</v>
      </c>
      <c r="E263" s="14">
        <v>327.2543</v>
      </c>
      <c r="F263" s="14">
        <v>327.49369999999999</v>
      </c>
      <c r="G263" s="14">
        <v>333.34789999999998</v>
      </c>
      <c r="H263" s="14">
        <v>340.47149999999999</v>
      </c>
      <c r="I263" s="14">
        <v>351.57839999999999</v>
      </c>
      <c r="J263" s="14">
        <v>355.13159999999999</v>
      </c>
      <c r="K263" s="14">
        <v>353.85320000000002</v>
      </c>
      <c r="L263" s="14">
        <v>358.87200000000001</v>
      </c>
      <c r="M263" s="14">
        <v>367.83819999999997</v>
      </c>
      <c r="N263" s="14">
        <v>382.06689999999998</v>
      </c>
    </row>
    <row r="264" spans="2:14">
      <c r="B264" t="s">
        <v>98</v>
      </c>
      <c r="C264" s="14">
        <v>154.47880000000001</v>
      </c>
      <c r="D264" s="14">
        <v>152.35939999999999</v>
      </c>
      <c r="E264" s="14">
        <v>150.49870000000001</v>
      </c>
      <c r="F264" s="14">
        <v>149.4119</v>
      </c>
      <c r="G264" s="14">
        <v>145.268</v>
      </c>
      <c r="H264" s="14">
        <v>152.07220000000001</v>
      </c>
      <c r="I264" s="14">
        <v>154.5838</v>
      </c>
      <c r="J264" s="14">
        <v>156.99279999999999</v>
      </c>
      <c r="K264" s="14">
        <v>154.77430000000001</v>
      </c>
      <c r="L264" s="14">
        <v>155.4716</v>
      </c>
      <c r="M264" s="14">
        <v>155.10220000000001</v>
      </c>
      <c r="N264" s="14">
        <v>149.34620000000001</v>
      </c>
    </row>
    <row r="265" spans="2:14">
      <c r="B265" t="s">
        <v>105</v>
      </c>
      <c r="C265" s="14">
        <v>692.94150000000002</v>
      </c>
      <c r="D265" s="14">
        <v>688.81500000000005</v>
      </c>
      <c r="E265" s="14">
        <v>694.96569999999997</v>
      </c>
      <c r="F265" s="14">
        <v>691.88130000000001</v>
      </c>
      <c r="G265" s="14">
        <v>688.64269999999999</v>
      </c>
      <c r="H265" s="14">
        <v>700.40210000000002</v>
      </c>
      <c r="I265" s="14">
        <v>708.13649999999996</v>
      </c>
      <c r="J265" s="14">
        <v>712.85630000000003</v>
      </c>
      <c r="K265" s="14">
        <v>718.52819999999997</v>
      </c>
      <c r="L265" s="14">
        <v>714.59969999999998</v>
      </c>
      <c r="M265" s="14">
        <v>730.65030000000002</v>
      </c>
      <c r="N265" s="14">
        <v>748.9316</v>
      </c>
    </row>
    <row r="266" spans="2:14">
      <c r="B266" t="s">
        <v>42</v>
      </c>
      <c r="C266" s="14">
        <v>292.21789999999999</v>
      </c>
      <c r="D266" s="14">
        <v>286.87189999999998</v>
      </c>
      <c r="E266" s="14">
        <v>276.9033</v>
      </c>
      <c r="F266" s="14">
        <v>283.82920000000001</v>
      </c>
      <c r="G266" s="14">
        <v>283.90320000000003</v>
      </c>
      <c r="H266" s="14">
        <v>288.4479</v>
      </c>
      <c r="I266" s="14">
        <v>305.09769999999997</v>
      </c>
      <c r="J266" s="14">
        <v>330.05130000000003</v>
      </c>
      <c r="K266" s="14">
        <v>387.06079999999997</v>
      </c>
      <c r="L266" s="14">
        <v>415.35579999999999</v>
      </c>
      <c r="M266" s="14">
        <v>430.95330000000001</v>
      </c>
      <c r="N266" s="14">
        <v>472.77370000000002</v>
      </c>
    </row>
  </sheetData>
  <mergeCells count="1">
    <mergeCell ref="A1:AB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5E9C9-CDEA-449F-B734-BCDE63E80687}">
  <dimension ref="A1:Z14"/>
  <sheetViews>
    <sheetView showGridLines="0" workbookViewId="0">
      <selection sqref="A1:Z1"/>
    </sheetView>
  </sheetViews>
  <sheetFormatPr defaultRowHeight="14.5"/>
  <cols>
    <col min="1" max="1" width="12.453125" bestFit="1" customWidth="1"/>
    <col min="2" max="2" width="22.7265625" bestFit="1" customWidth="1"/>
    <col min="3" max="21" width="6.54296875" bestFit="1" customWidth="1"/>
  </cols>
  <sheetData>
    <row r="1" spans="1:26" ht="23.5">
      <c r="A1" s="96" t="s">
        <v>268</v>
      </c>
      <c r="B1" s="96"/>
      <c r="C1" s="96"/>
      <c r="D1" s="96"/>
      <c r="E1" s="96"/>
      <c r="F1" s="96"/>
      <c r="G1" s="96"/>
      <c r="H1" s="96"/>
      <c r="I1" s="96"/>
      <c r="J1" s="96"/>
      <c r="K1" s="96"/>
      <c r="L1" s="96"/>
      <c r="M1" s="96"/>
      <c r="N1" s="96"/>
      <c r="O1" s="96"/>
      <c r="P1" s="96"/>
      <c r="Q1" s="96"/>
      <c r="R1" s="96"/>
      <c r="S1" s="96"/>
      <c r="T1" s="96"/>
      <c r="U1" s="96"/>
      <c r="V1" s="96"/>
      <c r="W1" s="96"/>
      <c r="X1" s="96"/>
      <c r="Y1" s="96"/>
      <c r="Z1" s="96"/>
    </row>
    <row r="4" spans="1:26">
      <c r="A4" s="10" t="s">
        <v>215</v>
      </c>
    </row>
    <row r="5" spans="1:26">
      <c r="C5">
        <v>2014</v>
      </c>
      <c r="D5">
        <v>2015</v>
      </c>
      <c r="E5">
        <v>2016</v>
      </c>
      <c r="F5">
        <v>2017</v>
      </c>
      <c r="G5">
        <v>2018</v>
      </c>
      <c r="H5">
        <v>2019</v>
      </c>
      <c r="I5">
        <v>2020</v>
      </c>
      <c r="J5">
        <v>2021</v>
      </c>
      <c r="K5">
        <v>2022</v>
      </c>
      <c r="L5">
        <v>2023</v>
      </c>
      <c r="M5">
        <v>2024</v>
      </c>
      <c r="N5">
        <v>2025</v>
      </c>
    </row>
    <row r="6" spans="1:26">
      <c r="A6" t="s">
        <v>203</v>
      </c>
      <c r="B6" t="s">
        <v>187</v>
      </c>
      <c r="C6" s="14">
        <v>10490.237499999999</v>
      </c>
      <c r="D6" s="14">
        <v>10605.080599999999</v>
      </c>
      <c r="E6" s="14">
        <v>10741.828</v>
      </c>
      <c r="F6" s="14">
        <v>10916.0167</v>
      </c>
      <c r="G6" s="14">
        <v>11086.278200000001</v>
      </c>
      <c r="H6" s="14">
        <v>11357.5368</v>
      </c>
      <c r="I6" s="14">
        <v>11718.0036</v>
      </c>
      <c r="J6" s="14">
        <v>12022.109200000001</v>
      </c>
      <c r="K6" s="14">
        <v>11902.4148</v>
      </c>
      <c r="L6" s="14">
        <v>11904.052900000001</v>
      </c>
      <c r="M6" s="14">
        <v>12320.992899999999</v>
      </c>
      <c r="N6" s="14">
        <v>12773.813399999999</v>
      </c>
    </row>
    <row r="7" spans="1:26">
      <c r="B7" t="s">
        <v>189</v>
      </c>
      <c r="C7" s="14">
        <v>7787.7579999999998</v>
      </c>
      <c r="D7" s="14">
        <v>7880.8356000000003</v>
      </c>
      <c r="E7" s="14">
        <v>7997.7502999999997</v>
      </c>
      <c r="F7" s="14">
        <v>8144.0870000000004</v>
      </c>
      <c r="G7" s="14">
        <v>8222.1139999999996</v>
      </c>
      <c r="H7" s="14">
        <v>8401.6437999999998</v>
      </c>
      <c r="I7" s="14">
        <v>8647.7042000000001</v>
      </c>
      <c r="J7" s="14">
        <v>8777.7181</v>
      </c>
      <c r="K7" s="14">
        <v>8721.7060999999994</v>
      </c>
      <c r="L7" s="14">
        <v>8722.8757000000005</v>
      </c>
      <c r="M7" s="14">
        <v>8977.6113000000005</v>
      </c>
      <c r="N7" s="14">
        <v>9249.3529999999992</v>
      </c>
    </row>
    <row r="8" spans="1:26">
      <c r="B8" t="s">
        <v>188</v>
      </c>
      <c r="C8" s="14">
        <v>9107.8940999999995</v>
      </c>
      <c r="D8" s="14">
        <v>9208.9694</v>
      </c>
      <c r="E8" s="14">
        <v>9333.0825999999997</v>
      </c>
      <c r="F8" s="14">
        <v>9411.8091000000004</v>
      </c>
      <c r="G8" s="14">
        <v>9512.9758000000002</v>
      </c>
      <c r="H8" s="14">
        <v>9686.1033000000007</v>
      </c>
      <c r="I8" s="14">
        <v>9852.6656999999996</v>
      </c>
      <c r="J8" s="14">
        <v>9854.9807000000001</v>
      </c>
      <c r="K8" s="14">
        <v>9803.0292000000009</v>
      </c>
      <c r="L8" s="14">
        <v>9750.4390000000003</v>
      </c>
      <c r="M8" s="14">
        <v>10080.319600000001</v>
      </c>
      <c r="N8" s="14">
        <v>10449.009400000001</v>
      </c>
    </row>
    <row r="9" spans="1:26">
      <c r="A9" t="s">
        <v>204</v>
      </c>
      <c r="B9" t="s">
        <v>187</v>
      </c>
      <c r="C9" s="14">
        <v>7719.7518</v>
      </c>
      <c r="D9" s="14">
        <v>7764.2147999999997</v>
      </c>
      <c r="E9" s="14">
        <v>7802.7682000000004</v>
      </c>
      <c r="F9" s="14">
        <v>7853.2993999999999</v>
      </c>
      <c r="G9" s="14">
        <v>7851.8024999999998</v>
      </c>
      <c r="H9" s="14">
        <v>7940.6863999999996</v>
      </c>
      <c r="I9" s="14">
        <v>8112.8759</v>
      </c>
      <c r="J9" s="14">
        <v>8246.9640999999992</v>
      </c>
      <c r="K9" s="14">
        <v>8225.5714000000007</v>
      </c>
      <c r="L9" s="14">
        <v>8318.1710999999996</v>
      </c>
      <c r="M9" s="14">
        <v>8646.6388999999999</v>
      </c>
      <c r="N9" s="14">
        <v>9012.6807000000008</v>
      </c>
    </row>
    <row r="10" spans="1:26">
      <c r="B10" t="s">
        <v>189</v>
      </c>
      <c r="C10" s="14">
        <v>6539.2111999999997</v>
      </c>
      <c r="D10" s="14">
        <v>6537.9654</v>
      </c>
      <c r="E10" s="14">
        <v>6635.2966999999999</v>
      </c>
      <c r="F10" s="14">
        <v>6695.1405999999997</v>
      </c>
      <c r="G10" s="14">
        <v>6778.8730999999998</v>
      </c>
      <c r="H10" s="14">
        <v>6871.4084999999995</v>
      </c>
      <c r="I10" s="14">
        <v>7075.4395000000004</v>
      </c>
      <c r="J10" s="14">
        <v>7240.8050000000003</v>
      </c>
      <c r="K10" s="14">
        <v>7317.1233000000002</v>
      </c>
      <c r="L10" s="14">
        <v>7368.5455000000002</v>
      </c>
      <c r="M10" s="14">
        <v>7662.2689</v>
      </c>
      <c r="N10" s="14">
        <v>7824.8130000000001</v>
      </c>
    </row>
    <row r="11" spans="1:26">
      <c r="B11" t="s">
        <v>188</v>
      </c>
      <c r="C11" s="14">
        <v>7747.2325000000001</v>
      </c>
      <c r="D11" s="14">
        <v>7760.9813000000004</v>
      </c>
      <c r="E11" s="14">
        <v>7765.7376999999997</v>
      </c>
      <c r="F11" s="14">
        <v>7898.7244000000001</v>
      </c>
      <c r="G11" s="14">
        <v>7994.7556000000004</v>
      </c>
      <c r="H11" s="14">
        <v>8075.0240000000003</v>
      </c>
      <c r="I11" s="14">
        <v>8253.4588000000003</v>
      </c>
      <c r="J11" s="14">
        <v>8422.8433000000005</v>
      </c>
      <c r="K11" s="14">
        <v>8468.7476999999999</v>
      </c>
      <c r="L11" s="14">
        <v>8531.7050999999992</v>
      </c>
      <c r="M11" s="14">
        <v>8785.4531999999999</v>
      </c>
      <c r="N11" s="14">
        <v>9074.5179000000007</v>
      </c>
    </row>
    <row r="12" spans="1:26">
      <c r="A12" t="s">
        <v>37</v>
      </c>
      <c r="B12" t="s">
        <v>187</v>
      </c>
      <c r="C12" s="14">
        <v>18209.989300000001</v>
      </c>
      <c r="D12" s="14">
        <v>18369.295399999999</v>
      </c>
      <c r="E12" s="14">
        <v>18544.5962</v>
      </c>
      <c r="F12" s="14">
        <v>18769.3161</v>
      </c>
      <c r="G12" s="14">
        <v>18938.080699999999</v>
      </c>
      <c r="H12" s="14">
        <v>19298.2232</v>
      </c>
      <c r="I12" s="14">
        <v>19830.879499999999</v>
      </c>
      <c r="J12" s="14">
        <v>20269.0733</v>
      </c>
      <c r="K12" s="14">
        <v>20127.986199999999</v>
      </c>
      <c r="L12" s="14">
        <v>20222.223999999998</v>
      </c>
      <c r="M12" s="14">
        <v>20967.631799999999</v>
      </c>
      <c r="N12" s="14">
        <v>21786.4941</v>
      </c>
    </row>
    <row r="13" spans="1:26">
      <c r="B13" t="s">
        <v>189</v>
      </c>
      <c r="C13" s="14">
        <v>14326.9692</v>
      </c>
      <c r="D13" s="14">
        <v>14418.800999999999</v>
      </c>
      <c r="E13" s="14">
        <v>14633.047</v>
      </c>
      <c r="F13" s="14">
        <v>14839.2276</v>
      </c>
      <c r="G13" s="14">
        <v>15000.9871</v>
      </c>
      <c r="H13" s="14">
        <v>15273.052299999999</v>
      </c>
      <c r="I13" s="14">
        <v>15723.143700000001</v>
      </c>
      <c r="J13" s="14">
        <v>16018.5231</v>
      </c>
      <c r="K13" s="14">
        <v>16038.829400000001</v>
      </c>
      <c r="L13" s="14">
        <v>16091.421200000001</v>
      </c>
      <c r="M13" s="14">
        <v>16639.8802</v>
      </c>
      <c r="N13" s="14">
        <v>17074.166000000001</v>
      </c>
    </row>
    <row r="14" spans="1:26">
      <c r="B14" t="s">
        <v>188</v>
      </c>
      <c r="C14" s="14">
        <v>16855.1266</v>
      </c>
      <c r="D14" s="14">
        <v>16969.950700000001</v>
      </c>
      <c r="E14" s="14">
        <v>17098.820299999999</v>
      </c>
      <c r="F14" s="14">
        <v>17310.533500000001</v>
      </c>
      <c r="G14" s="14">
        <v>17507.731400000001</v>
      </c>
      <c r="H14" s="14">
        <v>17761.1273</v>
      </c>
      <c r="I14" s="14">
        <v>18106.124500000002</v>
      </c>
      <c r="J14" s="14">
        <v>18277.824000000001</v>
      </c>
      <c r="K14" s="14">
        <v>18271.776900000001</v>
      </c>
      <c r="L14" s="14">
        <v>18282.144100000001</v>
      </c>
      <c r="M14" s="14">
        <v>18865.772799999999</v>
      </c>
      <c r="N14" s="14">
        <v>19523.527300000002</v>
      </c>
    </row>
  </sheetData>
  <mergeCells count="1">
    <mergeCell ref="A1:Z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MoE Document" ma:contentTypeID="0x01010053526B971DAC78418EC6A9ED490C61AF00CAF22474063F394883BF58A300692485" ma:contentTypeVersion="5" ma:contentTypeDescription="Default document class for adding items via wizard or drag and drop." ma:contentTypeScope="" ma:versionID="188d6538661ab1d8c636962af2cd3c4b">
  <xsd:schema xmlns:xsd="http://www.w3.org/2001/XMLSchema" xmlns:xs="http://www.w3.org/2001/XMLSchema" xmlns:p="http://schemas.microsoft.com/office/2006/metadata/properties" xmlns:ns2="d267a1a7-8edd-4111-a118-4a206d87cecc" xmlns:ns3="69f59752-6d77-46ee-9843-1f05f25eb4ed" targetNamespace="http://schemas.microsoft.com/office/2006/metadata/properties" ma:root="true" ma:fieldsID="71f30cd19e90fa3180ad272dc81cdcea" ns2:_="" ns3:_="">
    <xsd:import namespace="d267a1a7-8edd-4111-a118-4a206d87cecc"/>
    <xsd:import namespace="69f59752-6d77-46ee-9843-1f05f25eb4ed"/>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a7949048-f8e5-44e7-bac4-aa2f18510156}" ma:internalName="TaxCatchAll" ma:showField="CatchAllData"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a7949048-f8e5-44e7-bac4-aa2f18510156}" ma:internalName="TaxCatchAllLabel" ma:readOnly="true" ma:showField="CatchAllDataLabel"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f59752-6d77-46ee-9843-1f05f25eb4ed"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hf7c71fd10d346fe8adb3bb49d5c0fc0 xmlns="d267a1a7-8edd-4111-a118-4a206d87cecc">
      <Terms xmlns="http://schemas.microsoft.com/office/infopath/2007/PartnerControls"/>
    </hf7c71fd10d346fe8adb3bb49d5c0fc0>
    <FileNetAlphaCode xmlns="d267a1a7-8edd-4111-a118-4a206d87cecc" xsi:nil="true"/>
    <FileNetAuthor xmlns="d267a1a7-8edd-4111-a118-4a206d87cecc" xsi:nil="true"/>
    <FileNetAllOfMinistry xmlns="d267a1a7-8edd-4111-a118-4a206d87cecc" xsi:nil="true"/>
    <FileNetEffectiveFrom xmlns="d267a1a7-8edd-4111-a118-4a206d87cecc" xsi:nil="true"/>
    <FileNetPhysicalFile xmlns="d267a1a7-8edd-4111-a118-4a206d87cecc" xsi:nil="true"/>
    <FileNet_x0020_Version_x0020_ID xmlns="d267a1a7-8edd-4111-a118-4a206d87cecc" xsi:nil="true"/>
    <FileNetRecordsManagementActivity xmlns="d267a1a7-8edd-4111-a118-4a206d87cecc" xsi:nil="true"/>
    <FileNetStartDate xmlns="d267a1a7-8edd-4111-a118-4a206d87cecc" xsi:nil="true"/>
    <Date_x0020_Authored xmlns="d267a1a7-8edd-4111-a118-4a206d87cecc" xsi:nil="true"/>
    <FileNetProcessName xmlns="d267a1a7-8edd-4111-a118-4a206d87cecc" xsi:nil="true"/>
    <FileNet_x0020_Object_x0020_ID xmlns="d267a1a7-8edd-4111-a118-4a206d87cecc" xsi:nil="true"/>
    <FileNetCreatedBy xmlns="d267a1a7-8edd-4111-a118-4a206d87cecc" xsi:nil="true"/>
    <FileNetExpiry xmlns="d267a1a7-8edd-4111-a118-4a206d87cecc" xsi:nil="true"/>
    <FileNetAddedBy xmlns="d267a1a7-8edd-4111-a118-4a206d87cecc" xsi:nil="true"/>
    <FileNetNextReviewDueDate xmlns="d267a1a7-8edd-4111-a118-4a206d87cecc" xsi:nil="true"/>
    <FileNetsubject3 xmlns="d267a1a7-8edd-4111-a118-4a206d87cecc" xsi:nil="true"/>
    <FileNetLastReview xmlns="d267a1a7-8edd-4111-a118-4a206d87cecc" xsi:nil="true"/>
    <FileNetsubject2 xmlns="d267a1a7-8edd-4111-a118-4a206d87cecc" xsi:nil="true"/>
    <c65b51bc6a0e4ac9b0840b09a1858551 xmlns="d267a1a7-8edd-4111-a118-4a206d87cecc">
      <Terms xmlns="http://schemas.microsoft.com/office/infopath/2007/PartnerControls"/>
    </c65b51bc6a0e4ac9b0840b09a1858551>
    <FileNetFolderSecurityType xmlns="d267a1a7-8edd-4111-a118-4a206d87cecc" xsi:nil="true"/>
    <FileNetMeetingDocumentationType xmlns="d267a1a7-8edd-4111-a118-4a206d87cecc" xsi:nil="true"/>
    <FileNetPhysicalFileNumber xmlns="d267a1a7-8edd-4111-a118-4a206d87cecc" xsi:nil="true"/>
    <FileNetProcessOwner xmlns="d267a1a7-8edd-4111-a118-4a206d87cecc" xsi:nil="true"/>
    <FileNetsubject1 xmlns="d267a1a7-8edd-4111-a118-4a206d87cecc" xsi:nil="true"/>
    <m06bc18559e9431bb4d590962e6b7f83 xmlns="d267a1a7-8edd-4111-a118-4a206d87cecc">
      <Terms xmlns="http://schemas.microsoft.com/office/infopath/2007/PartnerControls"/>
    </m06bc18559e9431bb4d590962e6b7f83>
    <FileNetModifiiedBy xmlns="d267a1a7-8edd-4111-a118-4a206d87cecc" xsi:nil="true"/>
    <FileNetMeetingDate xmlns="d267a1a7-8edd-4111-a118-4a206d87cecc" xsi:nil="true"/>
    <FileNetBusinessGroups xmlns="d267a1a7-8edd-4111-a118-4a206d87cecc" xsi:nil="true"/>
    <FileNetTriggerProcess xmlns="d267a1a7-8edd-4111-a118-4a206d87cecc" xsi:nil="true"/>
    <TaxCatchAll xmlns="d267a1a7-8edd-4111-a118-4a206d87cecc" xsi:nil="true"/>
    <Status xmlns="d267a1a7-8edd-4111-a118-4a206d87cecc" xsi:nil="true"/>
    <FileNetScope xmlns="d267a1a7-8edd-4111-a118-4a206d87cecc" xsi:nil="true"/>
    <FileNetEndDate xmlns="d267a1a7-8edd-4111-a118-4a206d87cecc" xsi:nil="true"/>
    <FileNetParagraph xmlns="d267a1a7-8edd-4111-a118-4a206d87cecc" xsi:nil="true"/>
    <FileNetConsumerProcess xmlns="d267a1a7-8edd-4111-a118-4a206d87cecc" xsi:nil="true"/>
    <FileNetParagraphStatus xmlns="d267a1a7-8edd-4111-a118-4a206d87cecc" xsi:nil="true"/>
    <FileNetAddMigration xmlns="d267a1a7-8edd-4111-a118-4a206d87cecc" xsi:nil="true"/>
    <FileNetFolderAccess xmlns="d267a1a7-8edd-4111-a118-4a206d87cecc" xsi:nil="true"/>
    <FileNetSource xmlns="d267a1a7-8edd-4111-a118-4a206d87cecc" xsi:nil="true"/>
    <_dlc_DocId xmlns="69f59752-6d77-46ee-9843-1f05f25eb4ed">MoEd-1249934966-5294</_dlc_DocId>
    <_dlc_DocIdUrl xmlns="69f59752-6d77-46ee-9843-1f05f25eb4ed">
      <Url>https://educationgovtnz.sharepoint.com/sites/GRPMoEEDKEvidenceSynthesisandReporting/_layouts/15/DocIdRedir.aspx?ID=MoEd-1249934966-5294</Url>
      <Description>MoEd-1249934966-5294</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340AAA46-D77F-4BED-B630-D231E2E121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69f59752-6d77-46ee-9843-1f05f25eb4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40F3AD5-4CA9-47B4-80A4-10F4CFB3DFE5}">
  <ds:schemaRefs>
    <ds:schemaRef ds:uri="http://schemas.microsoft.com/office/2006/metadata/properties"/>
    <ds:schemaRef ds:uri="http://schemas.microsoft.com/office/infopath/2007/PartnerControls"/>
    <ds:schemaRef ds:uri="d267a1a7-8edd-4111-a118-4a206d87cecc"/>
    <ds:schemaRef ds:uri="69f59752-6d77-46ee-9843-1f05f25eb4ed"/>
  </ds:schemaRefs>
</ds:datastoreItem>
</file>

<file path=customXml/itemProps3.xml><?xml version="1.0" encoding="utf-8"?>
<ds:datastoreItem xmlns:ds="http://schemas.openxmlformats.org/officeDocument/2006/customXml" ds:itemID="{5483FE28-8FA4-4C77-AD9A-3FE7C341D6D2}">
  <ds:schemaRefs>
    <ds:schemaRef ds:uri="http://schemas.microsoft.com/sharepoint/v3/contenttype/forms"/>
  </ds:schemaRefs>
</ds:datastoreItem>
</file>

<file path=customXml/itemProps4.xml><?xml version="1.0" encoding="utf-8"?>
<ds:datastoreItem xmlns:ds="http://schemas.openxmlformats.org/officeDocument/2006/customXml" ds:itemID="{1C3051F7-1561-4BFD-B6A9-3E2910B15552}">
  <ds:schemaRefs>
    <ds:schemaRef ds:uri="Microsoft.SharePoint.Taxonomy.ContentTypeSync"/>
  </ds:schemaRefs>
</ds:datastoreItem>
</file>

<file path=customXml/itemProps5.xml><?xml version="1.0" encoding="utf-8"?>
<ds:datastoreItem xmlns:ds="http://schemas.openxmlformats.org/officeDocument/2006/customXml" ds:itemID="{2B2DED98-DF0F-4BC2-AD6B-0CE3631BFC5D}">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Index</vt:lpstr>
      <vt:lpstr>Technical Notes</vt:lpstr>
      <vt:lpstr>Sector</vt:lpstr>
      <vt:lpstr>Designation</vt:lpstr>
      <vt:lpstr>Employment Type</vt:lpstr>
      <vt:lpstr>Full Part Time</vt:lpstr>
      <vt:lpstr>Ethnic Group</vt:lpstr>
      <vt:lpstr>Age Group</vt:lpstr>
      <vt:lpstr>Gender</vt:lpstr>
      <vt:lpstr>School Gender</vt:lpstr>
      <vt:lpstr>Equity Index Band</vt:lpstr>
      <vt:lpstr>Equity Index Group</vt:lpstr>
      <vt:lpstr>Decile</vt:lpstr>
      <vt:lpstr>Grouped Decile</vt:lpstr>
      <vt:lpstr>Urban Rural</vt:lpstr>
      <vt:lpstr>Education Region</vt:lpstr>
      <vt:lpstr>Regional Council</vt:lpstr>
      <vt:lpstr>Territorial Authority</vt:lpstr>
      <vt:lpstr>Te Mahau Takiwā</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Malley</dc:creator>
  <cp:lastModifiedBy>Kathy Taylor</cp:lastModifiedBy>
  <dcterms:created xsi:type="dcterms:W3CDTF">2022-09-12T01:41:28Z</dcterms:created>
  <dcterms:modified xsi:type="dcterms:W3CDTF">2026-05-21T03:50:53Z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0x01010053526B971DAC78418EC6A9ED490C61AF00CAF22474063F394883BF58A300692485</vt:lpwstr>
  </property>
  <property fmtid="{D5CDD505-2E9C-101B-9397-08002B2CF9AE}" pid="3" name="MSIP_Label_4009eddf-846d-46a2-8a8f-ad982b694053_Enabled">
    <vt:lpwstr>true</vt:lpwstr>
  </property>
  <property fmtid="{D5CDD505-2E9C-101B-9397-08002B2CF9AE}" pid="4" name="MSIP_Label_4009eddf-846d-46a2-8a8f-ad982b694053_SetDate">
    <vt:lpwstr>2026-03-06T00:55:33Z</vt:lpwstr>
  </property>
  <property fmtid="{D5CDD505-2E9C-101B-9397-08002B2CF9AE}" pid="5" name="MSIP_Label_4009eddf-846d-46a2-8a8f-ad982b694053_Method">
    <vt:lpwstr>Privileged</vt:lpwstr>
  </property>
  <property fmtid="{D5CDD505-2E9C-101B-9397-08002B2CF9AE}" pid="6" name="MSIP_Label_4009eddf-846d-46a2-8a8f-ad982b694053_Name">
    <vt:lpwstr>UNCLASSIFIED</vt:lpwstr>
  </property>
  <property fmtid="{D5CDD505-2E9C-101B-9397-08002B2CF9AE}" pid="7" name="MSIP_Label_4009eddf-846d-46a2-8a8f-ad982b694053_SiteId">
    <vt:lpwstr>e6d2d4cc-b762-486e-8894-4f5f440d5f31</vt:lpwstr>
  </property>
  <property fmtid="{D5CDD505-2E9C-101B-9397-08002B2CF9AE}" pid="8" name="MSIP_Label_4009eddf-846d-46a2-8a8f-ad982b694053_ActionId">
    <vt:lpwstr>eb664138-b0b2-4ef0-aafe-027e0d00982a</vt:lpwstr>
  </property>
  <property fmtid="{D5CDD505-2E9C-101B-9397-08002B2CF9AE}" pid="9" name="MSIP_Label_4009eddf-846d-46a2-8a8f-ad982b694053_ContentBits">
    <vt:lpwstr>3</vt:lpwstr>
  </property>
  <property fmtid="{D5CDD505-2E9C-101B-9397-08002B2CF9AE}" pid="10" name="MSIP_Label_4009eddf-846d-46a2-8a8f-ad982b694053_Tag">
    <vt:lpwstr>10, 0, 1, 1</vt:lpwstr>
  </property>
  <property fmtid="{D5CDD505-2E9C-101B-9397-08002B2CF9AE}" pid="11" name="_dlc_DocIdItemGuid">
    <vt:lpwstr>016bd32b-fc15-4d44-80a6-171b92bcec8b</vt:lpwstr>
  </property>
  <property fmtid="{D5CDD505-2E9C-101B-9397-08002B2CF9AE}" pid="12" name="j560beb70aea488fb091e84adbb32566">
    <vt:lpwstr/>
  </property>
  <property fmtid="{D5CDD505-2E9C-101B-9397-08002B2CF9AE}" pid="13" name="Ministerial_x0020_Type">
    <vt:lpwstr/>
  </property>
  <property fmtid="{D5CDD505-2E9C-101B-9397-08002B2CF9AE}" pid="14" name="Record_x0020_Activity">
    <vt:lpwstr/>
  </property>
  <property fmtid="{D5CDD505-2E9C-101B-9397-08002B2CF9AE}" pid="15" name="Property_x0020_Management_x0020_Activity">
    <vt:lpwstr/>
  </property>
  <property fmtid="{D5CDD505-2E9C-101B-9397-08002B2CF9AE}" pid="16" name="MediaServiceImageTags">
    <vt:lpwstr/>
  </property>
  <property fmtid="{D5CDD505-2E9C-101B-9397-08002B2CF9AE}" pid="17" name="CalendarYear">
    <vt:lpwstr/>
  </property>
  <property fmtid="{D5CDD505-2E9C-101B-9397-08002B2CF9AE}" pid="18" name="lcf76f155ced4ddcb4097134ff3c332f">
    <vt:lpwstr/>
  </property>
  <property fmtid="{D5CDD505-2E9C-101B-9397-08002B2CF9AE}" pid="19" name="FinancialYear">
    <vt:lpwstr/>
  </property>
  <property fmtid="{D5CDD505-2E9C-101B-9397-08002B2CF9AE}" pid="20" name="ce139978aae645acb1db0a0e0d3df2f5">
    <vt:lpwstr/>
  </property>
  <property fmtid="{D5CDD505-2E9C-101B-9397-08002B2CF9AE}" pid="21" name="Record Activity">
    <vt:lpwstr/>
  </property>
  <property fmtid="{D5CDD505-2E9C-101B-9397-08002B2CF9AE}" pid="22" name="Ministerial Type">
    <vt:lpwstr/>
  </property>
  <property fmtid="{D5CDD505-2E9C-101B-9397-08002B2CF9AE}" pid="23" name="Property Management Activity">
    <vt:lpwstr/>
  </property>
</Properties>
</file>