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codeName="ThisWorkbook" autoCompressPictures="0"/>
  <mc:AlternateContent xmlns:mc="http://schemas.openxmlformats.org/markup-compatibility/2006">
    <mc:Choice Requires="x15">
      <x15ac:absPath xmlns:x15ac="http://schemas.microsoft.com/office/spreadsheetml/2010/11/ac" url="\\moe.govt.nz\sas\EIA\S Information Requests SAS Data\Request working 2025\EDK-24265 TI Ed counts\"/>
    </mc:Choice>
  </mc:AlternateContent>
  <xr:revisionPtr revIDLastSave="0" documentId="13_ncr:1_{4DDD42C5-8060-43AB-93FC-80F375FDEC2F}" xr6:coauthVersionLast="47" xr6:coauthVersionMax="47" xr10:uidLastSave="{00000000-0000-0000-0000-000000000000}"/>
  <bookViews>
    <workbookView xWindow="-28920" yWindow="-120" windowWidth="29040" windowHeight="15840" tabRatio="747" xr2:uid="{00000000-000D-0000-FFFF-FFFF00000000}"/>
  </bookViews>
  <sheets>
    <sheet name="Contents" sheetId="6" r:id="rId1"/>
    <sheet name="1. by Classification" sheetId="8" r:id="rId2"/>
    <sheet name="2. by Facility Type" sheetId="10" r:id="rId3"/>
    <sheet name="3. by Reporter Region" sheetId="7" r:id="rId4"/>
    <sheet name="4. by Facility Region" sheetId="11" r:id="rId5"/>
    <sheet name="5. by Regional Council" sheetId="5" r:id="rId6"/>
    <sheet name="6. by Territorial Authority" sheetId="4" r:id="rId7"/>
    <sheet name="7. by Peak Body" sheetId="12" r:id="rId8"/>
    <sheet name="8. by EQI Band and Group"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 r="A1" i="12"/>
  <c r="A1" i="4"/>
  <c r="A1" i="5"/>
  <c r="A1" i="11"/>
  <c r="A1" i="7"/>
  <c r="A1" i="10"/>
  <c r="A1" i="8"/>
  <c r="C11" i="6" l="1"/>
  <c r="C12" i="6"/>
  <c r="C10" i="6"/>
  <c r="C9" i="6"/>
  <c r="C8" i="6"/>
  <c r="C7" i="6"/>
  <c r="C6" i="6"/>
  <c r="C5" i="6"/>
</calcChain>
</file>

<file path=xl/sharedStrings.xml><?xml version="1.0" encoding="utf-8"?>
<sst xmlns="http://schemas.openxmlformats.org/spreadsheetml/2006/main" count="257" uniqueCount="195">
  <si>
    <t>Northland Region</t>
  </si>
  <si>
    <t>Auckland Region</t>
  </si>
  <si>
    <t>Waikato Region</t>
  </si>
  <si>
    <t>Bay of Plenty Region</t>
  </si>
  <si>
    <t>Gisborne Region</t>
  </si>
  <si>
    <t>Taranaki Region</t>
  </si>
  <si>
    <t>Wellington Region</t>
  </si>
  <si>
    <t>West Coast Region</t>
  </si>
  <si>
    <t>Canterbury Region</t>
  </si>
  <si>
    <t>Otago Region</t>
  </si>
  <si>
    <t>Southland Region</t>
  </si>
  <si>
    <t>Tasman Region</t>
  </si>
  <si>
    <t>Nelson Region</t>
  </si>
  <si>
    <t>Marlborough Region</t>
  </si>
  <si>
    <t>Far North District</t>
  </si>
  <si>
    <t>Whangarei District</t>
  </si>
  <si>
    <t>Kaipara District</t>
  </si>
  <si>
    <t>Auckland- Rodney</t>
  </si>
  <si>
    <t>Auckland- Hibiscus and Bays</t>
  </si>
  <si>
    <t>Auckland- Upper Harbour</t>
  </si>
  <si>
    <t>Auckland- Devonport-Takapuna</t>
  </si>
  <si>
    <t>Auckland- Henderson-Massey</t>
  </si>
  <si>
    <t>Auckland- Waiheke</t>
  </si>
  <si>
    <t>Auckland- Whau</t>
  </si>
  <si>
    <t>Auckland- Albert-Eden</t>
  </si>
  <si>
    <t>Auckland- Howick</t>
  </si>
  <si>
    <t>Auckland- Manurewa</t>
  </si>
  <si>
    <t>Auckland- Papakura</t>
  </si>
  <si>
    <t>Auckland- Franklin</t>
  </si>
  <si>
    <t>Thames-Coromandel District</t>
  </si>
  <si>
    <t>Hauraki District</t>
  </si>
  <si>
    <t>Waikato District</t>
  </si>
  <si>
    <t>Matamata-Piako District</t>
  </si>
  <si>
    <t>Hamilton City</t>
  </si>
  <si>
    <t>Waipa District</t>
  </si>
  <si>
    <t>South Waikato District</t>
  </si>
  <si>
    <t>Waitomo District</t>
  </si>
  <si>
    <t>Taupo District</t>
  </si>
  <si>
    <t>Western Bay of Plenty District</t>
  </si>
  <si>
    <t>Tauranga City</t>
  </si>
  <si>
    <t>Rotorua District</t>
  </si>
  <si>
    <t>Whakatane District</t>
  </si>
  <si>
    <t>Kawerau District</t>
  </si>
  <si>
    <t>Gisborne District</t>
  </si>
  <si>
    <t>Wairoa District</t>
  </si>
  <si>
    <t>Hastings District</t>
  </si>
  <si>
    <t>Napier City</t>
  </si>
  <si>
    <t>Central Hawke's Bay District</t>
  </si>
  <si>
    <t>New Plymouth District</t>
  </si>
  <si>
    <t>Stratford District</t>
  </si>
  <si>
    <t>South Taranaki District</t>
  </si>
  <si>
    <t>Ruapehu District</t>
  </si>
  <si>
    <t>Rangitikei District</t>
  </si>
  <si>
    <t>Manawatu District</t>
  </si>
  <si>
    <t>Palmerston North City</t>
  </si>
  <si>
    <t>Tararua District</t>
  </si>
  <si>
    <t>Horowhenua District</t>
  </si>
  <si>
    <t>Kapiti Coast District</t>
  </si>
  <si>
    <t>Porirua City</t>
  </si>
  <si>
    <t>Upper Hutt City</t>
  </si>
  <si>
    <t>Lower Hutt City</t>
  </si>
  <si>
    <t>Wellington City</t>
  </si>
  <si>
    <t>Masterton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</si>
  <si>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</si>
  <si>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</si>
  <si>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</si>
  <si>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</si>
  <si>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</si>
  <si>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</si>
  <si>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</si>
  <si>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</si>
  <si>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</si>
  <si>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</si>
  <si>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</si>
  <si>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</si>
  <si>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</si>
  <si>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</si>
  <si>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</si>
  <si>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</si>
  <si>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Chatham Islands Territory</t>
  </si>
  <si>
    <t>Waitaki District</t>
  </si>
  <si>
    <t>Central Otago District</t>
  </si>
  <si>
    <t>Queenstown-Lakes District</t>
  </si>
  <si>
    <t>Dunedin City</t>
  </si>
  <si>
    <t>Clutha District</t>
  </si>
  <si>
    <t>Southland District</t>
  </si>
  <si>
    <t>Gore District</t>
  </si>
  <si>
    <t>Invercargill City</t>
  </si>
  <si>
    <t>Tai Tokerau</t>
  </si>
  <si>
    <t>Auckland</t>
  </si>
  <si>
    <t>Waikato</t>
  </si>
  <si>
    <t>Wellington</t>
  </si>
  <si>
    <t>New Zealand Total</t>
  </si>
  <si>
    <t>Notes:</t>
  </si>
  <si>
    <t>Whanganui District</t>
  </si>
  <si>
    <t>Worksheet</t>
  </si>
  <si>
    <t>Table Name</t>
  </si>
  <si>
    <r>
      <t>Regional Council</t>
    </r>
    <r>
      <rPr>
        <b/>
        <vertAlign val="superscript"/>
        <sz val="10"/>
        <rFont val="Arial"/>
        <family val="2"/>
      </rPr>
      <t>1</t>
    </r>
  </si>
  <si>
    <t>Bay of Plenty/Waiariki</t>
  </si>
  <si>
    <t>Nelson/Marlborough/West Coast</t>
  </si>
  <si>
    <t>Canterbury/Chatham Islands</t>
  </si>
  <si>
    <t>Otago/Southland</t>
  </si>
  <si>
    <t>Tāmaki Herenga Manawa</t>
  </si>
  <si>
    <t>Tāmaki Herenga Tāngata</t>
  </si>
  <si>
    <t>Tāmaki Herenga Waka</t>
  </si>
  <si>
    <t>Missing Person</t>
  </si>
  <si>
    <t>Others</t>
  </si>
  <si>
    <t>Early Childhood Services</t>
  </si>
  <si>
    <t>Primary</t>
  </si>
  <si>
    <t>Secondary</t>
  </si>
  <si>
    <t>Composite</t>
  </si>
  <si>
    <t>Not Applicable</t>
  </si>
  <si>
    <t>Hawke's Bay Region</t>
  </si>
  <si>
    <t>Area Outside Region</t>
  </si>
  <si>
    <t>Above Average</t>
  </si>
  <si>
    <t>Average</t>
  </si>
  <si>
    <t>Below Average</t>
  </si>
  <si>
    <t>Few</t>
  </si>
  <si>
    <t>Fewest</t>
  </si>
  <si>
    <t>Many</t>
  </si>
  <si>
    <t>Most</t>
  </si>
  <si>
    <t>More</t>
  </si>
  <si>
    <t>Moderate</t>
  </si>
  <si>
    <t>Fewer</t>
  </si>
  <si>
    <t xml:space="preserve">Note: </t>
  </si>
  <si>
    <t>Classification</t>
  </si>
  <si>
    <t>Facility Type</t>
  </si>
  <si>
    <t>1.  The Education Area of facility that the incidents happened.</t>
  </si>
  <si>
    <t>1.  The Regional Council area of facility that the incidents happened.</t>
  </si>
  <si>
    <r>
      <t>Education Area</t>
    </r>
    <r>
      <rPr>
        <b/>
        <vertAlign val="superscript"/>
        <sz val="10"/>
        <rFont val="Arial"/>
        <family val="2"/>
      </rPr>
      <t>1</t>
    </r>
  </si>
  <si>
    <r>
      <t>Territorial Authority/Local board</t>
    </r>
    <r>
      <rPr>
        <b/>
        <vertAlign val="superscript"/>
        <sz val="10"/>
        <rFont val="Arial"/>
        <family val="2"/>
      </rPr>
      <t>1</t>
    </r>
  </si>
  <si>
    <t>All</t>
  </si>
  <si>
    <t xml:space="preserve">* Equity Index Bands and Groups are for socioeconomic reporting on schools for data from 2023. </t>
  </si>
  <si>
    <t>Click on a title below to view</t>
  </si>
  <si>
    <t>Contents for Traumatic Incidents Tables</t>
  </si>
  <si>
    <t>2.  "Not Applicable" includes cases in facilities such as alternative education providers, correspondence schools, land sites, and instances where no regional information is available.</t>
  </si>
  <si>
    <t>1.  The Territorial Authority/Local board of facility that the incidents happened, except for the Auckland supercity where Local Board has been used instead.</t>
  </si>
  <si>
    <t>Te Runanga Nui o Nga Kura Kaupapa Maori o Aotearoa</t>
  </si>
  <si>
    <t>Nga Kura a Iwi o Aotearoa Inc</t>
  </si>
  <si>
    <t>KME Peak Body</t>
  </si>
  <si>
    <t xml:space="preserve">2.  "Not Applicable"indicates facilities that are not affiliated to a Kaupapa Māori Education peak body. </t>
  </si>
  <si>
    <t>Note:</t>
  </si>
  <si>
    <t>Accidental Death</t>
  </si>
  <si>
    <t>Accidental Injury</t>
  </si>
  <si>
    <t>Self Harm</t>
  </si>
  <si>
    <t>Serious Crime</t>
  </si>
  <si>
    <t>Sexual Misconduct</t>
  </si>
  <si>
    <t>Sudden Death</t>
  </si>
  <si>
    <t>Violence</t>
  </si>
  <si>
    <t>Other</t>
  </si>
  <si>
    <t>Caveats</t>
  </si>
  <si>
    <t>Sudden Serious Illness</t>
  </si>
  <si>
    <t>x</t>
  </si>
  <si>
    <t>1. Not all facilities are assigned an Equity Index Band or Group. 'Other' includes the unassigned facilities and Early Childhood Services.</t>
  </si>
  <si>
    <t>This data reflects the number of times the Ministry has responded to traumatic incident events rather than the number of events. It is important to note that the Ministry’s national database only records service responses. The database does not include events that were managed by schools or early learning services from within their own resources.</t>
  </si>
  <si>
    <t xml:space="preserve">3. While the Equity Index Bands and Groups will be introduced for socioeconomic reporting on schools for data from 2023 and beyond, in some situations
    it is informative to compare data from 2023+ with earlier years. 
    The Equity Index and School Decile are different socioeconomic measures and are not directly comparable. </t>
  </si>
  <si>
    <t>4. This report uses EQI bands and groups to reflect the socioeconomic barriers to achievement that students at a school face, relative to students at other
    schools. There are seven School Equity Index Bands, each containing approximately the same number of schools. Schools are placed into a band based
    on their Equity Index number. The School Equity Index Band 'Fewest' indicates students at these schools, on average, have the fewest socioeconomic
    barriers to achievement relative to students at other schools. The School Equity Index Band 'Most' indicates students at these schools, on average, have
    the most socioeconomic barriers to achievement relative to students at other schools. More information can be found at
    https://www.educationcounts.govt.nz/data-services/guidelines/school-equity-index-bands-and-groups.</t>
  </si>
  <si>
    <t>1.  KME Peak Body identifies if the service is affiliated to a Kaupapa Māori Education peak body. 
     Currently the recognised Kaupapa Māori Education peak bodies in schooling are Te Rūnanga Nui o Ngā Kura Kaupapa Māori o Aotearoa and Ngā Kura ā Iwi o Aotearoa.</t>
  </si>
  <si>
    <t xml:space="preserve">2. The Schools Equity Index is based on a statistical model that estimates the extent to which a school's students face socioeconomic barriers that could 
    affect their school achievement.
</t>
  </si>
  <si>
    <t xml:space="preserve">1. Classification indicates the Ministry's reponse to incidents. </t>
  </si>
  <si>
    <t>Reporter Region</t>
  </si>
  <si>
    <t>2.  Due to the creation of three new regions within Auckland (Tāmaki Herenga Tāngata, Tāmaki Herenga Manawa, and Tāmaki Herenga Waka), 
     data for the previous Auckland region has not been recorded since 2021.</t>
  </si>
  <si>
    <t>1. Due to the creation of three new regions within Auckland (Tāmaki Herenga Tāngata, Tāmaki Herenga Manawa and Tāmaki Herenga Waka), the
    Auckland region no longer has data recorded against it. This explains why there have been no reported traumatic incidents in the ‘Auckland’ 
    region since 2021.</t>
  </si>
  <si>
    <t>2.  "Not Applicable" includes cases in facilities such as alternative education providers, correspondence schools, land sites, and instances where no
      Territorial  Authority/Local board information is available.</t>
  </si>
  <si>
    <t>Hawke's Bay/Tairāwhiti</t>
  </si>
  <si>
    <t>Taranaki/Whanganui/Manawatū</t>
  </si>
  <si>
    <t xml:space="preserve">2. Property Damage includes Property Damage - Accidental Fire, Property Damage - Arson, and Property Damage - Natural Disaster. </t>
  </si>
  <si>
    <t>Property Damage</t>
  </si>
  <si>
    <t>3. This data reflects the number of times the Ministry has responded to traumatic incident events rather than the number of events. It is important to note
    that the Ministry’s national database only records service responses. The database does not include events that were managed by schools or early
    learning services from within their own resources.</t>
  </si>
  <si>
    <t xml:space="preserve">4. Values less than five have been concealed under section 9(2)(a) of the Official Information Act to protect the privacy of students involved. Where this is
    the case, these figures have been replaced with x. For the same reason, no names of students will be released. Some other values have also been
    masked to ensure that values under 5 cannot be calculated. </t>
  </si>
  <si>
    <t>Carterton District</t>
  </si>
  <si>
    <t>Socioeconomic Barriers to Achievement (school equity index group)</t>
  </si>
  <si>
    <t>Socioeconomic Barriers to Achievement (school equity index band)</t>
  </si>
  <si>
    <t>This data presented is as of 10th June 2025 and includes incidents recorded up to this date. Any subsequent occurrences or updates beyond this point are not reflected in this data.</t>
  </si>
  <si>
    <t>Table 1. The number of Ministry responses to traumatic incident events by Classification, 2014-2024</t>
  </si>
  <si>
    <t>Table 2. The number of Ministry responses to traumatic incident events by Facility Type, 2014-2024</t>
  </si>
  <si>
    <t>Table 3. The number of Ministry responses to  traumatic incident events by Reporter Region, 2014-2024</t>
  </si>
  <si>
    <t>Table 4. The number of Ministry responses to  traumatic incident events by Facility Region, 2014-2024</t>
  </si>
  <si>
    <t>Table 5. The number of Ministry responses to traumatic incident events by Regional Council, 2014-2024</t>
  </si>
  <si>
    <t>Table 6. The number of Ministry responses to traumatic incident events by Territorial Authority/Local Board, 2014-2024</t>
  </si>
  <si>
    <t>Table 7. The number of Ministry responses to traumatic incident events by KME Peak Body, 2014-2024</t>
  </si>
  <si>
    <t>1.  Data is grouped into facility type:  Early Childhood Services, Primary, Secondary, Composite, and Others.
     "Early Childhood Services" category includes Casual-Education, Homebased Network, Te Kohanga Reo, Playcentre,
      Education &amp; Care Service, and Free Kindergarten.
     "Primary" category includes Full Primary (Year 1-8), Contributing (Year 1-6), and Intermediate (Year 7 &amp; 8).
     "Secondary" category includes all Secondary Schools. 
     "Composite" category includes Composite (Year 1-15), Restricted Composite (Year 7-10), and Correspondence School. 
     "Others" category includes Activity Centre, Alternative Education Provider, Land Site, Polytechnic, Specialist School, etc.</t>
  </si>
  <si>
    <t>Table 8. The number of Ministry responses to traumatic incident events by School Equity Index Bands and Groups, 2023-2024</t>
  </si>
  <si>
    <t>Auckland- Waitematā</t>
  </si>
  <si>
    <t>Auckland- Māngere-Ōtāhuhu</t>
  </si>
  <si>
    <t>Auckland- Puketāpapa</t>
  </si>
  <si>
    <t>Auckland- Aotea/Great Barrier</t>
  </si>
  <si>
    <t>Auckland- Ōtara-Papatoetoe</t>
  </si>
  <si>
    <t>Auckland- Kaipātiki</t>
  </si>
  <si>
    <t>Auckland- Maungakiekie-Tāmaki</t>
  </si>
  <si>
    <t>Auckland- Ōrākei</t>
  </si>
  <si>
    <t>Auckland- Waitākere Ranges</t>
  </si>
  <si>
    <t>Ōtorohanga District</t>
  </si>
  <si>
    <t>Ōpōtiki District</t>
  </si>
  <si>
    <t>Manawatū-Whanganui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</si>
</sst>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9.5"/>
      <color rgb="FF000000"/>
      <name val="Albany AMT"/>
    </font>
    <font>
      <sz val="11"/>
      <color theme="1"/>
      <name val="Courier New"/>
      <family val="2"/>
      <scheme val="minor"/>
    </font>
    <font>
      <sz val="8"/>
      <name val="Albany AMT"/>
    </font>
    <font>
      <sz val="10"/>
      <name val="Arial"/>
      <family val="2"/>
    </font>
    <font>
      <sz val="10"/>
      <name val="MS Sans Serif"/>
      <family val="2"/>
    </font>
    <font>
      <sz val="9.5"/>
      <color rgb="FF000000"/>
      <name val="Arial"/>
      <family val="2"/>
    </font>
    <font>
      <b/>
      <sz val="10"/>
      <name val="Arial"/>
      <family val="2"/>
    </font>
    <font>
      <b/>
      <sz val="11"/>
      <color rgb="FF112277"/>
      <name val="Arial"/>
      <family val="2"/>
    </font>
    <font>
      <sz val="10"/>
      <color rgb="FF000000"/>
      <name val="Arial"/>
      <family val="2"/>
    </font>
    <font>
      <b/>
      <vertAlign val="superscript"/>
      <sz val="10"/>
      <name val="Arial"/>
      <family val="2"/>
    </font>
    <font>
      <b/>
      <sz val="10"/>
      <color theme="1"/>
      <name val="Arial"/>
      <family val="2"/>
    </font>
    <font>
      <sz val="10"/>
      <color rgb="FF000000"/>
      <name val="Albany AMT"/>
    </font>
    <font>
      <sz val="8"/>
      <name val="Arial"/>
      <family val="2"/>
    </font>
    <font>
      <b/>
      <sz val="22"/>
      <color indexed="30"/>
      <name val="Arial"/>
      <family val="2"/>
    </font>
    <font>
      <b/>
      <sz val="9.5"/>
      <color rgb="FF000000"/>
      <name val="Albany AMT"/>
    </font>
    <font>
      <sz val="9.5"/>
      <name val="Arial"/>
      <family val="2"/>
    </font>
    <font>
      <u/>
      <sz val="9.5"/>
      <color theme="10"/>
      <name val="Albany AMT"/>
    </font>
    <font>
      <b/>
      <sz val="10"/>
      <color rgb="FF000000"/>
      <name val="Arial"/>
      <family val="2"/>
    </font>
    <font>
      <b/>
      <sz val="9.5"/>
      <color rgb="FF000000"/>
      <name val="Arial"/>
      <family val="2"/>
    </font>
    <font>
      <b/>
      <sz val="10"/>
      <color rgb="FF000000"/>
      <name val="Albany AMT"/>
    </font>
    <font>
      <b/>
      <u/>
      <sz val="9.5"/>
      <color theme="10"/>
      <name val="Albany AMT"/>
    </font>
  </fonts>
  <fills count="6">
    <fill>
      <patternFill patternType="none"/>
    </fill>
    <fill>
      <patternFill patternType="gray125"/>
    </fill>
    <fill>
      <patternFill patternType="solid">
        <fgColor theme="8" tint="0.59999389629810485"/>
        <bgColor indexed="65"/>
      </patternFill>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
    <xf numFmtId="0" fontId="0" fillId="0" borderId="0"/>
    <xf numFmtId="0" fontId="1" fillId="2" borderId="0" applyNumberFormat="0" applyBorder="0" applyAlignment="0" applyProtection="0"/>
    <xf numFmtId="0" fontId="4" fillId="0" borderId="0"/>
    <xf numFmtId="0" fontId="16" fillId="0" borderId="0" applyNumberFormat="0" applyFill="0" applyBorder="0" applyAlignment="0" applyProtection="0"/>
  </cellStyleXfs>
  <cellXfs count="71">
    <xf numFmtId="0" fontId="0" fillId="0" borderId="0" xfId="0" applyFont="1" applyFill="1" applyBorder="1" applyAlignment="1">
      <alignment horizontal="left"/>
    </xf>
    <xf numFmtId="0" fontId="6" fillId="3" borderId="0" xfId="0" applyFont="1" applyFill="1"/>
    <xf numFmtId="0" fontId="7" fillId="3" borderId="0" xfId="0" applyFont="1" applyFill="1" applyBorder="1" applyAlignment="1"/>
    <xf numFmtId="0" fontId="5" fillId="3" borderId="0" xfId="0" applyFont="1" applyFill="1" applyBorder="1" applyAlignment="1"/>
    <xf numFmtId="0" fontId="5" fillId="3" borderId="0" xfId="0" applyFont="1" applyFill="1" applyBorder="1" applyAlignment="1">
      <alignment horizontal="left"/>
    </xf>
    <xf numFmtId="164" fontId="5" fillId="3" borderId="0" xfId="0" applyNumberFormat="1" applyFont="1" applyFill="1" applyBorder="1"/>
    <xf numFmtId="0" fontId="0" fillId="3" borderId="0" xfId="0" applyFill="1"/>
    <xf numFmtId="0" fontId="0" fillId="3" borderId="0" xfId="0" applyFont="1" applyFill="1" applyBorder="1" applyAlignment="1">
      <alignment horizontal="left"/>
    </xf>
    <xf numFmtId="0" fontId="8" fillId="3" borderId="0" xfId="0" applyFont="1" applyFill="1" applyBorder="1" applyAlignment="1">
      <alignment horizontal="left"/>
    </xf>
    <xf numFmtId="164" fontId="8" fillId="3" borderId="1" xfId="0" applyNumberFormat="1" applyFont="1" applyFill="1" applyBorder="1" applyAlignment="1">
      <alignment horizontal="left"/>
    </xf>
    <xf numFmtId="0" fontId="8" fillId="3" borderId="0" xfId="0" applyFont="1" applyFill="1"/>
    <xf numFmtId="0" fontId="8" fillId="3" borderId="0" xfId="0" applyFont="1" applyFill="1" applyAlignment="1">
      <alignment horizontal="center"/>
    </xf>
    <xf numFmtId="0" fontId="8" fillId="3" borderId="0" xfId="0" applyFont="1" applyFill="1" applyBorder="1" applyAlignment="1">
      <alignment horizontal="center"/>
    </xf>
    <xf numFmtId="164" fontId="8" fillId="3" borderId="0" xfId="0" applyNumberFormat="1" applyFont="1" applyFill="1" applyBorder="1"/>
    <xf numFmtId="0" fontId="8" fillId="3" borderId="0" xfId="0" applyFont="1" applyFill="1" applyBorder="1"/>
    <xf numFmtId="0" fontId="11" fillId="3" borderId="0" xfId="0" applyFont="1" applyFill="1"/>
    <xf numFmtId="0" fontId="11" fillId="3" borderId="1" xfId="0" applyFont="1" applyFill="1" applyBorder="1"/>
    <xf numFmtId="0" fontId="13" fillId="3" borderId="0" xfId="0" applyFont="1" applyFill="1"/>
    <xf numFmtId="1" fontId="3" fillId="3" borderId="1" xfId="2" applyNumberFormat="1" applyFont="1" applyFill="1" applyBorder="1" applyAlignment="1">
      <alignment horizontal="center" vertical="center"/>
    </xf>
    <xf numFmtId="1" fontId="8" fillId="3" borderId="1" xfId="0" applyNumberFormat="1" applyFont="1" applyFill="1" applyBorder="1" applyAlignment="1">
      <alignment horizontal="center"/>
    </xf>
    <xf numFmtId="0" fontId="11" fillId="3" borderId="1" xfId="0" applyFont="1" applyFill="1" applyBorder="1" applyAlignment="1">
      <alignment horizontal="center"/>
    </xf>
    <xf numFmtId="164" fontId="17" fillId="3" borderId="0" xfId="0" applyNumberFormat="1" applyFont="1" applyFill="1" applyBorder="1"/>
    <xf numFmtId="164" fontId="18" fillId="3" borderId="0" xfId="0" applyNumberFormat="1" applyFont="1" applyFill="1" applyBorder="1"/>
    <xf numFmtId="0" fontId="14" fillId="3" borderId="0" xfId="0" applyFont="1" applyFill="1" applyBorder="1" applyAlignment="1">
      <alignment horizontal="left"/>
    </xf>
    <xf numFmtId="0" fontId="20" fillId="3" borderId="0" xfId="3" applyFont="1" applyFill="1" applyBorder="1" applyAlignment="1">
      <alignment horizontal="left"/>
    </xf>
    <xf numFmtId="164" fontId="5" fillId="3" borderId="1" xfId="0" applyNumberFormat="1" applyFont="1" applyFill="1" applyBorder="1" applyAlignment="1">
      <alignment horizontal="left"/>
    </xf>
    <xf numFmtId="0" fontId="0" fillId="3" borderId="1" xfId="0" applyFill="1" applyBorder="1" applyAlignment="1">
      <alignment horizontal="center"/>
    </xf>
    <xf numFmtId="164" fontId="15" fillId="3" borderId="1" xfId="0" applyNumberFormat="1" applyFont="1" applyFill="1" applyBorder="1" applyAlignment="1">
      <alignment horizontal="left"/>
    </xf>
    <xf numFmtId="0" fontId="0" fillId="3" borderId="0" xfId="0" applyFill="1" applyAlignment="1">
      <alignment horizontal="left"/>
    </xf>
    <xf numFmtId="1" fontId="3" fillId="3" borderId="1" xfId="2" applyNumberFormat="1" applyFont="1" applyFill="1" applyBorder="1" applyAlignment="1">
      <alignment horizontal="left" vertical="center"/>
    </xf>
    <xf numFmtId="0" fontId="7" fillId="3" borderId="0" xfId="0" applyFont="1" applyFill="1" applyBorder="1" applyAlignment="1">
      <alignment vertical="top"/>
    </xf>
    <xf numFmtId="0" fontId="0" fillId="3" borderId="1" xfId="0" applyFill="1" applyBorder="1"/>
    <xf numFmtId="0" fontId="17" fillId="3" borderId="0" xfId="0" applyFont="1" applyFill="1" applyBorder="1" applyAlignment="1">
      <alignment horizontal="left"/>
    </xf>
    <xf numFmtId="1" fontId="3" fillId="3" borderId="1" xfId="0" applyNumberFormat="1" applyFont="1" applyFill="1" applyBorder="1" applyAlignment="1">
      <alignment horizontal="left"/>
    </xf>
    <xf numFmtId="1" fontId="3" fillId="3" borderId="1" xfId="2" applyNumberFormat="1" applyFont="1" applyFill="1" applyBorder="1" applyAlignment="1">
      <alignment horizontal="center"/>
    </xf>
    <xf numFmtId="1" fontId="3" fillId="3" borderId="1" xfId="0" applyNumberFormat="1" applyFont="1" applyFill="1" applyBorder="1" applyAlignment="1">
      <alignment horizontal="left" indent="2"/>
    </xf>
    <xf numFmtId="1" fontId="3" fillId="3" borderId="1" xfId="0" applyNumberFormat="1" applyFont="1" applyFill="1" applyBorder="1"/>
    <xf numFmtId="0" fontId="18" fillId="3" borderId="0" xfId="0" applyFont="1" applyFill="1" applyBorder="1" applyAlignment="1">
      <alignment horizontal="left"/>
    </xf>
    <xf numFmtId="0" fontId="0" fillId="3" borderId="1" xfId="0" applyFont="1" applyFill="1" applyBorder="1" applyAlignment="1">
      <alignment horizontal="center"/>
    </xf>
    <xf numFmtId="0" fontId="12" fillId="3" borderId="0" xfId="0" applyFont="1" applyFill="1" applyAlignment="1">
      <alignment horizontal="left"/>
    </xf>
    <xf numFmtId="0" fontId="11" fillId="3" borderId="0" xfId="0" applyFont="1" applyFill="1" applyBorder="1" applyAlignment="1">
      <alignment horizontal="left"/>
    </xf>
    <xf numFmtId="0" fontId="11" fillId="3" borderId="1" xfId="0" applyFont="1" applyFill="1" applyBorder="1" applyAlignment="1">
      <alignment horizontal="left"/>
    </xf>
    <xf numFmtId="0" fontId="11" fillId="3" borderId="1" xfId="0" applyFont="1" applyFill="1" applyBorder="1" applyAlignment="1">
      <alignment vertical="top"/>
    </xf>
    <xf numFmtId="0" fontId="19" fillId="3" borderId="0" xfId="0" applyFont="1" applyFill="1" applyBorder="1" applyAlignment="1">
      <alignment horizontal="left"/>
    </xf>
    <xf numFmtId="0" fontId="11" fillId="3" borderId="0" xfId="0" applyFont="1" applyFill="1" applyBorder="1" applyAlignment="1">
      <alignment horizontal="left" vertical="top"/>
    </xf>
    <xf numFmtId="0" fontId="0" fillId="3" borderId="0" xfId="0" applyFont="1" applyFill="1" applyBorder="1" applyAlignment="1">
      <alignment horizontal="left" vertical="top"/>
    </xf>
    <xf numFmtId="0" fontId="11" fillId="3" borderId="0" xfId="0" applyFont="1" applyFill="1" applyBorder="1" applyAlignment="1">
      <alignment horizontal="left" wrapText="1"/>
    </xf>
    <xf numFmtId="0" fontId="6" fillId="4" borderId="1" xfId="0" applyFont="1" applyFill="1" applyBorder="1" applyAlignment="1">
      <alignment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0" fontId="10" fillId="5" borderId="1" xfId="1" applyFont="1" applyFill="1" applyBorder="1" applyAlignment="1">
      <alignment horizontal="left"/>
    </xf>
    <xf numFmtId="0" fontId="10" fillId="5" borderId="1" xfId="1" applyFont="1" applyFill="1" applyBorder="1" applyAlignment="1">
      <alignment horizontal="center"/>
    </xf>
    <xf numFmtId="0" fontId="10" fillId="5" borderId="1" xfId="1" applyFont="1" applyFill="1" applyBorder="1"/>
    <xf numFmtId="0" fontId="14" fillId="3" borderId="0" xfId="0" applyFont="1" applyFill="1" applyBorder="1" applyAlignment="1">
      <alignment horizontal="center"/>
    </xf>
    <xf numFmtId="0" fontId="0" fillId="3" borderId="0" xfId="0" applyFont="1" applyFill="1" applyBorder="1" applyAlignment="1">
      <alignment horizontal="center"/>
    </xf>
    <xf numFmtId="0" fontId="16" fillId="3" borderId="0" xfId="3" applyFill="1" applyBorder="1" applyAlignment="1">
      <alignment horizontal="left"/>
    </xf>
    <xf numFmtId="0" fontId="0" fillId="3" borderId="0" xfId="0" applyFont="1" applyFill="1" applyBorder="1" applyAlignment="1">
      <alignment horizontal="center" vertical="top"/>
    </xf>
    <xf numFmtId="0" fontId="6" fillId="4" borderId="1" xfId="0" applyFont="1" applyFill="1" applyBorder="1" applyAlignment="1">
      <alignment vertical="center" wrapText="1"/>
    </xf>
    <xf numFmtId="0" fontId="6" fillId="4" borderId="1" xfId="0" applyFont="1" applyFill="1" applyBorder="1" applyAlignment="1">
      <alignment horizontal="left" vertical="center" wrapText="1"/>
    </xf>
    <xf numFmtId="0" fontId="11" fillId="3" borderId="0" xfId="0" applyFont="1" applyFill="1" applyBorder="1" applyAlignment="1">
      <alignment horizontal="left"/>
    </xf>
    <xf numFmtId="0" fontId="0" fillId="3" borderId="0" xfId="0" applyFont="1" applyFill="1" applyBorder="1" applyAlignment="1">
      <alignment horizontal="left" vertical="top" wrapText="1"/>
    </xf>
    <xf numFmtId="0" fontId="0" fillId="3" borderId="0" xfId="0" applyFont="1" applyFill="1" applyBorder="1" applyAlignment="1">
      <alignment horizontal="left" wrapText="1"/>
    </xf>
    <xf numFmtId="164" fontId="8" fillId="3" borderId="0" xfId="0" applyNumberFormat="1" applyFont="1" applyFill="1" applyBorder="1" applyAlignment="1">
      <alignment horizontal="left" vertical="top" wrapText="1"/>
    </xf>
    <xf numFmtId="164" fontId="5" fillId="3" borderId="0" xfId="0" applyNumberFormat="1" applyFont="1" applyFill="1" applyBorder="1" applyAlignment="1">
      <alignment horizontal="left" wrapText="1"/>
    </xf>
    <xf numFmtId="164" fontId="5" fillId="3" borderId="0" xfId="0" applyNumberFormat="1" applyFont="1" applyFill="1" applyBorder="1" applyAlignment="1">
      <alignment horizontal="left"/>
    </xf>
    <xf numFmtId="0" fontId="11" fillId="3" borderId="0" xfId="0" applyFont="1" applyFill="1" applyBorder="1" applyAlignment="1">
      <alignment horizontal="left"/>
    </xf>
    <xf numFmtId="0" fontId="11" fillId="3" borderId="0" xfId="0" applyFont="1" applyFill="1" applyBorder="1" applyAlignment="1">
      <alignment horizontal="left" vertical="top" wrapText="1"/>
    </xf>
    <xf numFmtId="0" fontId="11" fillId="3" borderId="0" xfId="0" applyFont="1" applyFill="1" applyBorder="1" applyAlignment="1">
      <alignment horizontal="left" vertical="top"/>
    </xf>
    <xf numFmtId="0" fontId="11" fillId="3" borderId="2" xfId="0" applyFont="1" applyFill="1" applyBorder="1" applyAlignment="1">
      <alignment vertical="top"/>
    </xf>
    <xf numFmtId="0" fontId="11" fillId="3" borderId="3" xfId="0" applyFont="1" applyFill="1" applyBorder="1" applyAlignment="1">
      <alignment vertical="top"/>
    </xf>
    <xf numFmtId="0" fontId="11" fillId="3" borderId="4" xfId="0" applyFont="1" applyFill="1" applyBorder="1" applyAlignment="1">
      <alignment vertical="top"/>
    </xf>
  </cellXfs>
  <cellStyles count="4">
    <cellStyle name="40% - Accent5" xfId="1" builtinId="47"/>
    <cellStyle name="Hyperlink" xfId="3" builtinId="8"/>
    <cellStyle name="Normal" xfId="0" builtinId="0"/>
    <cellStyle name="Normal 2" xfId="2" xr:uid="{C3842C41-FB5B-405D-A2C7-C3AE9BEED611}"/>
  </cellStyles>
  <dxfs count="1">
    <dxf>
      <font>
        <color rgb="FF9C0006"/>
      </font>
      <fill>
        <patternFill>
          <fgColor indexed="64"/>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B0D22-80D6-4759-962A-9489B3FF8E3C}">
  <sheetPr codeName="Sheet1"/>
  <dimension ref="B1:K18"/>
  <sheetViews>
    <sheetView tabSelected="1" zoomScale="110" zoomScaleNormal="110" workbookViewId="0"/>
  </sheetViews>
  <sheetFormatPr defaultColWidth="9.1796875" defaultRowHeight="12"/>
  <cols>
    <col min="1" max="1" width="9.1796875" style="7"/>
    <col min="2" max="2" width="11.81640625" style="7" customWidth="1"/>
    <col min="3" max="10" width="9.1796875" style="7"/>
    <col min="11" max="11" width="11.26953125" style="7" customWidth="1"/>
    <col min="12" max="16384" width="9.1796875" style="7"/>
  </cols>
  <sheetData>
    <row r="1" spans="2:3" ht="28">
      <c r="B1" s="17" t="s">
        <v>134</v>
      </c>
      <c r="C1" s="17"/>
    </row>
    <row r="2" spans="2:3">
      <c r="B2" s="7" t="s">
        <v>133</v>
      </c>
    </row>
    <row r="4" spans="2:3" ht="13">
      <c r="B4" s="53" t="s">
        <v>95</v>
      </c>
      <c r="C4" s="1" t="s">
        <v>96</v>
      </c>
    </row>
    <row r="5" spans="2:3" ht="15.75" customHeight="1">
      <c r="B5" s="54">
        <v>1</v>
      </c>
      <c r="C5" s="55" t="str">
        <f>'1. by Classification'!B1</f>
        <v>Table 1. The number of Ministry responses to traumatic incident events by Classification, 2014-2024</v>
      </c>
    </row>
    <row r="6" spans="2:3">
      <c r="B6" s="54">
        <v>2</v>
      </c>
      <c r="C6" s="55" t="str">
        <f>'2. by Facility Type'!B1</f>
        <v>Table 2. The number of Ministry responses to traumatic incident events by Facility Type, 2014-2024</v>
      </c>
    </row>
    <row r="7" spans="2:3">
      <c r="B7" s="54">
        <v>3</v>
      </c>
      <c r="C7" s="55" t="str">
        <f>'3. by Reporter Region'!B1</f>
        <v>Table 3. The number of Ministry responses to  traumatic incident events by Reporter Region, 2014-2024</v>
      </c>
    </row>
    <row r="8" spans="2:3">
      <c r="B8" s="54">
        <v>4</v>
      </c>
      <c r="C8" s="55" t="str">
        <f>'4. by Facility Region'!B1</f>
        <v>Table 4. The number of Ministry responses to  traumatic incident events by Facility Region, 2014-2024</v>
      </c>
    </row>
    <row r="9" spans="2:3">
      <c r="B9" s="54">
        <v>5</v>
      </c>
      <c r="C9" s="55" t="str">
        <f>'5. by Regional Council'!B1</f>
        <v>Table 5. The number of Ministry responses to traumatic incident events by Regional Council, 2014-2024</v>
      </c>
    </row>
    <row r="10" spans="2:3">
      <c r="B10" s="54">
        <v>6</v>
      </c>
      <c r="C10" s="55" t="str">
        <f>'6. by Territorial Authority'!B1</f>
        <v>Table 6. The number of Ministry responses to traumatic incident events by Territorial Authority/Local Board, 2014-2024</v>
      </c>
    </row>
    <row r="11" spans="2:3">
      <c r="B11" s="54">
        <v>7</v>
      </c>
      <c r="C11" s="55" t="str">
        <f>'7. by Peak Body'!B1</f>
        <v>Table 7. The number of Ministry responses to traumatic incident events by KME Peak Body, 2014-2024</v>
      </c>
    </row>
    <row r="12" spans="2:3">
      <c r="B12" s="54">
        <v>8</v>
      </c>
      <c r="C12" s="55" t="str">
        <f>'8. by EQI Band and Group'!B1</f>
        <v>Table 8. The number of Ministry responses to traumatic incident events by School Equity Index Bands and Groups, 2023-2024</v>
      </c>
    </row>
    <row r="16" spans="2:3">
      <c r="B16" s="23" t="s">
        <v>150</v>
      </c>
    </row>
    <row r="17" spans="2:11" ht="56.25" customHeight="1">
      <c r="B17" s="56">
        <v>1</v>
      </c>
      <c r="C17" s="60" t="s">
        <v>154</v>
      </c>
      <c r="D17" s="60"/>
      <c r="E17" s="60"/>
      <c r="F17" s="60"/>
      <c r="G17" s="60"/>
      <c r="H17" s="60"/>
      <c r="I17" s="60"/>
      <c r="J17" s="60"/>
      <c r="K17" s="60"/>
    </row>
    <row r="18" spans="2:11" ht="34.5" customHeight="1">
      <c r="B18" s="56">
        <v>2</v>
      </c>
      <c r="C18" s="60" t="s">
        <v>173</v>
      </c>
      <c r="D18" s="60"/>
      <c r="E18" s="60"/>
      <c r="F18" s="60"/>
      <c r="G18" s="60"/>
      <c r="H18" s="60"/>
      <c r="I18" s="60"/>
      <c r="J18" s="60"/>
      <c r="K18" s="60"/>
    </row>
  </sheetData>
  <mergeCells count="2">
    <mergeCell ref="C17:K17"/>
    <mergeCell ref="C18:K18"/>
  </mergeCells>
  <hyperlinks>
    <hyperlink ref="C5" location="'1. by Classification'!A1" display="'1. by Classification'!A1" xr:uid="{403091F6-2961-4026-8068-2D4142FEF77D}"/>
    <hyperlink ref="C6" location="'2. by Facility Type'!A1" display="'2. by Facility Type'!A1" xr:uid="{2974231A-1C14-41C4-9249-4A9608CCC3F8}"/>
    <hyperlink ref="C7" location="'3. by Education Area'!A1" display="'3. by Education Area'!A1" xr:uid="{010D2371-843F-4AE9-8F94-458BAD459925}"/>
    <hyperlink ref="C8" location="'4. by Facility Region'!A1" display="'4. by Facility Region'!A1" xr:uid="{E716E09D-8F38-4BBA-B702-DB2302F8694B}"/>
    <hyperlink ref="C9" location="'5. by Regional Council'!A1" display="'5. by Regional Council'!A1" xr:uid="{39F95DF2-59E7-4559-9A93-5AB9D78A8E45}"/>
    <hyperlink ref="C10" location="'6. by Territorial Authority'!A1" display="'6. by Territorial Authority'!A1" xr:uid="{C6A6F86F-2D6B-48B8-AC35-5052C44FAD0D}"/>
    <hyperlink ref="C11" location="'7. by Peak Body'!A1" display="'7. by Peak Body'!A1" xr:uid="{D7A54256-6A5E-4B7F-907D-AB618EB9ED0C}"/>
    <hyperlink ref="C12" location="'8. by EQI Band and Group'!A1" display="'8. by EQI Band and Group'!A1" xr:uid="{93F95CDB-8ABC-4D3C-B0E8-209C3EA1DB48}"/>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05BB7-D64C-409A-BFE1-DB988CEE56AE}">
  <sheetPr codeName="Sheet2"/>
  <dimension ref="A1:M22"/>
  <sheetViews>
    <sheetView zoomScaleNormal="100" workbookViewId="0">
      <selection activeCell="Q21" sqref="Q21"/>
    </sheetView>
  </sheetViews>
  <sheetFormatPr defaultColWidth="9.1796875" defaultRowHeight="12"/>
  <cols>
    <col min="1" max="1" width="8.54296875" style="7" customWidth="1"/>
    <col min="2" max="2" width="36.1796875" style="7" customWidth="1"/>
    <col min="3" max="14" width="9.1796875" style="7"/>
    <col min="15" max="15" width="20.26953125" style="7" bestFit="1" customWidth="1"/>
    <col min="16" max="16384" width="9.1796875" style="7"/>
  </cols>
  <sheetData>
    <row r="1" spans="1:13" ht="14">
      <c r="A1" s="24" t="str">
        <f>"Contents"</f>
        <v>Contents</v>
      </c>
      <c r="B1" s="2" t="s">
        <v>174</v>
      </c>
    </row>
    <row r="3" spans="1:13" ht="13">
      <c r="B3" s="48" t="s">
        <v>125</v>
      </c>
      <c r="C3" s="49">
        <v>2014</v>
      </c>
      <c r="D3" s="49">
        <v>2015</v>
      </c>
      <c r="E3" s="49">
        <v>2016</v>
      </c>
      <c r="F3" s="49">
        <v>2017</v>
      </c>
      <c r="G3" s="49">
        <v>2018</v>
      </c>
      <c r="H3" s="49">
        <v>2019</v>
      </c>
      <c r="I3" s="49">
        <v>2020</v>
      </c>
      <c r="J3" s="49">
        <v>2021</v>
      </c>
      <c r="K3" s="49">
        <v>2022</v>
      </c>
      <c r="L3" s="49">
        <v>2023</v>
      </c>
      <c r="M3" s="49">
        <v>2024</v>
      </c>
    </row>
    <row r="4" spans="1:13">
      <c r="B4" s="25" t="s">
        <v>142</v>
      </c>
      <c r="C4" s="26">
        <v>39</v>
      </c>
      <c r="D4" s="26">
        <v>34</v>
      </c>
      <c r="E4" s="26">
        <v>31</v>
      </c>
      <c r="F4" s="26">
        <v>24</v>
      </c>
      <c r="G4" s="26">
        <v>33</v>
      </c>
      <c r="H4" s="26">
        <v>28</v>
      </c>
      <c r="I4" s="26">
        <v>25</v>
      </c>
      <c r="J4" s="26">
        <v>21</v>
      </c>
      <c r="K4" s="26">
        <v>23</v>
      </c>
      <c r="L4" s="26">
        <v>22</v>
      </c>
      <c r="M4" s="26">
        <v>27</v>
      </c>
    </row>
    <row r="5" spans="1:13">
      <c r="B5" s="25" t="s">
        <v>143</v>
      </c>
      <c r="C5" s="26">
        <v>10</v>
      </c>
      <c r="D5" s="26">
        <v>18</v>
      </c>
      <c r="E5" s="26">
        <v>7</v>
      </c>
      <c r="F5" s="26">
        <v>18</v>
      </c>
      <c r="G5" s="26">
        <v>11</v>
      </c>
      <c r="H5" s="26">
        <v>11</v>
      </c>
      <c r="I5" s="26">
        <v>10</v>
      </c>
      <c r="J5" s="26">
        <v>8</v>
      </c>
      <c r="K5" s="26">
        <v>8</v>
      </c>
      <c r="L5" s="26">
        <v>11</v>
      </c>
      <c r="M5" s="26">
        <v>15</v>
      </c>
    </row>
    <row r="6" spans="1:13">
      <c r="B6" s="25" t="s">
        <v>105</v>
      </c>
      <c r="C6" s="26" t="s">
        <v>152</v>
      </c>
      <c r="D6" s="26" t="s">
        <v>152</v>
      </c>
      <c r="E6" s="26">
        <v>6</v>
      </c>
      <c r="F6" s="26" t="s">
        <v>152</v>
      </c>
      <c r="G6" s="26">
        <v>0</v>
      </c>
      <c r="H6" s="26">
        <v>0</v>
      </c>
      <c r="I6" s="26" t="s">
        <v>152</v>
      </c>
      <c r="J6" s="26" t="s">
        <v>152</v>
      </c>
      <c r="K6" s="26">
        <v>0</v>
      </c>
      <c r="L6" s="26" t="s">
        <v>152</v>
      </c>
      <c r="M6" s="26" t="s">
        <v>152</v>
      </c>
    </row>
    <row r="7" spans="1:13">
      <c r="B7" s="25" t="s">
        <v>167</v>
      </c>
      <c r="C7" s="26" t="s">
        <v>152</v>
      </c>
      <c r="D7" s="26">
        <v>8</v>
      </c>
      <c r="E7" s="26" t="s">
        <v>152</v>
      </c>
      <c r="F7" s="26" t="s">
        <v>152</v>
      </c>
      <c r="G7" s="26" t="s">
        <v>152</v>
      </c>
      <c r="H7" s="26" t="s">
        <v>152</v>
      </c>
      <c r="I7" s="26" t="s">
        <v>152</v>
      </c>
      <c r="J7" s="26" t="s">
        <v>152</v>
      </c>
      <c r="K7" s="26">
        <v>0</v>
      </c>
      <c r="L7" s="26">
        <v>0</v>
      </c>
      <c r="M7" s="26" t="s">
        <v>152</v>
      </c>
    </row>
    <row r="8" spans="1:13">
      <c r="B8" s="25" t="s">
        <v>144</v>
      </c>
      <c r="C8" s="26">
        <v>12</v>
      </c>
      <c r="D8" s="26">
        <v>13</v>
      </c>
      <c r="E8" s="26">
        <v>15</v>
      </c>
      <c r="F8" s="26">
        <v>23</v>
      </c>
      <c r="G8" s="26">
        <v>18</v>
      </c>
      <c r="H8" s="26">
        <v>12</v>
      </c>
      <c r="I8" s="26">
        <v>16</v>
      </c>
      <c r="J8" s="26">
        <v>15</v>
      </c>
      <c r="K8" s="26">
        <v>12</v>
      </c>
      <c r="L8" s="26">
        <v>16</v>
      </c>
      <c r="M8" s="26">
        <v>10</v>
      </c>
    </row>
    <row r="9" spans="1:13">
      <c r="B9" s="25" t="s">
        <v>145</v>
      </c>
      <c r="C9" s="26">
        <v>36</v>
      </c>
      <c r="D9" s="26" t="s">
        <v>152</v>
      </c>
      <c r="E9" s="26" t="s">
        <v>152</v>
      </c>
      <c r="F9" s="26" t="s">
        <v>152</v>
      </c>
      <c r="G9" s="26" t="s">
        <v>152</v>
      </c>
      <c r="H9" s="26">
        <v>6</v>
      </c>
      <c r="I9" s="26">
        <v>0</v>
      </c>
      <c r="J9" s="26">
        <v>5</v>
      </c>
      <c r="K9" s="26">
        <v>8</v>
      </c>
      <c r="L9" s="26" t="s">
        <v>152</v>
      </c>
      <c r="M9" s="26" t="s">
        <v>152</v>
      </c>
    </row>
    <row r="10" spans="1:13">
      <c r="B10" s="25" t="s">
        <v>146</v>
      </c>
      <c r="C10" s="26">
        <v>21</v>
      </c>
      <c r="D10" s="26">
        <v>28</v>
      </c>
      <c r="E10" s="26">
        <v>13</v>
      </c>
      <c r="F10" s="26">
        <v>11</v>
      </c>
      <c r="G10" s="26">
        <v>5</v>
      </c>
      <c r="H10" s="26">
        <v>8</v>
      </c>
      <c r="I10" s="26">
        <v>13</v>
      </c>
      <c r="J10" s="26">
        <v>10</v>
      </c>
      <c r="K10" s="26" t="s">
        <v>152</v>
      </c>
      <c r="L10" s="26">
        <v>11</v>
      </c>
      <c r="M10" s="26">
        <v>6</v>
      </c>
    </row>
    <row r="11" spans="1:13">
      <c r="B11" s="25" t="s">
        <v>147</v>
      </c>
      <c r="C11" s="26">
        <v>49</v>
      </c>
      <c r="D11" s="26">
        <v>69</v>
      </c>
      <c r="E11" s="26">
        <v>64</v>
      </c>
      <c r="F11" s="26">
        <v>85</v>
      </c>
      <c r="G11" s="26">
        <v>107</v>
      </c>
      <c r="H11" s="26">
        <v>84</v>
      </c>
      <c r="I11" s="26">
        <v>72</v>
      </c>
      <c r="J11" s="26">
        <v>92</v>
      </c>
      <c r="K11" s="26">
        <v>89</v>
      </c>
      <c r="L11" s="26">
        <v>56</v>
      </c>
      <c r="M11" s="26">
        <v>83</v>
      </c>
    </row>
    <row r="12" spans="1:13">
      <c r="B12" s="27" t="s">
        <v>151</v>
      </c>
      <c r="C12" s="26" t="s">
        <v>152</v>
      </c>
      <c r="D12" s="26">
        <v>7</v>
      </c>
      <c r="E12" s="26" t="s">
        <v>152</v>
      </c>
      <c r="F12" s="26" t="s">
        <v>152</v>
      </c>
      <c r="G12" s="26" t="s">
        <v>152</v>
      </c>
      <c r="H12" s="26">
        <v>7</v>
      </c>
      <c r="I12" s="26">
        <v>8</v>
      </c>
      <c r="J12" s="26">
        <v>11</v>
      </c>
      <c r="K12" s="26" t="s">
        <v>152</v>
      </c>
      <c r="L12" s="26">
        <v>15</v>
      </c>
      <c r="M12" s="26" t="s">
        <v>152</v>
      </c>
    </row>
    <row r="13" spans="1:13">
      <c r="B13" s="25" t="s">
        <v>148</v>
      </c>
      <c r="C13" s="26" t="s">
        <v>152</v>
      </c>
      <c r="D13" s="26">
        <v>6</v>
      </c>
      <c r="E13" s="26">
        <v>9</v>
      </c>
      <c r="F13" s="26">
        <v>8</v>
      </c>
      <c r="G13" s="26" t="s">
        <v>152</v>
      </c>
      <c r="H13" s="26" t="s">
        <v>152</v>
      </c>
      <c r="I13" s="26" t="s">
        <v>152</v>
      </c>
      <c r="J13" s="26">
        <v>7</v>
      </c>
      <c r="K13" s="26">
        <v>9</v>
      </c>
      <c r="L13" s="26">
        <v>13</v>
      </c>
      <c r="M13" s="26" t="s">
        <v>152</v>
      </c>
    </row>
    <row r="14" spans="1:13">
      <c r="B14" s="25" t="s">
        <v>149</v>
      </c>
      <c r="C14" s="26">
        <v>18</v>
      </c>
      <c r="D14" s="26">
        <v>18</v>
      </c>
      <c r="E14" s="26">
        <v>40</v>
      </c>
      <c r="F14" s="26">
        <v>33</v>
      </c>
      <c r="G14" s="26">
        <v>45</v>
      </c>
      <c r="H14" s="26">
        <v>48</v>
      </c>
      <c r="I14" s="26">
        <v>30</v>
      </c>
      <c r="J14" s="26">
        <v>33</v>
      </c>
      <c r="K14" s="26">
        <v>25</v>
      </c>
      <c r="L14" s="26">
        <v>24</v>
      </c>
      <c r="M14" s="26">
        <v>32</v>
      </c>
    </row>
    <row r="15" spans="1:13" ht="13">
      <c r="B15" s="50" t="s">
        <v>92</v>
      </c>
      <c r="C15" s="51">
        <v>199</v>
      </c>
      <c r="D15" s="51">
        <v>205</v>
      </c>
      <c r="E15" s="51">
        <v>194</v>
      </c>
      <c r="F15" s="51">
        <v>213</v>
      </c>
      <c r="G15" s="51">
        <v>229</v>
      </c>
      <c r="H15" s="51">
        <v>212</v>
      </c>
      <c r="I15" s="51">
        <v>180</v>
      </c>
      <c r="J15" s="51">
        <v>205</v>
      </c>
      <c r="K15" s="51">
        <v>184</v>
      </c>
      <c r="L15" s="51">
        <v>175</v>
      </c>
      <c r="M15" s="51">
        <v>189</v>
      </c>
    </row>
    <row r="18" spans="2:12">
      <c r="B18" s="23" t="s">
        <v>141</v>
      </c>
    </row>
    <row r="19" spans="2:12">
      <c r="B19" s="7" t="s">
        <v>159</v>
      </c>
    </row>
    <row r="20" spans="2:12">
      <c r="B20" s="28" t="s">
        <v>166</v>
      </c>
    </row>
    <row r="21" spans="2:12" ht="38.15" customHeight="1">
      <c r="B21" s="61" t="s">
        <v>168</v>
      </c>
      <c r="C21" s="61"/>
      <c r="D21" s="61"/>
      <c r="E21" s="61"/>
      <c r="F21" s="61"/>
      <c r="G21" s="61"/>
      <c r="H21" s="61"/>
      <c r="I21" s="61"/>
      <c r="J21" s="61"/>
      <c r="K21" s="61"/>
      <c r="L21" s="61"/>
    </row>
    <row r="22" spans="2:12" ht="37" customHeight="1">
      <c r="B22" s="61" t="s">
        <v>169</v>
      </c>
      <c r="C22" s="61"/>
      <c r="D22" s="61"/>
      <c r="E22" s="61"/>
      <c r="F22" s="61"/>
      <c r="G22" s="61"/>
      <c r="H22" s="61"/>
      <c r="I22" s="61"/>
      <c r="J22" s="61"/>
      <c r="K22" s="61"/>
      <c r="L22" s="61"/>
    </row>
  </sheetData>
  <mergeCells count="2">
    <mergeCell ref="B21:L21"/>
    <mergeCell ref="B22:L22"/>
  </mergeCells>
  <hyperlinks>
    <hyperlink ref="A1" location="Contents!A1" display="Contents!A1" xr:uid="{8202B708-4581-4443-A793-B07BA3B207D8}"/>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D249D-3524-4074-B481-691709DDE59C}">
  <sheetPr codeName="Sheet3"/>
  <dimension ref="A1:M13"/>
  <sheetViews>
    <sheetView zoomScaleNormal="100" workbookViewId="0">
      <selection activeCell="F22" sqref="F22"/>
    </sheetView>
  </sheetViews>
  <sheetFormatPr defaultColWidth="9.1796875" defaultRowHeight="12"/>
  <cols>
    <col min="1" max="1" width="9.1796875" style="7"/>
    <col min="2" max="2" width="22.1796875" style="7" customWidth="1"/>
    <col min="3" max="16384" width="9.1796875" style="7"/>
  </cols>
  <sheetData>
    <row r="1" spans="1:13" ht="14">
      <c r="A1" s="24" t="str">
        <f>"Contents"</f>
        <v>Contents</v>
      </c>
      <c r="B1" s="2" t="s">
        <v>175</v>
      </c>
    </row>
    <row r="3" spans="1:13" ht="13">
      <c r="B3" s="48" t="s">
        <v>126</v>
      </c>
      <c r="C3" s="49">
        <v>2014</v>
      </c>
      <c r="D3" s="49">
        <v>2015</v>
      </c>
      <c r="E3" s="49">
        <v>2016</v>
      </c>
      <c r="F3" s="49">
        <v>2017</v>
      </c>
      <c r="G3" s="49">
        <v>2018</v>
      </c>
      <c r="H3" s="49">
        <v>2019</v>
      </c>
      <c r="I3" s="49">
        <v>2020</v>
      </c>
      <c r="J3" s="49">
        <v>2021</v>
      </c>
      <c r="K3" s="49">
        <v>2022</v>
      </c>
      <c r="L3" s="49">
        <v>2023</v>
      </c>
      <c r="M3" s="49">
        <v>2024</v>
      </c>
    </row>
    <row r="4" spans="1:13" ht="12.5">
      <c r="B4" s="29" t="s">
        <v>107</v>
      </c>
      <c r="C4" s="18">
        <v>41</v>
      </c>
      <c r="D4" s="18">
        <v>22</v>
      </c>
      <c r="E4" s="18">
        <v>18</v>
      </c>
      <c r="F4" s="18">
        <v>20</v>
      </c>
      <c r="G4" s="18">
        <v>24</v>
      </c>
      <c r="H4" s="18">
        <v>30</v>
      </c>
      <c r="I4" s="18">
        <v>18</v>
      </c>
      <c r="J4" s="18">
        <v>24</v>
      </c>
      <c r="K4" s="18">
        <v>26</v>
      </c>
      <c r="L4" s="18">
        <v>20</v>
      </c>
      <c r="M4" s="18">
        <v>26</v>
      </c>
    </row>
    <row r="5" spans="1:13" ht="12.5">
      <c r="B5" s="29" t="s">
        <v>108</v>
      </c>
      <c r="C5" s="18">
        <v>103</v>
      </c>
      <c r="D5" s="18">
        <v>110</v>
      </c>
      <c r="E5" s="18">
        <v>101</v>
      </c>
      <c r="F5" s="18">
        <v>107</v>
      </c>
      <c r="G5" s="18">
        <v>110</v>
      </c>
      <c r="H5" s="18">
        <v>112</v>
      </c>
      <c r="I5" s="18">
        <v>90</v>
      </c>
      <c r="J5" s="18">
        <v>96</v>
      </c>
      <c r="K5" s="18">
        <v>109</v>
      </c>
      <c r="L5" s="18">
        <v>100</v>
      </c>
      <c r="M5" s="18">
        <v>101</v>
      </c>
    </row>
    <row r="6" spans="1:13" ht="12.5">
      <c r="B6" s="29" t="s">
        <v>109</v>
      </c>
      <c r="C6" s="18">
        <v>45</v>
      </c>
      <c r="D6" s="18">
        <v>63</v>
      </c>
      <c r="E6" s="18">
        <v>52</v>
      </c>
      <c r="F6" s="18">
        <v>67</v>
      </c>
      <c r="G6" s="18">
        <v>78</v>
      </c>
      <c r="H6" s="18">
        <v>57</v>
      </c>
      <c r="I6" s="18">
        <v>58</v>
      </c>
      <c r="J6" s="18">
        <v>68</v>
      </c>
      <c r="K6" s="18">
        <v>36</v>
      </c>
      <c r="L6" s="18">
        <v>40</v>
      </c>
      <c r="M6" s="18">
        <v>44</v>
      </c>
    </row>
    <row r="7" spans="1:13" ht="12.5">
      <c r="B7" s="29" t="s">
        <v>110</v>
      </c>
      <c r="C7" s="18">
        <v>7</v>
      </c>
      <c r="D7" s="18">
        <v>7</v>
      </c>
      <c r="E7" s="18">
        <v>19</v>
      </c>
      <c r="F7" s="18">
        <v>15</v>
      </c>
      <c r="G7" s="18">
        <v>11</v>
      </c>
      <c r="H7" s="18">
        <v>8</v>
      </c>
      <c r="I7" s="18">
        <v>11</v>
      </c>
      <c r="J7" s="18">
        <v>14</v>
      </c>
      <c r="K7" s="18">
        <v>11</v>
      </c>
      <c r="L7" s="18">
        <v>8</v>
      </c>
      <c r="M7" s="18">
        <v>12</v>
      </c>
    </row>
    <row r="8" spans="1:13" ht="12.5">
      <c r="B8" s="29" t="s">
        <v>106</v>
      </c>
      <c r="C8" s="18">
        <v>3</v>
      </c>
      <c r="D8" s="18">
        <v>3</v>
      </c>
      <c r="E8" s="18">
        <v>4</v>
      </c>
      <c r="F8" s="18">
        <v>4</v>
      </c>
      <c r="G8" s="18">
        <v>6</v>
      </c>
      <c r="H8" s="18">
        <v>5</v>
      </c>
      <c r="I8" s="18">
        <v>3</v>
      </c>
      <c r="J8" s="18">
        <v>3</v>
      </c>
      <c r="K8" s="18">
        <v>2</v>
      </c>
      <c r="L8" s="18">
        <v>7</v>
      </c>
      <c r="M8" s="18">
        <v>6</v>
      </c>
    </row>
    <row r="9" spans="1:13" ht="13">
      <c r="B9" s="50" t="s">
        <v>92</v>
      </c>
      <c r="C9" s="51">
        <v>199</v>
      </c>
      <c r="D9" s="51">
        <v>205</v>
      </c>
      <c r="E9" s="51">
        <v>194</v>
      </c>
      <c r="F9" s="51">
        <v>213</v>
      </c>
      <c r="G9" s="51">
        <v>229</v>
      </c>
      <c r="H9" s="51">
        <v>212</v>
      </c>
      <c r="I9" s="51">
        <v>180</v>
      </c>
      <c r="J9" s="51">
        <v>205</v>
      </c>
      <c r="K9" s="51">
        <v>184</v>
      </c>
      <c r="L9" s="51">
        <v>175</v>
      </c>
      <c r="M9" s="51">
        <v>189</v>
      </c>
    </row>
    <row r="12" spans="1:13">
      <c r="B12" s="23" t="s">
        <v>93</v>
      </c>
    </row>
    <row r="13" spans="1:13" ht="105" customHeight="1">
      <c r="B13" s="60" t="s">
        <v>181</v>
      </c>
      <c r="C13" s="60"/>
      <c r="D13" s="60"/>
      <c r="E13" s="60"/>
      <c r="F13" s="60"/>
      <c r="G13" s="60"/>
      <c r="H13" s="60"/>
      <c r="I13" s="60"/>
      <c r="J13" s="60"/>
      <c r="K13" s="60"/>
      <c r="L13" s="60"/>
    </row>
  </sheetData>
  <mergeCells count="1">
    <mergeCell ref="B13:L13"/>
  </mergeCells>
  <hyperlinks>
    <hyperlink ref="A1" location="Contents!A1" display="Contents!A1" xr:uid="{9627E8B6-EF2A-4B34-BB29-1487E06E9B0F}"/>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538B0-3AFD-41FC-A8CB-DF522A3E71A3}">
  <sheetPr codeName="Sheet4"/>
  <dimension ref="A1:Z35"/>
  <sheetViews>
    <sheetView zoomScaleNormal="100" workbookViewId="0">
      <selection activeCell="G26" sqref="G26"/>
    </sheetView>
  </sheetViews>
  <sheetFormatPr defaultColWidth="9.1796875" defaultRowHeight="12"/>
  <cols>
    <col min="1" max="1" width="9.1796875" style="4"/>
    <col min="2" max="2" width="30.26953125" style="4" customWidth="1"/>
    <col min="3" max="16384" width="9.1796875" style="4"/>
  </cols>
  <sheetData>
    <row r="1" spans="1:16" ht="13.5" customHeight="1">
      <c r="A1" s="24" t="str">
        <f>"Contents"</f>
        <v>Contents</v>
      </c>
      <c r="B1" s="2" t="s">
        <v>176</v>
      </c>
      <c r="C1" s="3"/>
      <c r="D1" s="3"/>
      <c r="E1" s="3"/>
    </row>
    <row r="3" spans="1:16" ht="12.75" customHeight="1">
      <c r="B3" s="47" t="s">
        <v>160</v>
      </c>
      <c r="C3" s="49">
        <v>2014</v>
      </c>
      <c r="D3" s="49">
        <v>2015</v>
      </c>
      <c r="E3" s="49">
        <v>2016</v>
      </c>
      <c r="F3" s="49">
        <v>2017</v>
      </c>
      <c r="G3" s="49">
        <v>2018</v>
      </c>
      <c r="H3" s="49">
        <v>2019</v>
      </c>
      <c r="I3" s="49">
        <v>2020</v>
      </c>
      <c r="J3" s="49">
        <v>2021</v>
      </c>
      <c r="K3" s="49">
        <v>2022</v>
      </c>
      <c r="L3" s="49">
        <v>2023</v>
      </c>
      <c r="M3" s="49">
        <v>2024</v>
      </c>
      <c r="N3" s="8"/>
      <c r="O3" s="8"/>
      <c r="P3" s="8"/>
    </row>
    <row r="4" spans="1:16" ht="12.5">
      <c r="B4" s="9" t="s">
        <v>88</v>
      </c>
      <c r="C4" s="18">
        <v>12</v>
      </c>
      <c r="D4" s="19">
        <v>9</v>
      </c>
      <c r="E4" s="19">
        <v>15</v>
      </c>
      <c r="F4" s="19">
        <v>9</v>
      </c>
      <c r="G4" s="19">
        <v>7</v>
      </c>
      <c r="H4" s="19">
        <v>7</v>
      </c>
      <c r="I4" s="19">
        <v>8</v>
      </c>
      <c r="J4" s="19">
        <v>2</v>
      </c>
      <c r="K4" s="19">
        <v>0</v>
      </c>
      <c r="L4" s="19">
        <v>0</v>
      </c>
      <c r="M4" s="19">
        <v>0</v>
      </c>
      <c r="N4" s="8"/>
      <c r="O4" s="8"/>
      <c r="P4" s="8"/>
    </row>
    <row r="5" spans="1:16" ht="12.5">
      <c r="B5" s="9" t="s">
        <v>103</v>
      </c>
      <c r="C5" s="18">
        <v>0</v>
      </c>
      <c r="D5" s="19">
        <v>0</v>
      </c>
      <c r="E5" s="19">
        <v>0</v>
      </c>
      <c r="F5" s="19">
        <v>0</v>
      </c>
      <c r="G5" s="19">
        <v>0</v>
      </c>
      <c r="H5" s="19">
        <v>0</v>
      </c>
      <c r="I5" s="19">
        <v>0</v>
      </c>
      <c r="J5" s="19">
        <v>29</v>
      </c>
      <c r="K5" s="19">
        <v>24</v>
      </c>
      <c r="L5" s="19">
        <v>25</v>
      </c>
      <c r="M5" s="19">
        <v>27</v>
      </c>
      <c r="N5" s="8"/>
      <c r="O5" s="8"/>
      <c r="P5" s="8"/>
    </row>
    <row r="6" spans="1:16" ht="12.5">
      <c r="B6" s="9" t="s">
        <v>102</v>
      </c>
      <c r="C6" s="18">
        <v>0</v>
      </c>
      <c r="D6" s="19">
        <v>0</v>
      </c>
      <c r="E6" s="19">
        <v>0</v>
      </c>
      <c r="F6" s="19">
        <v>0</v>
      </c>
      <c r="G6" s="19">
        <v>0</v>
      </c>
      <c r="H6" s="19">
        <v>0</v>
      </c>
      <c r="I6" s="19">
        <v>0</v>
      </c>
      <c r="J6" s="19">
        <v>17</v>
      </c>
      <c r="K6" s="19">
        <v>8</v>
      </c>
      <c r="L6" s="19">
        <v>25</v>
      </c>
      <c r="M6" s="19">
        <v>31</v>
      </c>
      <c r="N6" s="8"/>
      <c r="O6" s="8"/>
      <c r="P6" s="8"/>
    </row>
    <row r="7" spans="1:16" ht="12.5">
      <c r="B7" s="9" t="s">
        <v>104</v>
      </c>
      <c r="C7" s="18">
        <v>0</v>
      </c>
      <c r="D7" s="19">
        <v>0</v>
      </c>
      <c r="E7" s="19">
        <v>0</v>
      </c>
      <c r="F7" s="19">
        <v>0</v>
      </c>
      <c r="G7" s="19">
        <v>0</v>
      </c>
      <c r="H7" s="19">
        <v>0</v>
      </c>
      <c r="I7" s="19">
        <v>0</v>
      </c>
      <c r="J7" s="19">
        <v>16</v>
      </c>
      <c r="K7" s="19">
        <v>24</v>
      </c>
      <c r="L7" s="19">
        <v>6</v>
      </c>
      <c r="M7" s="19">
        <v>12</v>
      </c>
      <c r="N7" s="8"/>
      <c r="O7" s="8"/>
      <c r="P7" s="8"/>
    </row>
    <row r="8" spans="1:16" ht="12.5">
      <c r="B8" s="9" t="s">
        <v>89</v>
      </c>
      <c r="C8" s="18">
        <v>46</v>
      </c>
      <c r="D8" s="19">
        <v>50</v>
      </c>
      <c r="E8" s="19">
        <v>61</v>
      </c>
      <c r="F8" s="19">
        <v>92</v>
      </c>
      <c r="G8" s="19">
        <v>90</v>
      </c>
      <c r="H8" s="19">
        <v>52</v>
      </c>
      <c r="I8" s="19">
        <v>50</v>
      </c>
      <c r="J8" s="19">
        <v>0</v>
      </c>
      <c r="K8" s="19">
        <v>0</v>
      </c>
      <c r="L8" s="19">
        <v>0</v>
      </c>
      <c r="M8" s="19">
        <v>0</v>
      </c>
      <c r="N8" s="8"/>
      <c r="O8" s="8"/>
      <c r="P8" s="8"/>
    </row>
    <row r="9" spans="1:16" ht="12.5">
      <c r="B9" s="9" t="s">
        <v>90</v>
      </c>
      <c r="C9" s="18">
        <v>16</v>
      </c>
      <c r="D9" s="19">
        <v>15</v>
      </c>
      <c r="E9" s="19">
        <v>11</v>
      </c>
      <c r="F9" s="19">
        <v>23</v>
      </c>
      <c r="G9" s="19">
        <v>24</v>
      </c>
      <c r="H9" s="19">
        <v>33</v>
      </c>
      <c r="I9" s="19">
        <v>22</v>
      </c>
      <c r="J9" s="19">
        <v>11</v>
      </c>
      <c r="K9" s="19">
        <v>18</v>
      </c>
      <c r="L9" s="19">
        <v>13</v>
      </c>
      <c r="M9" s="19">
        <v>16</v>
      </c>
      <c r="N9" s="8"/>
      <c r="O9" s="8"/>
      <c r="P9" s="8"/>
    </row>
    <row r="10" spans="1:16" ht="12.5">
      <c r="B10" s="9" t="s">
        <v>98</v>
      </c>
      <c r="C10" s="18">
        <v>13</v>
      </c>
      <c r="D10" s="19">
        <v>32</v>
      </c>
      <c r="E10" s="19">
        <v>26</v>
      </c>
      <c r="F10" s="19">
        <v>20</v>
      </c>
      <c r="G10" s="19">
        <v>20</v>
      </c>
      <c r="H10" s="19">
        <v>15</v>
      </c>
      <c r="I10" s="19">
        <v>14</v>
      </c>
      <c r="J10" s="19">
        <v>16</v>
      </c>
      <c r="K10" s="19">
        <v>27</v>
      </c>
      <c r="L10" s="19">
        <v>15</v>
      </c>
      <c r="M10" s="19">
        <v>8</v>
      </c>
      <c r="N10" s="8"/>
      <c r="O10" s="8"/>
      <c r="P10" s="8"/>
    </row>
    <row r="11" spans="1:16" ht="12.5">
      <c r="B11" s="9" t="s">
        <v>164</v>
      </c>
      <c r="C11" s="18">
        <v>10</v>
      </c>
      <c r="D11" s="19">
        <v>9</v>
      </c>
      <c r="E11" s="19">
        <v>12</v>
      </c>
      <c r="F11" s="19">
        <v>22</v>
      </c>
      <c r="G11" s="19">
        <v>11</v>
      </c>
      <c r="H11" s="19">
        <v>6</v>
      </c>
      <c r="I11" s="19">
        <v>9</v>
      </c>
      <c r="J11" s="19">
        <v>10</v>
      </c>
      <c r="K11" s="19">
        <v>3</v>
      </c>
      <c r="L11" s="19">
        <v>3</v>
      </c>
      <c r="M11" s="19">
        <v>9</v>
      </c>
      <c r="N11" s="8"/>
      <c r="O11" s="8"/>
      <c r="P11" s="8"/>
    </row>
    <row r="12" spans="1:16" ht="12.5">
      <c r="B12" s="9" t="s">
        <v>165</v>
      </c>
      <c r="C12" s="18">
        <v>17</v>
      </c>
      <c r="D12" s="19">
        <v>23</v>
      </c>
      <c r="E12" s="19">
        <v>11</v>
      </c>
      <c r="F12" s="19">
        <v>10</v>
      </c>
      <c r="G12" s="19">
        <v>12</v>
      </c>
      <c r="H12" s="19">
        <v>16</v>
      </c>
      <c r="I12" s="19">
        <v>19</v>
      </c>
      <c r="J12" s="19">
        <v>19</v>
      </c>
      <c r="K12" s="19">
        <v>13</v>
      </c>
      <c r="L12" s="19">
        <v>14</v>
      </c>
      <c r="M12" s="19">
        <v>19</v>
      </c>
      <c r="N12" s="8"/>
      <c r="O12" s="8"/>
      <c r="P12" s="8"/>
    </row>
    <row r="13" spans="1:16" ht="12.5">
      <c r="B13" s="9" t="s">
        <v>91</v>
      </c>
      <c r="C13" s="18">
        <v>13</v>
      </c>
      <c r="D13" s="19">
        <v>28</v>
      </c>
      <c r="E13" s="19">
        <v>15</v>
      </c>
      <c r="F13" s="19">
        <v>3</v>
      </c>
      <c r="G13" s="19">
        <v>13</v>
      </c>
      <c r="H13" s="19">
        <v>7</v>
      </c>
      <c r="I13" s="19">
        <v>13</v>
      </c>
      <c r="J13" s="19">
        <v>36</v>
      </c>
      <c r="K13" s="19">
        <v>22</v>
      </c>
      <c r="L13" s="19">
        <v>23</v>
      </c>
      <c r="M13" s="19">
        <v>25</v>
      </c>
      <c r="N13" s="8"/>
      <c r="O13" s="8"/>
      <c r="P13" s="8"/>
    </row>
    <row r="14" spans="1:16" ht="12.5">
      <c r="B14" s="9" t="s">
        <v>99</v>
      </c>
      <c r="C14" s="18">
        <v>1</v>
      </c>
      <c r="D14" s="19">
        <v>4</v>
      </c>
      <c r="E14" s="19">
        <v>10</v>
      </c>
      <c r="F14" s="19">
        <v>4</v>
      </c>
      <c r="G14" s="19">
        <v>3</v>
      </c>
      <c r="H14" s="19">
        <v>4</v>
      </c>
      <c r="I14" s="19">
        <v>2</v>
      </c>
      <c r="J14" s="19">
        <v>6</v>
      </c>
      <c r="K14" s="19">
        <v>9</v>
      </c>
      <c r="L14" s="19">
        <v>5</v>
      </c>
      <c r="M14" s="19">
        <v>4</v>
      </c>
      <c r="N14" s="8"/>
      <c r="O14" s="8"/>
      <c r="P14" s="8"/>
    </row>
    <row r="15" spans="1:16" ht="12.5">
      <c r="B15" s="9" t="s">
        <v>100</v>
      </c>
      <c r="C15" s="18">
        <v>46</v>
      </c>
      <c r="D15" s="19">
        <v>23</v>
      </c>
      <c r="E15" s="19">
        <v>11</v>
      </c>
      <c r="F15" s="19">
        <v>15</v>
      </c>
      <c r="G15" s="19">
        <v>31</v>
      </c>
      <c r="H15" s="19">
        <v>52</v>
      </c>
      <c r="I15" s="19">
        <v>31</v>
      </c>
      <c r="J15" s="19">
        <v>29</v>
      </c>
      <c r="K15" s="19">
        <v>19</v>
      </c>
      <c r="L15" s="19">
        <v>44</v>
      </c>
      <c r="M15" s="19">
        <v>21</v>
      </c>
      <c r="N15" s="8"/>
      <c r="O15" s="8"/>
      <c r="P15" s="8"/>
    </row>
    <row r="16" spans="1:16" ht="12.5">
      <c r="B16" s="9" t="s">
        <v>101</v>
      </c>
      <c r="C16" s="18">
        <v>25</v>
      </c>
      <c r="D16" s="19">
        <v>12</v>
      </c>
      <c r="E16" s="19">
        <v>22</v>
      </c>
      <c r="F16" s="19">
        <v>15</v>
      </c>
      <c r="G16" s="19">
        <v>18</v>
      </c>
      <c r="H16" s="19">
        <v>20</v>
      </c>
      <c r="I16" s="19">
        <v>12</v>
      </c>
      <c r="J16" s="19">
        <v>14</v>
      </c>
      <c r="K16" s="19">
        <v>17</v>
      </c>
      <c r="L16" s="19">
        <v>2</v>
      </c>
      <c r="M16" s="19">
        <v>17</v>
      </c>
      <c r="N16" s="8"/>
      <c r="O16" s="8"/>
      <c r="P16" s="8"/>
    </row>
    <row r="17" spans="2:26" ht="13">
      <c r="B17" s="52" t="s">
        <v>92</v>
      </c>
      <c r="C17" s="51">
        <v>199</v>
      </c>
      <c r="D17" s="51">
        <v>205</v>
      </c>
      <c r="E17" s="51">
        <v>194</v>
      </c>
      <c r="F17" s="51">
        <v>213</v>
      </c>
      <c r="G17" s="51">
        <v>229</v>
      </c>
      <c r="H17" s="51">
        <v>212</v>
      </c>
      <c r="I17" s="51">
        <v>180</v>
      </c>
      <c r="J17" s="51">
        <v>205</v>
      </c>
      <c r="K17" s="51">
        <v>184</v>
      </c>
      <c r="L17" s="51">
        <v>175</v>
      </c>
      <c r="M17" s="51">
        <v>189</v>
      </c>
      <c r="N17" s="8"/>
      <c r="O17" s="8"/>
      <c r="P17" s="8"/>
    </row>
    <row r="18" spans="2:26" ht="12.5">
      <c r="B18" s="10"/>
      <c r="C18" s="11"/>
      <c r="D18" s="11"/>
      <c r="E18" s="12"/>
      <c r="F18" s="12"/>
      <c r="G18" s="12"/>
      <c r="H18" s="12"/>
      <c r="I18" s="12"/>
      <c r="J18" s="12"/>
      <c r="K18" s="12"/>
      <c r="L18" s="12"/>
      <c r="M18" s="8"/>
      <c r="N18" s="8"/>
      <c r="O18" s="8"/>
      <c r="P18" s="8"/>
      <c r="Q18" s="8"/>
      <c r="R18" s="8"/>
      <c r="S18" s="8"/>
      <c r="T18" s="8"/>
      <c r="U18" s="8"/>
      <c r="V18" s="8"/>
      <c r="W18" s="8"/>
      <c r="X18" s="8"/>
      <c r="Y18" s="8"/>
      <c r="Z18" s="8"/>
    </row>
    <row r="19" spans="2:26" ht="13">
      <c r="B19" s="21" t="s">
        <v>93</v>
      </c>
      <c r="C19" s="14"/>
      <c r="D19" s="10"/>
      <c r="E19" s="8"/>
      <c r="F19" s="8"/>
      <c r="G19" s="8"/>
      <c r="H19" s="8"/>
      <c r="I19" s="8"/>
      <c r="J19" s="8"/>
      <c r="K19" s="8"/>
      <c r="L19" s="8"/>
      <c r="M19" s="8"/>
      <c r="N19" s="8"/>
      <c r="O19" s="8"/>
      <c r="P19" s="8"/>
      <c r="Q19" s="8"/>
      <c r="R19" s="8"/>
      <c r="S19" s="8"/>
      <c r="T19" s="8"/>
      <c r="U19" s="8"/>
      <c r="V19" s="8"/>
      <c r="W19" s="8"/>
      <c r="X19" s="8"/>
      <c r="Y19" s="8"/>
      <c r="Z19" s="8"/>
    </row>
    <row r="20" spans="2:26" ht="39.75" customHeight="1">
      <c r="B20" s="62" t="s">
        <v>162</v>
      </c>
      <c r="C20" s="62"/>
      <c r="D20" s="62"/>
      <c r="E20" s="62"/>
      <c r="F20" s="62"/>
      <c r="G20" s="62"/>
      <c r="H20" s="62"/>
      <c r="I20" s="62"/>
      <c r="J20" s="62"/>
      <c r="K20" s="62"/>
      <c r="L20" s="62"/>
      <c r="M20" s="8"/>
      <c r="N20" s="8"/>
      <c r="O20" s="8"/>
      <c r="P20" s="8"/>
      <c r="Q20" s="8"/>
      <c r="R20" s="8"/>
      <c r="S20" s="8"/>
      <c r="T20" s="8"/>
      <c r="U20" s="8"/>
      <c r="V20" s="8"/>
      <c r="W20" s="8"/>
      <c r="X20" s="8"/>
      <c r="Y20" s="8"/>
      <c r="Z20" s="8"/>
    </row>
    <row r="21" spans="2:26" ht="12.5">
      <c r="B21" s="13"/>
      <c r="C21" s="14"/>
      <c r="D21" s="10"/>
      <c r="E21" s="8"/>
      <c r="F21" s="8"/>
      <c r="G21" s="8"/>
      <c r="H21" s="8"/>
      <c r="I21" s="8"/>
      <c r="J21" s="8"/>
      <c r="K21" s="8"/>
      <c r="L21" s="8"/>
      <c r="M21" s="8"/>
      <c r="N21" s="8"/>
      <c r="O21" s="8"/>
      <c r="P21" s="8"/>
      <c r="Q21" s="8"/>
      <c r="R21" s="8"/>
      <c r="S21" s="8"/>
      <c r="T21" s="8"/>
      <c r="U21" s="8"/>
      <c r="V21" s="8"/>
      <c r="W21" s="8"/>
      <c r="X21" s="8"/>
      <c r="Y21" s="8"/>
      <c r="Z21" s="8"/>
    </row>
    <row r="22" spans="2:26" ht="12.5">
      <c r="B22" s="13"/>
      <c r="C22" s="14"/>
      <c r="D22" s="10"/>
      <c r="E22" s="8"/>
      <c r="F22" s="8"/>
      <c r="G22" s="8"/>
      <c r="H22" s="8"/>
      <c r="I22" s="8"/>
      <c r="J22" s="8"/>
      <c r="K22" s="8"/>
      <c r="L22" s="8"/>
      <c r="M22" s="8"/>
      <c r="N22" s="8"/>
      <c r="O22" s="8"/>
      <c r="P22" s="8"/>
      <c r="Q22" s="8"/>
      <c r="R22" s="8"/>
      <c r="S22" s="8"/>
      <c r="T22" s="8"/>
      <c r="U22" s="8"/>
      <c r="V22" s="8"/>
      <c r="W22" s="8"/>
      <c r="X22" s="8"/>
      <c r="Y22" s="8"/>
      <c r="Z22" s="8"/>
    </row>
    <row r="23" spans="2:26" ht="12.5">
      <c r="B23" s="15"/>
      <c r="C23" s="15"/>
      <c r="D23" s="15"/>
      <c r="E23" s="15"/>
      <c r="F23" s="15"/>
      <c r="G23" s="15"/>
      <c r="H23" s="15"/>
      <c r="I23" s="15"/>
      <c r="J23" s="15"/>
      <c r="K23" s="15"/>
      <c r="L23" s="15"/>
      <c r="M23" s="8"/>
      <c r="N23" s="8"/>
      <c r="O23" s="8"/>
      <c r="P23" s="8"/>
      <c r="Q23" s="8"/>
      <c r="R23" s="8"/>
      <c r="S23" s="8"/>
      <c r="T23" s="8"/>
      <c r="U23" s="8"/>
      <c r="V23" s="8"/>
      <c r="W23" s="8"/>
      <c r="X23" s="8"/>
      <c r="Y23" s="8"/>
      <c r="Z23" s="8"/>
    </row>
    <row r="24" spans="2:26" ht="12.5">
      <c r="B24" s="15"/>
      <c r="C24" s="15"/>
      <c r="D24" s="15"/>
      <c r="E24" s="15"/>
      <c r="F24" s="15"/>
      <c r="G24" s="15"/>
      <c r="H24" s="15"/>
      <c r="I24" s="15"/>
      <c r="J24" s="15"/>
      <c r="K24" s="15"/>
      <c r="L24" s="15"/>
      <c r="M24" s="8"/>
      <c r="N24" s="8"/>
      <c r="O24" s="8"/>
      <c r="P24" s="8"/>
      <c r="Q24" s="8"/>
      <c r="R24" s="8"/>
      <c r="S24" s="8"/>
      <c r="T24" s="8"/>
      <c r="U24" s="8"/>
      <c r="V24" s="8"/>
      <c r="W24" s="8"/>
      <c r="X24" s="8"/>
      <c r="Y24" s="8"/>
      <c r="Z24" s="8"/>
    </row>
    <row r="25" spans="2:26" ht="12.5">
      <c r="B25" s="6"/>
      <c r="C25" s="6"/>
      <c r="D25" s="6"/>
      <c r="E25" s="6"/>
      <c r="F25" s="6"/>
      <c r="G25" s="6"/>
      <c r="H25" s="6"/>
      <c r="I25" s="6"/>
      <c r="J25" s="6"/>
      <c r="K25" s="6"/>
      <c r="L25" s="6"/>
      <c r="O25" s="8"/>
      <c r="P25" s="8"/>
      <c r="Q25" s="8"/>
      <c r="R25" s="8"/>
      <c r="S25" s="8"/>
      <c r="T25" s="8"/>
      <c r="U25" s="8"/>
      <c r="V25" s="8"/>
      <c r="W25" s="8"/>
      <c r="X25" s="8"/>
      <c r="Y25" s="8"/>
      <c r="Z25" s="8"/>
    </row>
    <row r="26" spans="2:26" ht="12.5">
      <c r="B26" s="6"/>
      <c r="C26" s="6"/>
      <c r="D26" s="6"/>
      <c r="E26" s="6"/>
      <c r="F26" s="6"/>
      <c r="G26" s="6"/>
      <c r="H26" s="6"/>
      <c r="I26" s="6"/>
      <c r="J26" s="6"/>
      <c r="K26" s="6"/>
      <c r="L26" s="6"/>
      <c r="O26" s="8"/>
      <c r="P26" s="8"/>
      <c r="Q26" s="8"/>
      <c r="R26" s="8"/>
      <c r="S26" s="8"/>
      <c r="T26" s="8"/>
      <c r="U26" s="8"/>
      <c r="V26" s="8"/>
      <c r="W26" s="8"/>
      <c r="X26" s="8"/>
      <c r="Y26" s="8"/>
      <c r="Z26" s="8"/>
    </row>
    <row r="27" spans="2:26" ht="12.5">
      <c r="B27" s="6"/>
      <c r="C27" s="6"/>
      <c r="D27" s="6"/>
      <c r="E27" s="6"/>
      <c r="F27" s="6"/>
      <c r="G27" s="6"/>
      <c r="H27" s="6"/>
      <c r="I27" s="6"/>
      <c r="J27" s="6"/>
      <c r="K27" s="6"/>
      <c r="L27" s="6"/>
      <c r="O27" s="8"/>
      <c r="P27" s="8"/>
      <c r="Q27" s="8"/>
      <c r="R27" s="8"/>
      <c r="S27" s="8"/>
      <c r="T27" s="8"/>
      <c r="U27" s="8"/>
      <c r="V27" s="8"/>
      <c r="W27" s="8"/>
      <c r="X27" s="8"/>
      <c r="Y27" s="8"/>
      <c r="Z27" s="8"/>
    </row>
    <row r="28" spans="2:26" ht="12.5">
      <c r="B28" s="6"/>
      <c r="C28" s="6"/>
      <c r="D28" s="6"/>
      <c r="E28" s="6"/>
      <c r="F28" s="6"/>
      <c r="G28" s="6"/>
      <c r="H28" s="6"/>
      <c r="I28" s="6"/>
      <c r="J28" s="6"/>
      <c r="K28" s="6"/>
      <c r="L28" s="6"/>
      <c r="O28" s="8"/>
      <c r="P28" s="8"/>
      <c r="Q28" s="8"/>
      <c r="R28" s="8"/>
      <c r="S28" s="8"/>
      <c r="T28" s="8"/>
      <c r="U28" s="8"/>
      <c r="V28" s="8"/>
      <c r="W28" s="8"/>
      <c r="X28" s="8"/>
      <c r="Y28" s="8"/>
      <c r="Z28" s="8"/>
    </row>
    <row r="29" spans="2:26" ht="12.5">
      <c r="B29" s="6"/>
      <c r="C29" s="6"/>
      <c r="D29" s="6"/>
      <c r="E29" s="6"/>
      <c r="F29" s="6"/>
      <c r="G29" s="6"/>
      <c r="H29" s="6"/>
      <c r="I29" s="6"/>
      <c r="J29" s="6"/>
      <c r="K29" s="6"/>
      <c r="L29" s="6"/>
      <c r="O29" s="8"/>
      <c r="P29" s="8"/>
      <c r="Q29" s="8"/>
      <c r="R29" s="8"/>
      <c r="S29" s="8"/>
      <c r="T29" s="8"/>
      <c r="U29" s="8"/>
      <c r="V29" s="8"/>
      <c r="W29" s="8"/>
      <c r="X29" s="8"/>
      <c r="Y29" s="8"/>
      <c r="Z29" s="8"/>
    </row>
    <row r="30" spans="2:26" ht="12.5">
      <c r="B30" s="6"/>
      <c r="C30" s="6"/>
      <c r="D30" s="6"/>
      <c r="E30" s="6"/>
      <c r="F30" s="6"/>
      <c r="G30" s="6"/>
      <c r="H30" s="6"/>
      <c r="I30" s="6"/>
      <c r="J30" s="6"/>
      <c r="K30" s="6"/>
      <c r="L30" s="6"/>
      <c r="O30" s="8"/>
      <c r="P30" s="8"/>
      <c r="Q30" s="8"/>
      <c r="R30" s="8"/>
      <c r="S30" s="8"/>
      <c r="T30" s="8"/>
      <c r="U30" s="8"/>
      <c r="V30" s="8"/>
      <c r="W30" s="8"/>
      <c r="X30" s="8"/>
      <c r="Y30" s="8"/>
      <c r="Z30" s="8"/>
    </row>
    <row r="31" spans="2:26">
      <c r="B31" s="6"/>
      <c r="C31" s="6"/>
      <c r="D31" s="6"/>
      <c r="E31" s="6"/>
      <c r="F31" s="6"/>
      <c r="G31" s="6"/>
      <c r="H31" s="6"/>
      <c r="I31" s="6"/>
      <c r="J31" s="6"/>
      <c r="K31" s="6"/>
      <c r="L31" s="6"/>
    </row>
    <row r="32" spans="2:26">
      <c r="B32" s="6"/>
      <c r="C32" s="6"/>
      <c r="D32" s="6"/>
      <c r="E32" s="6"/>
      <c r="F32" s="6"/>
      <c r="G32" s="6"/>
      <c r="H32" s="6"/>
      <c r="I32" s="6"/>
      <c r="J32" s="6"/>
      <c r="K32" s="6"/>
      <c r="L32" s="6"/>
    </row>
    <row r="33" spans="2:12">
      <c r="B33" s="6"/>
      <c r="C33" s="6"/>
      <c r="D33" s="6"/>
      <c r="E33" s="6"/>
      <c r="F33" s="6"/>
      <c r="G33" s="6"/>
      <c r="H33" s="6"/>
      <c r="I33" s="6"/>
      <c r="J33" s="6"/>
      <c r="K33" s="6"/>
      <c r="L33" s="6"/>
    </row>
    <row r="34" spans="2:12">
      <c r="B34" s="6"/>
      <c r="C34" s="6"/>
      <c r="D34" s="6"/>
      <c r="E34" s="6"/>
      <c r="F34" s="6"/>
      <c r="G34" s="6"/>
      <c r="H34" s="6"/>
      <c r="I34" s="6"/>
      <c r="J34" s="6"/>
      <c r="K34" s="6"/>
      <c r="L34" s="6"/>
    </row>
    <row r="35" spans="2:12">
      <c r="B35" s="6"/>
      <c r="C35" s="6"/>
      <c r="D35" s="6"/>
      <c r="E35" s="6"/>
      <c r="F35" s="6"/>
      <c r="G35" s="6"/>
      <c r="H35" s="6"/>
      <c r="I35" s="6"/>
      <c r="J35" s="6"/>
      <c r="K35" s="6"/>
      <c r="L35" s="6"/>
    </row>
  </sheetData>
  <mergeCells count="1">
    <mergeCell ref="B20:L20"/>
  </mergeCells>
  <hyperlinks>
    <hyperlink ref="A1" location="Contents!A1" display="Contents!A1" xr:uid="{D3975A68-1D40-412E-AED7-D458A69448E0}"/>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69266-9BC4-4543-B763-F79C9D1D65A4}">
  <sheetPr codeName="Sheet5"/>
  <dimension ref="A1:O23"/>
  <sheetViews>
    <sheetView zoomScaleNormal="100" workbookViewId="0">
      <selection activeCell="E15" sqref="E15"/>
    </sheetView>
  </sheetViews>
  <sheetFormatPr defaultColWidth="9.1796875" defaultRowHeight="12"/>
  <cols>
    <col min="1" max="1" width="9.1796875" style="7"/>
    <col min="2" max="2" width="28.54296875" style="7" customWidth="1"/>
    <col min="3" max="14" width="9.1796875" style="7"/>
    <col min="15" max="15" width="29.7265625" style="7" bestFit="1" customWidth="1"/>
    <col min="16" max="16384" width="9.1796875" style="7"/>
  </cols>
  <sheetData>
    <row r="1" spans="1:15" ht="14">
      <c r="A1" s="24" t="str">
        <f>"Contents"</f>
        <v>Contents</v>
      </c>
      <c r="B1" s="2" t="s">
        <v>177</v>
      </c>
      <c r="C1" s="3"/>
      <c r="D1" s="3"/>
      <c r="E1" s="3"/>
      <c r="F1" s="4"/>
      <c r="G1" s="4"/>
      <c r="H1" s="4"/>
      <c r="I1" s="4"/>
      <c r="J1" s="4"/>
      <c r="K1" s="4"/>
      <c r="L1" s="4"/>
    </row>
    <row r="2" spans="1:15">
      <c r="B2" s="4"/>
      <c r="C2" s="4"/>
      <c r="D2" s="4"/>
      <c r="E2" s="4"/>
      <c r="F2" s="4"/>
      <c r="G2" s="4"/>
      <c r="H2" s="4"/>
      <c r="I2" s="4"/>
      <c r="J2" s="4"/>
      <c r="K2" s="4"/>
      <c r="L2" s="4"/>
    </row>
    <row r="3" spans="1:15" ht="15">
      <c r="B3" s="47" t="s">
        <v>129</v>
      </c>
      <c r="C3" s="49">
        <v>2014</v>
      </c>
      <c r="D3" s="49">
        <v>2015</v>
      </c>
      <c r="E3" s="49">
        <v>2016</v>
      </c>
      <c r="F3" s="49">
        <v>2017</v>
      </c>
      <c r="G3" s="49">
        <v>2018</v>
      </c>
      <c r="H3" s="49">
        <v>2019</v>
      </c>
      <c r="I3" s="49">
        <v>2020</v>
      </c>
      <c r="J3" s="49">
        <v>2021</v>
      </c>
      <c r="K3" s="49">
        <v>2022</v>
      </c>
      <c r="L3" s="49">
        <v>2023</v>
      </c>
      <c r="M3" s="49">
        <v>2024</v>
      </c>
    </row>
    <row r="4" spans="1:15" ht="12.5">
      <c r="B4" s="9" t="s">
        <v>88</v>
      </c>
      <c r="C4" s="20">
        <v>12</v>
      </c>
      <c r="D4" s="20">
        <v>9</v>
      </c>
      <c r="E4" s="20">
        <v>15</v>
      </c>
      <c r="F4" s="20">
        <v>9</v>
      </c>
      <c r="G4" s="20">
        <v>7</v>
      </c>
      <c r="H4" s="20">
        <v>7</v>
      </c>
      <c r="I4" s="20">
        <v>8</v>
      </c>
      <c r="J4" s="20">
        <v>2</v>
      </c>
      <c r="K4" s="20">
        <v>0</v>
      </c>
      <c r="L4" s="20">
        <v>0</v>
      </c>
      <c r="M4" s="20">
        <v>0</v>
      </c>
    </row>
    <row r="5" spans="1:15" ht="12.5">
      <c r="B5" s="9" t="s">
        <v>103</v>
      </c>
      <c r="C5" s="20">
        <v>23</v>
      </c>
      <c r="D5" s="20">
        <v>12</v>
      </c>
      <c r="E5" s="20">
        <v>17</v>
      </c>
      <c r="F5" s="20">
        <v>21</v>
      </c>
      <c r="G5" s="20">
        <v>29</v>
      </c>
      <c r="H5" s="20">
        <v>33</v>
      </c>
      <c r="I5" s="20">
        <v>19</v>
      </c>
      <c r="J5" s="20">
        <v>30</v>
      </c>
      <c r="K5" s="20">
        <v>25</v>
      </c>
      <c r="L5" s="20">
        <v>25</v>
      </c>
      <c r="M5" s="20">
        <v>27</v>
      </c>
    </row>
    <row r="6" spans="1:15" ht="12.5">
      <c r="B6" s="9" t="s">
        <v>102</v>
      </c>
      <c r="C6" s="20">
        <v>8</v>
      </c>
      <c r="D6" s="20">
        <v>16</v>
      </c>
      <c r="E6" s="20">
        <v>19</v>
      </c>
      <c r="F6" s="20">
        <v>33</v>
      </c>
      <c r="G6" s="20">
        <v>25</v>
      </c>
      <c r="H6" s="20">
        <v>9</v>
      </c>
      <c r="I6" s="20">
        <v>24</v>
      </c>
      <c r="J6" s="20">
        <v>18</v>
      </c>
      <c r="K6" s="20">
        <v>10</v>
      </c>
      <c r="L6" s="20">
        <v>25</v>
      </c>
      <c r="M6" s="20">
        <v>31</v>
      </c>
    </row>
    <row r="7" spans="1:15" ht="12.5">
      <c r="B7" s="9" t="s">
        <v>104</v>
      </c>
      <c r="C7" s="20">
        <v>14</v>
      </c>
      <c r="D7" s="20">
        <v>17</v>
      </c>
      <c r="E7" s="20">
        <v>23</v>
      </c>
      <c r="F7" s="20">
        <v>37</v>
      </c>
      <c r="G7" s="20">
        <v>33</v>
      </c>
      <c r="H7" s="20">
        <v>8</v>
      </c>
      <c r="I7" s="20">
        <v>6</v>
      </c>
      <c r="J7" s="20">
        <v>15</v>
      </c>
      <c r="K7" s="20">
        <v>22</v>
      </c>
      <c r="L7" s="20">
        <v>6</v>
      </c>
      <c r="M7" s="20">
        <v>12</v>
      </c>
    </row>
    <row r="8" spans="1:15" ht="12.5">
      <c r="B8" s="9" t="s">
        <v>89</v>
      </c>
      <c r="C8" s="20">
        <v>1</v>
      </c>
      <c r="D8" s="20">
        <v>4</v>
      </c>
      <c r="E8" s="20">
        <v>1</v>
      </c>
      <c r="F8" s="20">
        <v>1</v>
      </c>
      <c r="G8" s="20">
        <v>2</v>
      </c>
      <c r="H8" s="20">
        <v>1</v>
      </c>
      <c r="I8" s="20">
        <v>1</v>
      </c>
      <c r="J8" s="20">
        <v>0</v>
      </c>
      <c r="K8" s="20">
        <v>0</v>
      </c>
      <c r="L8" s="20">
        <v>0</v>
      </c>
      <c r="M8" s="20">
        <v>0</v>
      </c>
    </row>
    <row r="9" spans="1:15" ht="12.5">
      <c r="B9" s="9" t="s">
        <v>90</v>
      </c>
      <c r="C9" s="20">
        <v>16</v>
      </c>
      <c r="D9" s="20">
        <v>16</v>
      </c>
      <c r="E9" s="20">
        <v>12</v>
      </c>
      <c r="F9" s="20">
        <v>23</v>
      </c>
      <c r="G9" s="20">
        <v>24</v>
      </c>
      <c r="H9" s="20">
        <v>33</v>
      </c>
      <c r="I9" s="20">
        <v>22</v>
      </c>
      <c r="J9" s="20">
        <v>11</v>
      </c>
      <c r="K9" s="20">
        <v>18</v>
      </c>
      <c r="L9" s="20">
        <v>13</v>
      </c>
      <c r="M9" s="20">
        <v>16</v>
      </c>
    </row>
    <row r="10" spans="1:15" ht="12.5">
      <c r="B10" s="9" t="s">
        <v>98</v>
      </c>
      <c r="C10" s="20">
        <v>13</v>
      </c>
      <c r="D10" s="20">
        <v>32</v>
      </c>
      <c r="E10" s="20">
        <v>25</v>
      </c>
      <c r="F10" s="20">
        <v>20</v>
      </c>
      <c r="G10" s="20">
        <v>20</v>
      </c>
      <c r="H10" s="20">
        <v>15</v>
      </c>
      <c r="I10" s="20">
        <v>14</v>
      </c>
      <c r="J10" s="20">
        <v>16</v>
      </c>
      <c r="K10" s="20">
        <v>27</v>
      </c>
      <c r="L10" s="20">
        <v>14</v>
      </c>
      <c r="M10" s="20">
        <v>8</v>
      </c>
    </row>
    <row r="11" spans="1:15" ht="12.5">
      <c r="B11" s="9" t="s">
        <v>164</v>
      </c>
      <c r="C11" s="20">
        <v>10</v>
      </c>
      <c r="D11" s="20">
        <v>9</v>
      </c>
      <c r="E11" s="20">
        <v>12</v>
      </c>
      <c r="F11" s="20">
        <v>22</v>
      </c>
      <c r="G11" s="20">
        <v>11</v>
      </c>
      <c r="H11" s="20">
        <v>6</v>
      </c>
      <c r="I11" s="20">
        <v>9</v>
      </c>
      <c r="J11" s="20">
        <v>10</v>
      </c>
      <c r="K11" s="20">
        <v>3</v>
      </c>
      <c r="L11" s="20">
        <v>3</v>
      </c>
      <c r="M11" s="20">
        <v>9</v>
      </c>
      <c r="O11"/>
    </row>
    <row r="12" spans="1:15" ht="12.5">
      <c r="B12" s="9" t="s">
        <v>165</v>
      </c>
      <c r="C12" s="20">
        <v>14</v>
      </c>
      <c r="D12" s="20">
        <v>23</v>
      </c>
      <c r="E12" s="20">
        <v>10</v>
      </c>
      <c r="F12" s="20">
        <v>9</v>
      </c>
      <c r="G12" s="20">
        <v>11</v>
      </c>
      <c r="H12" s="20">
        <v>16</v>
      </c>
      <c r="I12" s="20">
        <v>18</v>
      </c>
      <c r="J12" s="20">
        <v>18</v>
      </c>
      <c r="K12" s="20">
        <v>13</v>
      </c>
      <c r="L12" s="20">
        <v>13</v>
      </c>
      <c r="M12" s="20">
        <v>18</v>
      </c>
    </row>
    <row r="13" spans="1:15" ht="12.5">
      <c r="B13" s="9" t="s">
        <v>91</v>
      </c>
      <c r="C13" s="20">
        <v>16</v>
      </c>
      <c r="D13" s="20">
        <v>28</v>
      </c>
      <c r="E13" s="20">
        <v>16</v>
      </c>
      <c r="F13" s="20">
        <v>4</v>
      </c>
      <c r="G13" s="20">
        <v>15</v>
      </c>
      <c r="H13" s="20">
        <v>8</v>
      </c>
      <c r="I13" s="20">
        <v>14</v>
      </c>
      <c r="J13" s="20">
        <v>37</v>
      </c>
      <c r="K13" s="20">
        <v>22</v>
      </c>
      <c r="L13" s="20">
        <v>24</v>
      </c>
      <c r="M13" s="20">
        <v>27</v>
      </c>
    </row>
    <row r="14" spans="1:15" ht="12.5">
      <c r="B14" s="9" t="s">
        <v>99</v>
      </c>
      <c r="C14" s="20">
        <v>1</v>
      </c>
      <c r="D14" s="20">
        <v>4</v>
      </c>
      <c r="E14" s="20">
        <v>10</v>
      </c>
      <c r="F14" s="20">
        <v>4</v>
      </c>
      <c r="G14" s="20">
        <v>3</v>
      </c>
      <c r="H14" s="20">
        <v>4</v>
      </c>
      <c r="I14" s="20">
        <v>2</v>
      </c>
      <c r="J14" s="20">
        <v>6</v>
      </c>
      <c r="K14" s="20">
        <v>9</v>
      </c>
      <c r="L14" s="20">
        <v>6</v>
      </c>
      <c r="M14" s="20">
        <v>4</v>
      </c>
    </row>
    <row r="15" spans="1:15" ht="12.5">
      <c r="B15" s="9" t="s">
        <v>100</v>
      </c>
      <c r="C15" s="20">
        <v>45</v>
      </c>
      <c r="D15" s="20">
        <v>23</v>
      </c>
      <c r="E15" s="20">
        <v>10</v>
      </c>
      <c r="F15" s="20">
        <v>15</v>
      </c>
      <c r="G15" s="20">
        <v>31</v>
      </c>
      <c r="H15" s="20">
        <v>52</v>
      </c>
      <c r="I15" s="20">
        <v>31</v>
      </c>
      <c r="J15" s="20">
        <v>28</v>
      </c>
      <c r="K15" s="20">
        <v>18</v>
      </c>
      <c r="L15" s="20">
        <v>44</v>
      </c>
      <c r="M15" s="20">
        <v>21</v>
      </c>
    </row>
    <row r="16" spans="1:15" ht="12.5">
      <c r="B16" s="9" t="s">
        <v>101</v>
      </c>
      <c r="C16" s="20">
        <v>26</v>
      </c>
      <c r="D16" s="20">
        <v>12</v>
      </c>
      <c r="E16" s="20">
        <v>22</v>
      </c>
      <c r="F16" s="20">
        <v>15</v>
      </c>
      <c r="G16" s="20">
        <v>18</v>
      </c>
      <c r="H16" s="20">
        <v>20</v>
      </c>
      <c r="I16" s="20">
        <v>12</v>
      </c>
      <c r="J16" s="20">
        <v>14</v>
      </c>
      <c r="K16" s="20">
        <v>17</v>
      </c>
      <c r="L16" s="20">
        <v>2</v>
      </c>
      <c r="M16" s="20">
        <v>16</v>
      </c>
    </row>
    <row r="17" spans="2:13" ht="12.5">
      <c r="B17" s="16" t="s">
        <v>111</v>
      </c>
      <c r="C17" s="20">
        <v>0</v>
      </c>
      <c r="D17" s="20">
        <v>0</v>
      </c>
      <c r="E17" s="20">
        <v>2</v>
      </c>
      <c r="F17" s="20">
        <v>0</v>
      </c>
      <c r="G17" s="20">
        <v>0</v>
      </c>
      <c r="H17" s="20">
        <v>0</v>
      </c>
      <c r="I17" s="20">
        <v>0</v>
      </c>
      <c r="J17" s="20">
        <v>0</v>
      </c>
      <c r="K17" s="20">
        <v>0</v>
      </c>
      <c r="L17" s="20">
        <v>0</v>
      </c>
      <c r="M17" s="20">
        <v>0</v>
      </c>
    </row>
    <row r="18" spans="2:13" ht="13">
      <c r="B18" s="52" t="s">
        <v>92</v>
      </c>
      <c r="C18" s="51">
        <v>199</v>
      </c>
      <c r="D18" s="51">
        <v>205</v>
      </c>
      <c r="E18" s="51">
        <v>194</v>
      </c>
      <c r="F18" s="51">
        <v>213</v>
      </c>
      <c r="G18" s="51">
        <v>229</v>
      </c>
      <c r="H18" s="51">
        <v>212</v>
      </c>
      <c r="I18" s="51">
        <v>180</v>
      </c>
      <c r="J18" s="51">
        <v>205</v>
      </c>
      <c r="K18" s="51">
        <v>184</v>
      </c>
      <c r="L18" s="51">
        <v>175</v>
      </c>
      <c r="M18" s="51">
        <v>189</v>
      </c>
    </row>
    <row r="21" spans="2:13">
      <c r="B21" s="22" t="s">
        <v>93</v>
      </c>
    </row>
    <row r="22" spans="2:13" ht="15" customHeight="1">
      <c r="B22" s="5" t="s">
        <v>127</v>
      </c>
    </row>
    <row r="23" spans="2:13" ht="31.5" customHeight="1">
      <c r="B23" s="63" t="s">
        <v>161</v>
      </c>
      <c r="C23" s="64"/>
      <c r="D23" s="64"/>
      <c r="E23" s="64"/>
      <c r="F23" s="64"/>
      <c r="G23" s="64"/>
      <c r="H23" s="64"/>
      <c r="I23" s="64"/>
      <c r="J23" s="64"/>
      <c r="K23" s="64"/>
      <c r="L23" s="64"/>
    </row>
  </sheetData>
  <mergeCells count="1">
    <mergeCell ref="B23:L23"/>
  </mergeCells>
  <hyperlinks>
    <hyperlink ref="A1" location="Contents!A1" display="Contents!A1" xr:uid="{675BA9C1-129F-4273-9AB5-E957D69D4309}"/>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41198-A747-4A05-9D97-BC6FA878C20A}">
  <sheetPr codeName="Sheet6"/>
  <dimension ref="A1:M79"/>
  <sheetViews>
    <sheetView zoomScaleNormal="100" workbookViewId="0">
      <selection activeCell="B11" sqref="B11"/>
    </sheetView>
  </sheetViews>
  <sheetFormatPr defaultColWidth="9.1796875" defaultRowHeight="12.5"/>
  <cols>
    <col min="1" max="1" width="9.1796875" style="8"/>
    <col min="2" max="2" width="26.54296875" style="8" customWidth="1"/>
    <col min="3" max="3" width="8.7265625" style="8" customWidth="1"/>
    <col min="4" max="16384" width="9.1796875" style="8"/>
  </cols>
  <sheetData>
    <row r="1" spans="1:13" ht="16" customHeight="1">
      <c r="A1" s="24" t="str">
        <f>"Contents"</f>
        <v>Contents</v>
      </c>
      <c r="B1" s="30" t="s">
        <v>178</v>
      </c>
    </row>
    <row r="2" spans="1:13" ht="12" customHeight="1"/>
    <row r="3" spans="1:13" ht="14.15" customHeight="1">
      <c r="B3" s="47" t="s">
        <v>97</v>
      </c>
      <c r="C3" s="49">
        <v>2014</v>
      </c>
      <c r="D3" s="49">
        <v>2015</v>
      </c>
      <c r="E3" s="49">
        <v>2016</v>
      </c>
      <c r="F3" s="49">
        <v>2017</v>
      </c>
      <c r="G3" s="49">
        <v>2018</v>
      </c>
      <c r="H3" s="49">
        <v>2019</v>
      </c>
      <c r="I3" s="49">
        <v>2020</v>
      </c>
      <c r="J3" s="49">
        <v>2021</v>
      </c>
      <c r="K3" s="49">
        <v>2022</v>
      </c>
      <c r="L3" s="49">
        <v>2023</v>
      </c>
      <c r="M3" s="49">
        <v>2024</v>
      </c>
    </row>
    <row r="4" spans="1:13" ht="14.15" customHeight="1">
      <c r="B4" s="31" t="s">
        <v>0</v>
      </c>
      <c r="C4" s="26">
        <v>12</v>
      </c>
      <c r="D4" s="26">
        <v>9</v>
      </c>
      <c r="E4" s="26">
        <v>15</v>
      </c>
      <c r="F4" s="26">
        <v>9</v>
      </c>
      <c r="G4" s="26">
        <v>7</v>
      </c>
      <c r="H4" s="26">
        <v>7</v>
      </c>
      <c r="I4" s="26">
        <v>8</v>
      </c>
      <c r="J4" s="26">
        <v>2</v>
      </c>
      <c r="K4" s="26">
        <v>0</v>
      </c>
      <c r="L4" s="26">
        <v>0</v>
      </c>
      <c r="M4" s="26">
        <v>0</v>
      </c>
    </row>
    <row r="5" spans="1:13" ht="14.15" customHeight="1">
      <c r="B5" s="31" t="s">
        <v>1</v>
      </c>
      <c r="C5" s="26">
        <v>43</v>
      </c>
      <c r="D5" s="26">
        <v>49</v>
      </c>
      <c r="E5" s="26">
        <v>60</v>
      </c>
      <c r="F5" s="26">
        <v>87</v>
      </c>
      <c r="G5" s="26">
        <v>83</v>
      </c>
      <c r="H5" s="26">
        <v>51</v>
      </c>
      <c r="I5" s="26">
        <v>50</v>
      </c>
      <c r="J5" s="26">
        <v>61</v>
      </c>
      <c r="K5" s="26">
        <v>55</v>
      </c>
      <c r="L5" s="26">
        <v>56</v>
      </c>
      <c r="M5" s="26">
        <v>67</v>
      </c>
    </row>
    <row r="6" spans="1:13" ht="14.15" customHeight="1">
      <c r="B6" s="31" t="s">
        <v>2</v>
      </c>
      <c r="C6" s="26">
        <v>17</v>
      </c>
      <c r="D6" s="26">
        <v>22</v>
      </c>
      <c r="E6" s="26">
        <v>14</v>
      </c>
      <c r="F6" s="26">
        <v>31</v>
      </c>
      <c r="G6" s="26">
        <v>28</v>
      </c>
      <c r="H6" s="26">
        <v>33</v>
      </c>
      <c r="I6" s="26">
        <v>24</v>
      </c>
      <c r="J6" s="26">
        <v>12</v>
      </c>
      <c r="K6" s="26">
        <v>26</v>
      </c>
      <c r="L6" s="26">
        <v>13</v>
      </c>
      <c r="M6" s="26">
        <v>19</v>
      </c>
    </row>
    <row r="7" spans="1:13" ht="14.15" customHeight="1">
      <c r="B7" s="31" t="s">
        <v>3</v>
      </c>
      <c r="C7" s="26">
        <v>13</v>
      </c>
      <c r="D7" s="26">
        <v>25</v>
      </c>
      <c r="E7" s="26">
        <v>24</v>
      </c>
      <c r="F7" s="26">
        <v>16</v>
      </c>
      <c r="G7" s="26">
        <v>19</v>
      </c>
      <c r="H7" s="26">
        <v>13</v>
      </c>
      <c r="I7" s="26">
        <v>12</v>
      </c>
      <c r="J7" s="26">
        <v>16</v>
      </c>
      <c r="K7" s="26">
        <v>19</v>
      </c>
      <c r="L7" s="26">
        <v>13</v>
      </c>
      <c r="M7" s="26">
        <v>6</v>
      </c>
    </row>
    <row r="8" spans="1:13" ht="14.15" customHeight="1">
      <c r="B8" s="31" t="s">
        <v>4</v>
      </c>
      <c r="C8" s="26">
        <v>2</v>
      </c>
      <c r="D8" s="26">
        <v>1</v>
      </c>
      <c r="E8" s="26">
        <v>1</v>
      </c>
      <c r="F8" s="26">
        <v>3</v>
      </c>
      <c r="G8" s="26">
        <v>3</v>
      </c>
      <c r="H8" s="26">
        <v>1</v>
      </c>
      <c r="I8" s="26">
        <v>4</v>
      </c>
      <c r="J8" s="26">
        <v>3</v>
      </c>
      <c r="K8" s="26">
        <v>1</v>
      </c>
      <c r="L8" s="26">
        <v>1</v>
      </c>
      <c r="M8" s="26">
        <v>6</v>
      </c>
    </row>
    <row r="9" spans="1:13" ht="14.15" customHeight="1">
      <c r="B9" s="31" t="s">
        <v>112</v>
      </c>
      <c r="C9" s="26">
        <v>8</v>
      </c>
      <c r="D9" s="26">
        <v>8</v>
      </c>
      <c r="E9" s="26">
        <v>11</v>
      </c>
      <c r="F9" s="26">
        <v>19</v>
      </c>
      <c r="G9" s="26">
        <v>8</v>
      </c>
      <c r="H9" s="26">
        <v>5</v>
      </c>
      <c r="I9" s="26">
        <v>4</v>
      </c>
      <c r="J9" s="26">
        <v>7</v>
      </c>
      <c r="K9" s="26">
        <v>2</v>
      </c>
      <c r="L9" s="26">
        <v>1</v>
      </c>
      <c r="M9" s="26">
        <v>3</v>
      </c>
    </row>
    <row r="10" spans="1:13" ht="14.15" customHeight="1">
      <c r="B10" s="31" t="s">
        <v>5</v>
      </c>
      <c r="C10" s="26">
        <v>5</v>
      </c>
      <c r="D10" s="26">
        <v>9</v>
      </c>
      <c r="E10" s="26">
        <v>2</v>
      </c>
      <c r="F10" s="26">
        <v>3</v>
      </c>
      <c r="G10" s="26">
        <v>9</v>
      </c>
      <c r="H10" s="26">
        <v>13</v>
      </c>
      <c r="I10" s="26">
        <v>8</v>
      </c>
      <c r="J10" s="26">
        <v>9</v>
      </c>
      <c r="K10" s="26">
        <v>10</v>
      </c>
      <c r="L10" s="26">
        <v>9</v>
      </c>
      <c r="M10" s="26">
        <v>8</v>
      </c>
    </row>
    <row r="11" spans="1:13" ht="14.15" customHeight="1">
      <c r="B11" s="31" t="s">
        <v>194</v>
      </c>
      <c r="C11" s="26">
        <v>14</v>
      </c>
      <c r="D11" s="26">
        <v>18</v>
      </c>
      <c r="E11" s="26">
        <v>9</v>
      </c>
      <c r="F11" s="26">
        <v>7</v>
      </c>
      <c r="G11" s="26">
        <v>6</v>
      </c>
      <c r="H11" s="26">
        <v>5</v>
      </c>
      <c r="I11" s="26">
        <v>10</v>
      </c>
      <c r="J11" s="26">
        <v>14</v>
      </c>
      <c r="K11" s="26">
        <v>5</v>
      </c>
      <c r="L11" s="26">
        <v>10</v>
      </c>
      <c r="M11" s="26">
        <v>15</v>
      </c>
    </row>
    <row r="12" spans="1:13" ht="14.15" customHeight="1">
      <c r="B12" s="31" t="s">
        <v>6</v>
      </c>
      <c r="C12" s="26">
        <v>12</v>
      </c>
      <c r="D12" s="26">
        <v>24</v>
      </c>
      <c r="E12" s="26">
        <v>15</v>
      </c>
      <c r="F12" s="26">
        <v>3</v>
      </c>
      <c r="G12" s="26">
        <v>12</v>
      </c>
      <c r="H12" s="26">
        <v>8</v>
      </c>
      <c r="I12" s="26">
        <v>13</v>
      </c>
      <c r="J12" s="26">
        <v>32</v>
      </c>
      <c r="K12" s="26">
        <v>21</v>
      </c>
      <c r="L12" s="26">
        <v>18</v>
      </c>
      <c r="M12" s="26">
        <v>22</v>
      </c>
    </row>
    <row r="13" spans="1:13" ht="14.15" customHeight="1">
      <c r="B13" s="31" t="s">
        <v>7</v>
      </c>
      <c r="C13" s="26">
        <v>0</v>
      </c>
      <c r="D13" s="26">
        <v>3</v>
      </c>
      <c r="E13" s="26">
        <v>5</v>
      </c>
      <c r="F13" s="26">
        <v>0</v>
      </c>
      <c r="G13" s="26">
        <v>1</v>
      </c>
      <c r="H13" s="26">
        <v>2</v>
      </c>
      <c r="I13" s="26">
        <v>0</v>
      </c>
      <c r="J13" s="26">
        <v>2</v>
      </c>
      <c r="K13" s="26">
        <v>3</v>
      </c>
      <c r="L13" s="26">
        <v>1</v>
      </c>
      <c r="M13" s="26">
        <v>3</v>
      </c>
    </row>
    <row r="14" spans="1:13" ht="14.15" customHeight="1">
      <c r="B14" s="31" t="s">
        <v>8</v>
      </c>
      <c r="C14" s="26">
        <v>45</v>
      </c>
      <c r="D14" s="26">
        <v>24</v>
      </c>
      <c r="E14" s="26">
        <v>11</v>
      </c>
      <c r="F14" s="26">
        <v>16</v>
      </c>
      <c r="G14" s="26">
        <v>32</v>
      </c>
      <c r="H14" s="26">
        <v>52</v>
      </c>
      <c r="I14" s="26">
        <v>31</v>
      </c>
      <c r="J14" s="26">
        <v>29</v>
      </c>
      <c r="K14" s="26">
        <v>19</v>
      </c>
      <c r="L14" s="26">
        <v>44</v>
      </c>
      <c r="M14" s="26">
        <v>23</v>
      </c>
    </row>
    <row r="15" spans="1:13" ht="14.15" customHeight="1">
      <c r="B15" s="31" t="s">
        <v>9</v>
      </c>
      <c r="C15" s="26">
        <v>21</v>
      </c>
      <c r="D15" s="26">
        <v>9</v>
      </c>
      <c r="E15" s="26">
        <v>16</v>
      </c>
      <c r="F15" s="26">
        <v>15</v>
      </c>
      <c r="G15" s="26">
        <v>13</v>
      </c>
      <c r="H15" s="26">
        <v>9</v>
      </c>
      <c r="I15" s="26">
        <v>2</v>
      </c>
      <c r="J15" s="26">
        <v>7</v>
      </c>
      <c r="K15" s="26">
        <v>7</v>
      </c>
      <c r="L15" s="26">
        <v>2</v>
      </c>
      <c r="M15" s="26">
        <v>8</v>
      </c>
    </row>
    <row r="16" spans="1:13" ht="14.15" customHeight="1">
      <c r="B16" s="31" t="s">
        <v>10</v>
      </c>
      <c r="C16" s="26">
        <v>5</v>
      </c>
      <c r="D16" s="26">
        <v>2</v>
      </c>
      <c r="E16" s="26">
        <v>6</v>
      </c>
      <c r="F16" s="26">
        <v>0</v>
      </c>
      <c r="G16" s="26">
        <v>4</v>
      </c>
      <c r="H16" s="26">
        <v>10</v>
      </c>
      <c r="I16" s="26">
        <v>10</v>
      </c>
      <c r="J16" s="26">
        <v>7</v>
      </c>
      <c r="K16" s="26">
        <v>10</v>
      </c>
      <c r="L16" s="26">
        <v>0</v>
      </c>
      <c r="M16" s="26">
        <v>8</v>
      </c>
    </row>
    <row r="17" spans="2:13" ht="14.15" customHeight="1">
      <c r="B17" s="31" t="s">
        <v>11</v>
      </c>
      <c r="C17" s="26">
        <v>0</v>
      </c>
      <c r="D17" s="26">
        <v>0</v>
      </c>
      <c r="E17" s="26">
        <v>1</v>
      </c>
      <c r="F17" s="26">
        <v>3</v>
      </c>
      <c r="G17" s="26">
        <v>1</v>
      </c>
      <c r="H17" s="26">
        <v>0</v>
      </c>
      <c r="I17" s="26">
        <v>0</v>
      </c>
      <c r="J17" s="26">
        <v>0</v>
      </c>
      <c r="K17" s="26">
        <v>1</v>
      </c>
      <c r="L17" s="26">
        <v>0</v>
      </c>
      <c r="M17" s="26">
        <v>0</v>
      </c>
    </row>
    <row r="18" spans="2:13" ht="14.15" customHeight="1">
      <c r="B18" s="31" t="s">
        <v>12</v>
      </c>
      <c r="C18" s="26">
        <v>0</v>
      </c>
      <c r="D18" s="26">
        <v>1</v>
      </c>
      <c r="E18" s="26">
        <v>1</v>
      </c>
      <c r="F18" s="26">
        <v>0</v>
      </c>
      <c r="G18" s="26">
        <v>0</v>
      </c>
      <c r="H18" s="26">
        <v>0</v>
      </c>
      <c r="I18" s="26">
        <v>0</v>
      </c>
      <c r="J18" s="26">
        <v>2</v>
      </c>
      <c r="K18" s="26">
        <v>1</v>
      </c>
      <c r="L18" s="26">
        <v>2</v>
      </c>
      <c r="M18" s="26">
        <v>0</v>
      </c>
    </row>
    <row r="19" spans="2:13" ht="14.15" customHeight="1">
      <c r="B19" s="31" t="s">
        <v>13</v>
      </c>
      <c r="C19" s="26">
        <v>1</v>
      </c>
      <c r="D19" s="26">
        <v>0</v>
      </c>
      <c r="E19" s="26">
        <v>2</v>
      </c>
      <c r="F19" s="26">
        <v>0</v>
      </c>
      <c r="G19" s="26">
        <v>0</v>
      </c>
      <c r="H19" s="26">
        <v>2</v>
      </c>
      <c r="I19" s="26">
        <v>1</v>
      </c>
      <c r="J19" s="26">
        <v>2</v>
      </c>
      <c r="K19" s="26">
        <v>4</v>
      </c>
      <c r="L19" s="26">
        <v>2</v>
      </c>
      <c r="M19" s="26">
        <v>1</v>
      </c>
    </row>
    <row r="20" spans="2:13" ht="14.15" customHeight="1">
      <c r="B20" s="31" t="s">
        <v>113</v>
      </c>
      <c r="C20" s="26">
        <v>0</v>
      </c>
      <c r="D20" s="26">
        <v>0</v>
      </c>
      <c r="E20" s="26">
        <v>0</v>
      </c>
      <c r="F20" s="26">
        <v>0</v>
      </c>
      <c r="G20" s="26">
        <v>1</v>
      </c>
      <c r="H20" s="26">
        <v>0</v>
      </c>
      <c r="I20" s="26">
        <v>1</v>
      </c>
      <c r="J20" s="26">
        <v>0</v>
      </c>
      <c r="K20" s="26">
        <v>0</v>
      </c>
      <c r="L20" s="26">
        <v>0</v>
      </c>
      <c r="M20" s="26">
        <v>0</v>
      </c>
    </row>
    <row r="21" spans="2:13" ht="14.15" customHeight="1">
      <c r="B21" s="31" t="s">
        <v>111</v>
      </c>
      <c r="C21" s="26">
        <v>1</v>
      </c>
      <c r="D21" s="26">
        <v>1</v>
      </c>
      <c r="E21" s="26">
        <v>1</v>
      </c>
      <c r="F21" s="26">
        <v>1</v>
      </c>
      <c r="G21" s="26">
        <v>2</v>
      </c>
      <c r="H21" s="26">
        <v>1</v>
      </c>
      <c r="I21" s="26">
        <v>2</v>
      </c>
      <c r="J21" s="26">
        <v>0</v>
      </c>
      <c r="K21" s="26">
        <v>0</v>
      </c>
      <c r="L21" s="26">
        <v>3</v>
      </c>
      <c r="M21" s="26">
        <v>0</v>
      </c>
    </row>
    <row r="22" spans="2:13" ht="14.15" customHeight="1">
      <c r="B22" s="52" t="s">
        <v>92</v>
      </c>
      <c r="C22" s="51">
        <v>199</v>
      </c>
      <c r="D22" s="51">
        <v>205</v>
      </c>
      <c r="E22" s="51">
        <v>194</v>
      </c>
      <c r="F22" s="51">
        <v>213</v>
      </c>
      <c r="G22" s="51">
        <v>229</v>
      </c>
      <c r="H22" s="51">
        <v>212</v>
      </c>
      <c r="I22" s="51">
        <v>180</v>
      </c>
      <c r="J22" s="51">
        <v>205</v>
      </c>
      <c r="K22" s="51">
        <v>184</v>
      </c>
      <c r="L22" s="51">
        <v>175</v>
      </c>
      <c r="M22" s="51">
        <v>189</v>
      </c>
    </row>
    <row r="23" spans="2:13" ht="14.15" customHeight="1"/>
    <row r="24" spans="2:13" ht="14.15" customHeight="1"/>
    <row r="25" spans="2:13" ht="14.15" customHeight="1">
      <c r="B25" s="32" t="s">
        <v>93</v>
      </c>
    </row>
    <row r="26" spans="2:13" ht="14.15" customHeight="1">
      <c r="B26" s="8" t="s">
        <v>128</v>
      </c>
    </row>
    <row r="27" spans="2:13" ht="14.15" customHeight="1">
      <c r="B27" s="8" t="s">
        <v>135</v>
      </c>
    </row>
    <row r="28" spans="2:13" ht="14.15" customHeight="1"/>
    <row r="29" spans="2:13" ht="14.15" customHeight="1"/>
    <row r="30" spans="2:13" ht="14.15" customHeight="1"/>
    <row r="31" spans="2:13" ht="14.15" customHeight="1"/>
    <row r="32" spans="2:13" ht="14.15" customHeight="1"/>
    <row r="33" ht="14.15" customHeight="1"/>
    <row r="34" ht="14.15" customHeight="1"/>
    <row r="35" ht="14.15" customHeight="1"/>
    <row r="36" ht="14.15" customHeight="1"/>
    <row r="37" ht="14.15" customHeight="1"/>
    <row r="38" ht="14.15" customHeight="1"/>
    <row r="39" ht="14.15" customHeight="1"/>
    <row r="40" ht="14.15" customHeight="1"/>
    <row r="41" ht="14.15" customHeight="1"/>
    <row r="42" ht="14.15" customHeight="1"/>
    <row r="43" ht="14.15" customHeight="1"/>
    <row r="44" ht="14.15" customHeight="1"/>
    <row r="45" ht="14.15" customHeight="1"/>
    <row r="46" ht="14.15" customHeight="1"/>
    <row r="47" ht="14.15" customHeight="1"/>
    <row r="48" ht="14.15" customHeight="1"/>
    <row r="49" ht="14.15" customHeight="1"/>
    <row r="50" ht="14.15" customHeight="1"/>
    <row r="51" ht="14.15" customHeight="1"/>
    <row r="52" ht="14.15" customHeight="1"/>
    <row r="53" ht="14.15" customHeight="1"/>
    <row r="54" ht="14.15" customHeight="1"/>
    <row r="55" ht="14.15" customHeight="1"/>
    <row r="56" ht="14.15" customHeight="1"/>
    <row r="57" ht="14.15" customHeight="1"/>
    <row r="58" ht="14.15" customHeight="1"/>
    <row r="59" ht="14.15" customHeight="1"/>
    <row r="60" ht="14.15" customHeight="1"/>
    <row r="61" ht="14.15" customHeight="1"/>
    <row r="62" ht="14.15" customHeight="1"/>
    <row r="63" ht="14.15" customHeight="1"/>
    <row r="64" ht="14.15" customHeight="1"/>
    <row r="65" ht="14.15" customHeight="1"/>
    <row r="66" ht="14.15" customHeight="1"/>
    <row r="67" ht="14.15" customHeight="1"/>
    <row r="68" ht="14.15" customHeight="1"/>
    <row r="69" ht="14.15" customHeight="1"/>
    <row r="70" ht="14.15" customHeight="1"/>
    <row r="71" ht="14.15" customHeight="1"/>
    <row r="72" ht="14.15" customHeight="1"/>
    <row r="73" ht="14.15" customHeight="1"/>
    <row r="74" ht="14.15" customHeight="1"/>
    <row r="75" ht="14.15" customHeight="1"/>
    <row r="76" ht="14.15" customHeight="1"/>
    <row r="77" ht="14.15" customHeight="1"/>
    <row r="78" ht="12" customHeight="1"/>
    <row r="79" ht="14.15" customHeight="1"/>
  </sheetData>
  <hyperlinks>
    <hyperlink ref="A1" location="Contents!A1" display="Contents!A1" xr:uid="{BA9FFC9A-3AAE-4A6B-8336-76AFE52C2C86}"/>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4E04E-8459-4DA5-83D0-DF9AC414C1E7}">
  <sheetPr codeName="Sheet7"/>
  <dimension ref="A1:M98"/>
  <sheetViews>
    <sheetView zoomScaleNormal="100" workbookViewId="0">
      <selection activeCell="A2" sqref="A2"/>
    </sheetView>
  </sheetViews>
  <sheetFormatPr defaultColWidth="9.1796875" defaultRowHeight="12"/>
  <cols>
    <col min="1" max="1" width="9.1796875" style="4"/>
    <col min="2" max="2" width="37.453125" style="4" customWidth="1"/>
    <col min="3" max="3" width="8.453125" style="4" customWidth="1"/>
    <col min="4" max="4" width="9.1796875" style="4" customWidth="1"/>
    <col min="5" max="16384" width="9.1796875" style="4"/>
  </cols>
  <sheetData>
    <row r="1" spans="1:13" ht="13.5" customHeight="1">
      <c r="A1" s="24" t="str">
        <f>"Contents"</f>
        <v>Contents</v>
      </c>
      <c r="B1" s="2" t="s">
        <v>179</v>
      </c>
      <c r="C1" s="3"/>
      <c r="D1" s="3"/>
      <c r="E1" s="3"/>
      <c r="F1" s="3"/>
    </row>
    <row r="3" spans="1:13" ht="18" customHeight="1">
      <c r="B3" s="48" t="s">
        <v>130</v>
      </c>
      <c r="C3" s="49">
        <v>2014</v>
      </c>
      <c r="D3" s="49">
        <v>2015</v>
      </c>
      <c r="E3" s="49">
        <v>2016</v>
      </c>
      <c r="F3" s="49">
        <v>2017</v>
      </c>
      <c r="G3" s="49">
        <v>2018</v>
      </c>
      <c r="H3" s="49">
        <v>2019</v>
      </c>
      <c r="I3" s="49">
        <v>2020</v>
      </c>
      <c r="J3" s="49">
        <v>2021</v>
      </c>
      <c r="K3" s="49">
        <v>2022</v>
      </c>
      <c r="L3" s="49">
        <v>2023</v>
      </c>
      <c r="M3" s="49">
        <v>2024</v>
      </c>
    </row>
    <row r="4" spans="1:13" ht="12.5">
      <c r="B4" s="33" t="s">
        <v>14</v>
      </c>
      <c r="C4" s="34">
        <v>2</v>
      </c>
      <c r="D4" s="19">
        <v>3</v>
      </c>
      <c r="E4" s="19">
        <v>9</v>
      </c>
      <c r="F4" s="19">
        <v>2</v>
      </c>
      <c r="G4" s="19">
        <v>1</v>
      </c>
      <c r="H4" s="19">
        <v>0</v>
      </c>
      <c r="I4" s="19">
        <v>2</v>
      </c>
      <c r="J4" s="19">
        <v>0</v>
      </c>
      <c r="K4" s="19">
        <v>0</v>
      </c>
      <c r="L4" s="19">
        <v>0</v>
      </c>
      <c r="M4" s="19">
        <v>0</v>
      </c>
    </row>
    <row r="5" spans="1:13" ht="12.5">
      <c r="B5" s="33" t="s">
        <v>15</v>
      </c>
      <c r="C5" s="34">
        <v>9</v>
      </c>
      <c r="D5" s="19">
        <v>6</v>
      </c>
      <c r="E5" s="19">
        <v>4</v>
      </c>
      <c r="F5" s="19">
        <v>5</v>
      </c>
      <c r="G5" s="19">
        <v>4</v>
      </c>
      <c r="H5" s="19">
        <v>5</v>
      </c>
      <c r="I5" s="19">
        <v>2</v>
      </c>
      <c r="J5" s="19">
        <v>2</v>
      </c>
      <c r="K5" s="19">
        <v>0</v>
      </c>
      <c r="L5" s="19">
        <v>0</v>
      </c>
      <c r="M5" s="19">
        <v>0</v>
      </c>
    </row>
    <row r="6" spans="1:13" ht="12.5">
      <c r="B6" s="33" t="s">
        <v>16</v>
      </c>
      <c r="C6" s="34">
        <v>1</v>
      </c>
      <c r="D6" s="19">
        <v>0</v>
      </c>
      <c r="E6" s="19">
        <v>2</v>
      </c>
      <c r="F6" s="19">
        <v>2</v>
      </c>
      <c r="G6" s="19">
        <v>2</v>
      </c>
      <c r="H6" s="19">
        <v>2</v>
      </c>
      <c r="I6" s="19">
        <v>4</v>
      </c>
      <c r="J6" s="19">
        <v>0</v>
      </c>
      <c r="K6" s="19">
        <v>0</v>
      </c>
      <c r="L6" s="19">
        <v>0</v>
      </c>
      <c r="M6" s="19">
        <v>0</v>
      </c>
    </row>
    <row r="7" spans="1:13" ht="12.5">
      <c r="B7" s="35" t="s">
        <v>183</v>
      </c>
      <c r="C7" s="34">
        <v>1</v>
      </c>
      <c r="D7" s="34">
        <v>2</v>
      </c>
      <c r="E7" s="34">
        <v>3</v>
      </c>
      <c r="F7" s="34">
        <v>2</v>
      </c>
      <c r="G7" s="34">
        <v>0</v>
      </c>
      <c r="H7" s="19">
        <v>2</v>
      </c>
      <c r="I7" s="19">
        <v>4</v>
      </c>
      <c r="J7" s="19">
        <v>6</v>
      </c>
      <c r="K7" s="19">
        <v>4</v>
      </c>
      <c r="L7" s="19">
        <v>5</v>
      </c>
      <c r="M7" s="19">
        <v>4</v>
      </c>
    </row>
    <row r="8" spans="1:13" ht="12.5">
      <c r="B8" s="35" t="s">
        <v>184</v>
      </c>
      <c r="C8" s="34">
        <v>3</v>
      </c>
      <c r="D8" s="19">
        <v>7</v>
      </c>
      <c r="E8" s="19">
        <v>4</v>
      </c>
      <c r="F8" s="19">
        <v>2</v>
      </c>
      <c r="G8" s="19">
        <v>10</v>
      </c>
      <c r="H8" s="19">
        <v>2</v>
      </c>
      <c r="I8" s="19">
        <v>0</v>
      </c>
      <c r="J8" s="19">
        <v>3</v>
      </c>
      <c r="K8" s="19">
        <v>2</v>
      </c>
      <c r="L8" s="19">
        <v>1</v>
      </c>
      <c r="M8" s="19">
        <v>2</v>
      </c>
    </row>
    <row r="9" spans="1:13" ht="12.5">
      <c r="B9" s="35" t="s">
        <v>185</v>
      </c>
      <c r="C9" s="34">
        <v>0</v>
      </c>
      <c r="D9" s="19">
        <v>1</v>
      </c>
      <c r="E9" s="19">
        <v>1</v>
      </c>
      <c r="F9" s="19">
        <v>0</v>
      </c>
      <c r="G9" s="19">
        <v>3</v>
      </c>
      <c r="H9" s="19">
        <v>0</v>
      </c>
      <c r="I9" s="19">
        <v>4</v>
      </c>
      <c r="J9" s="19">
        <v>1</v>
      </c>
      <c r="K9" s="19">
        <v>0</v>
      </c>
      <c r="L9" s="19">
        <v>1</v>
      </c>
      <c r="M9" s="19">
        <v>2</v>
      </c>
    </row>
    <row r="10" spans="1:13" ht="12.5">
      <c r="B10" s="35" t="s">
        <v>22</v>
      </c>
      <c r="C10" s="34">
        <v>0</v>
      </c>
      <c r="D10" s="19">
        <v>0</v>
      </c>
      <c r="E10" s="19">
        <v>1</v>
      </c>
      <c r="F10" s="19">
        <v>1</v>
      </c>
      <c r="G10" s="19">
        <v>3</v>
      </c>
      <c r="H10" s="19">
        <v>0</v>
      </c>
      <c r="I10" s="19">
        <v>0</v>
      </c>
      <c r="J10" s="19">
        <v>0</v>
      </c>
      <c r="K10" s="19">
        <v>0</v>
      </c>
      <c r="L10" s="19">
        <v>1</v>
      </c>
      <c r="M10" s="19">
        <v>2</v>
      </c>
    </row>
    <row r="11" spans="1:13" ht="12.5">
      <c r="B11" s="35" t="s">
        <v>24</v>
      </c>
      <c r="C11" s="34">
        <v>0</v>
      </c>
      <c r="D11" s="19">
        <v>1</v>
      </c>
      <c r="E11" s="19">
        <v>1</v>
      </c>
      <c r="F11" s="19">
        <v>3</v>
      </c>
      <c r="G11" s="19">
        <v>2</v>
      </c>
      <c r="H11" s="19">
        <v>2</v>
      </c>
      <c r="I11" s="19">
        <v>7</v>
      </c>
      <c r="J11" s="19">
        <v>1</v>
      </c>
      <c r="K11" s="19">
        <v>3</v>
      </c>
      <c r="L11" s="19">
        <v>3</v>
      </c>
      <c r="M11" s="19">
        <v>1</v>
      </c>
    </row>
    <row r="12" spans="1:13" ht="12.5">
      <c r="B12" s="35" t="s">
        <v>21</v>
      </c>
      <c r="C12" s="34">
        <v>10</v>
      </c>
      <c r="D12" s="19">
        <v>4</v>
      </c>
      <c r="E12" s="19">
        <v>1</v>
      </c>
      <c r="F12" s="19">
        <v>5</v>
      </c>
      <c r="G12" s="19">
        <v>9</v>
      </c>
      <c r="H12" s="19">
        <v>6</v>
      </c>
      <c r="I12" s="19">
        <v>3</v>
      </c>
      <c r="J12" s="19">
        <v>10</v>
      </c>
      <c r="K12" s="19">
        <v>7</v>
      </c>
      <c r="L12" s="19">
        <v>5</v>
      </c>
      <c r="M12" s="19">
        <v>1</v>
      </c>
    </row>
    <row r="13" spans="1:13" ht="12.5">
      <c r="B13" s="35" t="s">
        <v>23</v>
      </c>
      <c r="C13" s="34">
        <v>3</v>
      </c>
      <c r="D13" s="19">
        <v>4</v>
      </c>
      <c r="E13" s="19">
        <v>2</v>
      </c>
      <c r="F13" s="19">
        <v>3</v>
      </c>
      <c r="G13" s="19">
        <v>3</v>
      </c>
      <c r="H13" s="19">
        <v>2</v>
      </c>
      <c r="I13" s="19">
        <v>6</v>
      </c>
      <c r="J13" s="19">
        <v>2</v>
      </c>
      <c r="K13" s="19">
        <v>0</v>
      </c>
      <c r="L13" s="19">
        <v>4</v>
      </c>
      <c r="M13" s="19">
        <v>11</v>
      </c>
    </row>
    <row r="14" spans="1:13" ht="12.5">
      <c r="B14" s="35" t="s">
        <v>188</v>
      </c>
      <c r="C14" s="34">
        <v>2</v>
      </c>
      <c r="D14" s="19">
        <v>1</v>
      </c>
      <c r="E14" s="19">
        <v>2</v>
      </c>
      <c r="F14" s="19">
        <v>2</v>
      </c>
      <c r="G14" s="19">
        <v>2</v>
      </c>
      <c r="H14" s="19">
        <v>4</v>
      </c>
      <c r="I14" s="19">
        <v>1</v>
      </c>
      <c r="J14" s="19">
        <v>5</v>
      </c>
      <c r="K14" s="19">
        <v>4</v>
      </c>
      <c r="L14" s="19">
        <v>6</v>
      </c>
      <c r="M14" s="19">
        <v>6</v>
      </c>
    </row>
    <row r="15" spans="1:13" ht="12.5">
      <c r="B15" s="35" t="s">
        <v>189</v>
      </c>
      <c r="C15" s="34">
        <v>0</v>
      </c>
      <c r="D15" s="19">
        <v>3</v>
      </c>
      <c r="E15" s="19">
        <v>4</v>
      </c>
      <c r="F15" s="19">
        <v>6</v>
      </c>
      <c r="G15" s="19">
        <v>3</v>
      </c>
      <c r="H15" s="19">
        <v>1</v>
      </c>
      <c r="I15" s="19">
        <v>2</v>
      </c>
      <c r="J15" s="19">
        <v>0</v>
      </c>
      <c r="K15" s="19">
        <v>0</v>
      </c>
      <c r="L15" s="19">
        <v>2</v>
      </c>
      <c r="M15" s="19">
        <v>5</v>
      </c>
    </row>
    <row r="16" spans="1:13" ht="12.5">
      <c r="B16" s="35" t="s">
        <v>17</v>
      </c>
      <c r="C16" s="34">
        <v>1</v>
      </c>
      <c r="D16" s="19">
        <v>1</v>
      </c>
      <c r="E16" s="19">
        <v>4</v>
      </c>
      <c r="F16" s="19">
        <v>5</v>
      </c>
      <c r="G16" s="19">
        <v>5</v>
      </c>
      <c r="H16" s="19">
        <v>9</v>
      </c>
      <c r="I16" s="19">
        <v>4</v>
      </c>
      <c r="J16" s="19">
        <v>2</v>
      </c>
      <c r="K16" s="19">
        <v>3</v>
      </c>
      <c r="L16" s="19">
        <v>4</v>
      </c>
      <c r="M16" s="19">
        <v>3</v>
      </c>
    </row>
    <row r="17" spans="2:13" ht="12.5">
      <c r="B17" s="35" t="s">
        <v>186</v>
      </c>
      <c r="C17" s="34">
        <v>0</v>
      </c>
      <c r="D17" s="19">
        <v>0</v>
      </c>
      <c r="E17" s="19">
        <v>0</v>
      </c>
      <c r="F17" s="19">
        <v>0</v>
      </c>
      <c r="G17" s="19">
        <v>0</v>
      </c>
      <c r="H17" s="19">
        <v>0</v>
      </c>
      <c r="I17" s="19">
        <v>0</v>
      </c>
      <c r="J17" s="19">
        <v>0</v>
      </c>
      <c r="K17" s="19">
        <v>0</v>
      </c>
      <c r="L17" s="19">
        <v>1</v>
      </c>
      <c r="M17" s="19">
        <v>1</v>
      </c>
    </row>
    <row r="18" spans="2:13" ht="12.5">
      <c r="B18" s="35" t="s">
        <v>18</v>
      </c>
      <c r="C18" s="34">
        <v>4</v>
      </c>
      <c r="D18" s="19">
        <v>2</v>
      </c>
      <c r="E18" s="19">
        <v>4</v>
      </c>
      <c r="F18" s="19">
        <v>1</v>
      </c>
      <c r="G18" s="19">
        <v>6</v>
      </c>
      <c r="H18" s="19">
        <v>7</v>
      </c>
      <c r="I18" s="19">
        <v>0</v>
      </c>
      <c r="J18" s="19">
        <v>5</v>
      </c>
      <c r="K18" s="19">
        <v>3</v>
      </c>
      <c r="L18" s="19">
        <v>3</v>
      </c>
      <c r="M18" s="19">
        <v>2</v>
      </c>
    </row>
    <row r="19" spans="2:13" ht="12.5">
      <c r="B19" s="35" t="s">
        <v>26</v>
      </c>
      <c r="C19" s="34">
        <v>1</v>
      </c>
      <c r="D19" s="19">
        <v>6</v>
      </c>
      <c r="E19" s="19">
        <v>5</v>
      </c>
      <c r="F19" s="19">
        <v>9</v>
      </c>
      <c r="G19" s="19">
        <v>4</v>
      </c>
      <c r="H19" s="19">
        <v>2</v>
      </c>
      <c r="I19" s="19">
        <v>1</v>
      </c>
      <c r="J19" s="19">
        <v>4</v>
      </c>
      <c r="K19" s="19">
        <v>5</v>
      </c>
      <c r="L19" s="19">
        <v>1</v>
      </c>
      <c r="M19" s="19">
        <v>5</v>
      </c>
    </row>
    <row r="20" spans="2:13" ht="12.5">
      <c r="B20" s="35" t="s">
        <v>190</v>
      </c>
      <c r="C20" s="34">
        <v>1</v>
      </c>
      <c r="D20" s="19">
        <v>1</v>
      </c>
      <c r="E20" s="19">
        <v>3</v>
      </c>
      <c r="F20" s="19">
        <v>2</v>
      </c>
      <c r="G20" s="19">
        <v>3</v>
      </c>
      <c r="H20" s="19">
        <v>0</v>
      </c>
      <c r="I20" s="19">
        <v>5</v>
      </c>
      <c r="J20" s="19">
        <v>1</v>
      </c>
      <c r="K20" s="19">
        <v>0</v>
      </c>
      <c r="L20" s="19">
        <v>8</v>
      </c>
      <c r="M20" s="19">
        <v>2</v>
      </c>
    </row>
    <row r="21" spans="2:13" ht="12.5">
      <c r="B21" s="35" t="s">
        <v>187</v>
      </c>
      <c r="C21" s="34">
        <v>2</v>
      </c>
      <c r="D21" s="19">
        <v>1</v>
      </c>
      <c r="E21" s="19">
        <v>3</v>
      </c>
      <c r="F21" s="19">
        <v>7</v>
      </c>
      <c r="G21" s="19">
        <v>2</v>
      </c>
      <c r="H21" s="19">
        <v>0</v>
      </c>
      <c r="I21" s="19">
        <v>1</v>
      </c>
      <c r="J21" s="19">
        <v>2</v>
      </c>
      <c r="K21" s="19">
        <v>5</v>
      </c>
      <c r="L21" s="19">
        <v>2</v>
      </c>
      <c r="M21" s="19">
        <v>3</v>
      </c>
    </row>
    <row r="22" spans="2:13" ht="12.5">
      <c r="B22" s="35" t="s">
        <v>25</v>
      </c>
      <c r="C22" s="34">
        <v>5</v>
      </c>
      <c r="D22" s="19">
        <v>7</v>
      </c>
      <c r="E22" s="19">
        <v>6</v>
      </c>
      <c r="F22" s="19">
        <v>18</v>
      </c>
      <c r="G22" s="19">
        <v>10</v>
      </c>
      <c r="H22" s="19">
        <v>5</v>
      </c>
      <c r="I22" s="19">
        <v>0</v>
      </c>
      <c r="J22" s="19">
        <v>7</v>
      </c>
      <c r="K22" s="19">
        <v>3</v>
      </c>
      <c r="L22" s="19">
        <v>3</v>
      </c>
      <c r="M22" s="19">
        <v>9</v>
      </c>
    </row>
    <row r="23" spans="2:13" ht="12.5">
      <c r="B23" s="35" t="s">
        <v>27</v>
      </c>
      <c r="C23" s="34">
        <v>4</v>
      </c>
      <c r="D23" s="19">
        <v>3</v>
      </c>
      <c r="E23" s="19">
        <v>6</v>
      </c>
      <c r="F23" s="19">
        <v>6</v>
      </c>
      <c r="G23" s="19">
        <v>4</v>
      </c>
      <c r="H23" s="19">
        <v>1</v>
      </c>
      <c r="I23" s="19">
        <v>3</v>
      </c>
      <c r="J23" s="19">
        <v>0</v>
      </c>
      <c r="K23" s="19">
        <v>1</v>
      </c>
      <c r="L23" s="19">
        <v>1</v>
      </c>
      <c r="M23" s="19">
        <v>0</v>
      </c>
    </row>
    <row r="24" spans="2:13" ht="12.5">
      <c r="B24" s="35" t="s">
        <v>19</v>
      </c>
      <c r="C24" s="34">
        <v>1</v>
      </c>
      <c r="D24" s="19">
        <v>1</v>
      </c>
      <c r="E24" s="19">
        <v>2</v>
      </c>
      <c r="F24" s="19">
        <v>4</v>
      </c>
      <c r="G24" s="19">
        <v>4</v>
      </c>
      <c r="H24" s="19">
        <v>1</v>
      </c>
      <c r="I24" s="19">
        <v>1</v>
      </c>
      <c r="J24" s="19">
        <v>5</v>
      </c>
      <c r="K24" s="19">
        <v>3</v>
      </c>
      <c r="L24" s="19">
        <v>0</v>
      </c>
      <c r="M24" s="19">
        <v>4</v>
      </c>
    </row>
    <row r="25" spans="2:13" ht="12.5">
      <c r="B25" s="35" t="s">
        <v>20</v>
      </c>
      <c r="C25" s="34">
        <v>2</v>
      </c>
      <c r="D25" s="19">
        <v>1</v>
      </c>
      <c r="E25" s="19">
        <v>1</v>
      </c>
      <c r="F25" s="19">
        <v>2</v>
      </c>
      <c r="G25" s="19">
        <v>2</v>
      </c>
      <c r="H25" s="19">
        <v>2</v>
      </c>
      <c r="I25" s="19">
        <v>4</v>
      </c>
      <c r="J25" s="19">
        <v>1</v>
      </c>
      <c r="K25" s="19">
        <v>3</v>
      </c>
      <c r="L25" s="19">
        <v>1</v>
      </c>
      <c r="M25" s="19">
        <v>2</v>
      </c>
    </row>
    <row r="26" spans="2:13" ht="12.5">
      <c r="B26" s="35" t="s">
        <v>28</v>
      </c>
      <c r="C26" s="34">
        <v>3</v>
      </c>
      <c r="D26" s="19">
        <v>1</v>
      </c>
      <c r="E26" s="19">
        <v>4</v>
      </c>
      <c r="F26" s="19">
        <v>8</v>
      </c>
      <c r="G26" s="19">
        <v>7</v>
      </c>
      <c r="H26" s="19">
        <v>2</v>
      </c>
      <c r="I26" s="19">
        <v>1</v>
      </c>
      <c r="J26" s="19">
        <v>5</v>
      </c>
      <c r="K26" s="19">
        <v>8</v>
      </c>
      <c r="L26" s="19">
        <v>1</v>
      </c>
      <c r="M26" s="19">
        <v>2</v>
      </c>
    </row>
    <row r="27" spans="2:13" ht="12.5">
      <c r="B27" s="35" t="s">
        <v>191</v>
      </c>
      <c r="C27" s="34">
        <v>0</v>
      </c>
      <c r="D27" s="19">
        <v>2</v>
      </c>
      <c r="E27" s="19">
        <v>3</v>
      </c>
      <c r="F27" s="19">
        <v>1</v>
      </c>
      <c r="G27" s="19">
        <v>1</v>
      </c>
      <c r="H27" s="19">
        <v>3</v>
      </c>
      <c r="I27" s="19">
        <v>3</v>
      </c>
      <c r="J27" s="19">
        <v>1</v>
      </c>
      <c r="K27" s="19">
        <v>1</v>
      </c>
      <c r="L27" s="19">
        <v>3</v>
      </c>
      <c r="M27" s="19">
        <v>0</v>
      </c>
    </row>
    <row r="28" spans="2:13" ht="12.5">
      <c r="B28" s="33" t="s">
        <v>29</v>
      </c>
      <c r="C28" s="34">
        <v>3</v>
      </c>
      <c r="D28" s="19">
        <v>1</v>
      </c>
      <c r="E28" s="19">
        <v>0</v>
      </c>
      <c r="F28" s="19">
        <v>3</v>
      </c>
      <c r="G28" s="19">
        <v>3</v>
      </c>
      <c r="H28" s="19">
        <v>3</v>
      </c>
      <c r="I28" s="19">
        <v>3</v>
      </c>
      <c r="J28" s="19">
        <v>1</v>
      </c>
      <c r="K28" s="19">
        <v>1</v>
      </c>
      <c r="L28" s="19">
        <v>1</v>
      </c>
      <c r="M28" s="19">
        <v>1</v>
      </c>
    </row>
    <row r="29" spans="2:13" ht="12.5">
      <c r="B29" s="33" t="s">
        <v>30</v>
      </c>
      <c r="C29" s="34">
        <v>3</v>
      </c>
      <c r="D29" s="19">
        <v>2</v>
      </c>
      <c r="E29" s="19">
        <v>0</v>
      </c>
      <c r="F29" s="19">
        <v>3</v>
      </c>
      <c r="G29" s="19">
        <v>1</v>
      </c>
      <c r="H29" s="19">
        <v>2</v>
      </c>
      <c r="I29" s="19">
        <v>1</v>
      </c>
      <c r="J29" s="19">
        <v>0</v>
      </c>
      <c r="K29" s="19">
        <v>3</v>
      </c>
      <c r="L29" s="19">
        <v>2</v>
      </c>
      <c r="M29" s="19">
        <v>2</v>
      </c>
    </row>
    <row r="30" spans="2:13" ht="12.5">
      <c r="B30" s="33" t="s">
        <v>31</v>
      </c>
      <c r="C30" s="34">
        <v>3</v>
      </c>
      <c r="D30" s="19">
        <v>3</v>
      </c>
      <c r="E30" s="19">
        <v>3</v>
      </c>
      <c r="F30" s="19">
        <v>8</v>
      </c>
      <c r="G30" s="19">
        <v>10</v>
      </c>
      <c r="H30" s="19">
        <v>2</v>
      </c>
      <c r="I30" s="19">
        <v>2</v>
      </c>
      <c r="J30" s="19">
        <v>5</v>
      </c>
      <c r="K30" s="19">
        <v>5</v>
      </c>
      <c r="L30" s="19">
        <v>0</v>
      </c>
      <c r="M30" s="19">
        <v>4</v>
      </c>
    </row>
    <row r="31" spans="2:13" ht="12.5">
      <c r="B31" s="33" t="s">
        <v>32</v>
      </c>
      <c r="C31" s="34">
        <v>1</v>
      </c>
      <c r="D31" s="19">
        <v>0</v>
      </c>
      <c r="E31" s="19">
        <v>2</v>
      </c>
      <c r="F31" s="19">
        <v>1</v>
      </c>
      <c r="G31" s="19">
        <v>3</v>
      </c>
      <c r="H31" s="19">
        <v>1</v>
      </c>
      <c r="I31" s="19">
        <v>1</v>
      </c>
      <c r="J31" s="19">
        <v>2</v>
      </c>
      <c r="K31" s="19">
        <v>1</v>
      </c>
      <c r="L31" s="19">
        <v>1</v>
      </c>
      <c r="M31" s="19">
        <v>2</v>
      </c>
    </row>
    <row r="32" spans="2:13" ht="12.5">
      <c r="B32" s="33" t="s">
        <v>33</v>
      </c>
      <c r="C32" s="34">
        <v>3</v>
      </c>
      <c r="D32" s="19">
        <v>4</v>
      </c>
      <c r="E32" s="19">
        <v>1</v>
      </c>
      <c r="F32" s="19">
        <v>6</v>
      </c>
      <c r="G32" s="19">
        <v>5</v>
      </c>
      <c r="H32" s="19">
        <v>13</v>
      </c>
      <c r="I32" s="19">
        <v>8</v>
      </c>
      <c r="J32" s="19">
        <v>0</v>
      </c>
      <c r="K32" s="19">
        <v>4</v>
      </c>
      <c r="L32" s="19">
        <v>4</v>
      </c>
      <c r="M32" s="19">
        <v>3</v>
      </c>
    </row>
    <row r="33" spans="2:13" ht="12.5">
      <c r="B33" s="33" t="s">
        <v>34</v>
      </c>
      <c r="C33" s="34">
        <v>0</v>
      </c>
      <c r="D33" s="19">
        <v>2</v>
      </c>
      <c r="E33" s="19">
        <v>2</v>
      </c>
      <c r="F33" s="19">
        <v>4</v>
      </c>
      <c r="G33" s="19">
        <v>3</v>
      </c>
      <c r="H33" s="19">
        <v>2</v>
      </c>
      <c r="I33" s="19">
        <v>4</v>
      </c>
      <c r="J33" s="19">
        <v>3</v>
      </c>
      <c r="K33" s="19">
        <v>1</v>
      </c>
      <c r="L33" s="19">
        <v>2</v>
      </c>
      <c r="M33" s="19">
        <v>1</v>
      </c>
    </row>
    <row r="34" spans="2:13" ht="12.5">
      <c r="B34" s="33" t="s">
        <v>192</v>
      </c>
      <c r="C34" s="34">
        <v>0</v>
      </c>
      <c r="D34" s="19">
        <v>0</v>
      </c>
      <c r="E34" s="19">
        <v>2</v>
      </c>
      <c r="F34" s="19">
        <v>0</v>
      </c>
      <c r="G34" s="19">
        <v>1</v>
      </c>
      <c r="H34" s="19">
        <v>3</v>
      </c>
      <c r="I34" s="19">
        <v>1</v>
      </c>
      <c r="J34" s="19">
        <v>0</v>
      </c>
      <c r="K34" s="19">
        <v>3</v>
      </c>
      <c r="L34" s="19">
        <v>1</v>
      </c>
      <c r="M34" s="19">
        <v>2</v>
      </c>
    </row>
    <row r="35" spans="2:13" ht="12.5">
      <c r="B35" s="33" t="s">
        <v>35</v>
      </c>
      <c r="C35" s="34">
        <v>1</v>
      </c>
      <c r="D35" s="19">
        <v>3</v>
      </c>
      <c r="E35" s="19">
        <v>1</v>
      </c>
      <c r="F35" s="19">
        <v>0</v>
      </c>
      <c r="G35" s="19">
        <v>0</v>
      </c>
      <c r="H35" s="19">
        <v>4</v>
      </c>
      <c r="I35" s="19">
        <v>1</v>
      </c>
      <c r="J35" s="19">
        <v>0</v>
      </c>
      <c r="K35" s="19">
        <v>0</v>
      </c>
      <c r="L35" s="19">
        <v>0</v>
      </c>
      <c r="M35" s="19">
        <v>0</v>
      </c>
    </row>
    <row r="36" spans="2:13" ht="12.5">
      <c r="B36" s="33" t="s">
        <v>36</v>
      </c>
      <c r="C36" s="34">
        <v>2</v>
      </c>
      <c r="D36" s="19">
        <v>1</v>
      </c>
      <c r="E36" s="19">
        <v>2</v>
      </c>
      <c r="F36" s="19">
        <v>2</v>
      </c>
      <c r="G36" s="19">
        <v>1</v>
      </c>
      <c r="H36" s="19">
        <v>1</v>
      </c>
      <c r="I36" s="19">
        <v>1</v>
      </c>
      <c r="J36" s="19">
        <v>1</v>
      </c>
      <c r="K36" s="19">
        <v>0</v>
      </c>
      <c r="L36" s="19">
        <v>2</v>
      </c>
      <c r="M36" s="19">
        <v>1</v>
      </c>
    </row>
    <row r="37" spans="2:13" ht="12.5">
      <c r="B37" s="33" t="s">
        <v>37</v>
      </c>
      <c r="C37" s="34">
        <v>0</v>
      </c>
      <c r="D37" s="19">
        <v>2</v>
      </c>
      <c r="E37" s="19">
        <v>1</v>
      </c>
      <c r="F37" s="19">
        <v>4</v>
      </c>
      <c r="G37" s="19">
        <v>0</v>
      </c>
      <c r="H37" s="19">
        <v>2</v>
      </c>
      <c r="I37" s="19">
        <v>2</v>
      </c>
      <c r="J37" s="19">
        <v>0</v>
      </c>
      <c r="K37" s="19">
        <v>7</v>
      </c>
      <c r="L37" s="19">
        <v>0</v>
      </c>
      <c r="M37" s="19">
        <v>3</v>
      </c>
    </row>
    <row r="38" spans="2:13" ht="12.5">
      <c r="B38" s="33" t="s">
        <v>38</v>
      </c>
      <c r="C38" s="34">
        <v>3</v>
      </c>
      <c r="D38" s="19">
        <v>5</v>
      </c>
      <c r="E38" s="19">
        <v>5</v>
      </c>
      <c r="F38" s="19">
        <v>2</v>
      </c>
      <c r="G38" s="19">
        <v>1</v>
      </c>
      <c r="H38" s="19">
        <v>1</v>
      </c>
      <c r="I38" s="19">
        <v>2</v>
      </c>
      <c r="J38" s="19">
        <v>1</v>
      </c>
      <c r="K38" s="19">
        <v>3</v>
      </c>
      <c r="L38" s="19">
        <v>1</v>
      </c>
      <c r="M38" s="19">
        <v>2</v>
      </c>
    </row>
    <row r="39" spans="2:13" ht="12.5">
      <c r="B39" s="33" t="s">
        <v>39</v>
      </c>
      <c r="C39" s="34">
        <v>8</v>
      </c>
      <c r="D39" s="19">
        <v>16</v>
      </c>
      <c r="E39" s="19">
        <v>14</v>
      </c>
      <c r="F39" s="19">
        <v>7</v>
      </c>
      <c r="G39" s="19">
        <v>12</v>
      </c>
      <c r="H39" s="19">
        <v>7</v>
      </c>
      <c r="I39" s="19">
        <v>7</v>
      </c>
      <c r="J39" s="19">
        <v>11</v>
      </c>
      <c r="K39" s="19">
        <v>7</v>
      </c>
      <c r="L39" s="19">
        <v>5</v>
      </c>
      <c r="M39" s="19">
        <v>1</v>
      </c>
    </row>
    <row r="40" spans="2:13" ht="12.5">
      <c r="B40" s="33" t="s">
        <v>40</v>
      </c>
      <c r="C40" s="34">
        <v>1</v>
      </c>
      <c r="D40" s="19">
        <v>4</v>
      </c>
      <c r="E40" s="19">
        <v>2</v>
      </c>
      <c r="F40" s="19">
        <v>5</v>
      </c>
      <c r="G40" s="19">
        <v>5</v>
      </c>
      <c r="H40" s="19">
        <v>2</v>
      </c>
      <c r="I40" s="19">
        <v>2</v>
      </c>
      <c r="J40" s="19">
        <v>1</v>
      </c>
      <c r="K40" s="19">
        <v>5</v>
      </c>
      <c r="L40" s="19">
        <v>2</v>
      </c>
      <c r="M40" s="19">
        <v>0</v>
      </c>
    </row>
    <row r="41" spans="2:13" ht="12.5">
      <c r="B41" s="33" t="s">
        <v>41</v>
      </c>
      <c r="C41" s="34">
        <v>2</v>
      </c>
      <c r="D41" s="19">
        <v>3</v>
      </c>
      <c r="E41" s="19">
        <v>2</v>
      </c>
      <c r="F41" s="19">
        <v>2</v>
      </c>
      <c r="G41" s="19">
        <v>2</v>
      </c>
      <c r="H41" s="19">
        <v>2</v>
      </c>
      <c r="I41" s="19">
        <v>0</v>
      </c>
      <c r="J41" s="19">
        <v>0</v>
      </c>
      <c r="K41" s="19">
        <v>4</v>
      </c>
      <c r="L41" s="19">
        <v>4</v>
      </c>
      <c r="M41" s="19">
        <v>3</v>
      </c>
    </row>
    <row r="42" spans="2:13" ht="12.5">
      <c r="B42" s="33" t="s">
        <v>42</v>
      </c>
      <c r="C42" s="34">
        <v>0</v>
      </c>
      <c r="D42" s="19">
        <v>1</v>
      </c>
      <c r="E42" s="19">
        <v>0</v>
      </c>
      <c r="F42" s="19">
        <v>0</v>
      </c>
      <c r="G42" s="19">
        <v>0</v>
      </c>
      <c r="H42" s="19">
        <v>1</v>
      </c>
      <c r="I42" s="19">
        <v>0</v>
      </c>
      <c r="J42" s="19">
        <v>2</v>
      </c>
      <c r="K42" s="19">
        <v>0</v>
      </c>
      <c r="L42" s="19">
        <v>0</v>
      </c>
      <c r="M42" s="19">
        <v>0</v>
      </c>
    </row>
    <row r="43" spans="2:13" ht="12.5">
      <c r="B43" s="33" t="s">
        <v>193</v>
      </c>
      <c r="C43" s="34">
        <v>0</v>
      </c>
      <c r="D43" s="19">
        <v>0</v>
      </c>
      <c r="E43" s="19">
        <v>1</v>
      </c>
      <c r="F43" s="19">
        <v>0</v>
      </c>
      <c r="G43" s="19">
        <v>0</v>
      </c>
      <c r="H43" s="19">
        <v>0</v>
      </c>
      <c r="I43" s="19">
        <v>1</v>
      </c>
      <c r="J43" s="19">
        <v>1</v>
      </c>
      <c r="K43" s="19">
        <v>1</v>
      </c>
      <c r="L43" s="19">
        <v>1</v>
      </c>
      <c r="M43" s="19">
        <v>0</v>
      </c>
    </row>
    <row r="44" spans="2:13" ht="12.5">
      <c r="B44" s="33" t="s">
        <v>43</v>
      </c>
      <c r="C44" s="34">
        <v>2</v>
      </c>
      <c r="D44" s="19">
        <v>1</v>
      </c>
      <c r="E44" s="19">
        <v>1</v>
      </c>
      <c r="F44" s="19">
        <v>3</v>
      </c>
      <c r="G44" s="19">
        <v>3</v>
      </c>
      <c r="H44" s="19">
        <v>1</v>
      </c>
      <c r="I44" s="19">
        <v>4</v>
      </c>
      <c r="J44" s="19">
        <v>3</v>
      </c>
      <c r="K44" s="19">
        <v>1</v>
      </c>
      <c r="L44" s="19">
        <v>1</v>
      </c>
      <c r="M44" s="19">
        <v>6</v>
      </c>
    </row>
    <row r="45" spans="2:13" ht="12.5">
      <c r="B45" s="33" t="s">
        <v>44</v>
      </c>
      <c r="C45" s="34">
        <v>2</v>
      </c>
      <c r="D45" s="19">
        <v>0</v>
      </c>
      <c r="E45" s="19">
        <v>2</v>
      </c>
      <c r="F45" s="19">
        <v>0</v>
      </c>
      <c r="G45" s="19">
        <v>0</v>
      </c>
      <c r="H45" s="19">
        <v>2</v>
      </c>
      <c r="I45" s="19">
        <v>1</v>
      </c>
      <c r="J45" s="19">
        <v>0</v>
      </c>
      <c r="K45" s="19">
        <v>0</v>
      </c>
      <c r="L45" s="19">
        <v>0</v>
      </c>
      <c r="M45" s="19">
        <v>1</v>
      </c>
    </row>
    <row r="46" spans="2:13" ht="12.5">
      <c r="B46" s="33" t="s">
        <v>45</v>
      </c>
      <c r="C46" s="34">
        <v>2</v>
      </c>
      <c r="D46" s="19">
        <v>3</v>
      </c>
      <c r="E46" s="19">
        <v>4</v>
      </c>
      <c r="F46" s="19">
        <v>17</v>
      </c>
      <c r="G46" s="19">
        <v>4</v>
      </c>
      <c r="H46" s="19">
        <v>2</v>
      </c>
      <c r="I46" s="19">
        <v>0</v>
      </c>
      <c r="J46" s="19">
        <v>1</v>
      </c>
      <c r="K46" s="19">
        <v>1</v>
      </c>
      <c r="L46" s="19">
        <v>0</v>
      </c>
      <c r="M46" s="19">
        <v>2</v>
      </c>
    </row>
    <row r="47" spans="2:13" ht="12.5">
      <c r="B47" s="33" t="s">
        <v>46</v>
      </c>
      <c r="C47" s="34">
        <v>3</v>
      </c>
      <c r="D47" s="19">
        <v>4</v>
      </c>
      <c r="E47" s="19">
        <v>3</v>
      </c>
      <c r="F47" s="19">
        <v>2</v>
      </c>
      <c r="G47" s="19">
        <v>3</v>
      </c>
      <c r="H47" s="19">
        <v>0</v>
      </c>
      <c r="I47" s="19">
        <v>3</v>
      </c>
      <c r="J47" s="19">
        <v>5</v>
      </c>
      <c r="K47" s="19">
        <v>1</v>
      </c>
      <c r="L47" s="19">
        <v>1</v>
      </c>
      <c r="M47" s="19">
        <v>0</v>
      </c>
    </row>
    <row r="48" spans="2:13" ht="12.5">
      <c r="B48" s="33" t="s">
        <v>47</v>
      </c>
      <c r="C48" s="34">
        <v>1</v>
      </c>
      <c r="D48" s="19">
        <v>1</v>
      </c>
      <c r="E48" s="19">
        <v>2</v>
      </c>
      <c r="F48" s="19">
        <v>0</v>
      </c>
      <c r="G48" s="19">
        <v>1</v>
      </c>
      <c r="H48" s="19">
        <v>1</v>
      </c>
      <c r="I48" s="19">
        <v>0</v>
      </c>
      <c r="J48" s="19">
        <v>1</v>
      </c>
      <c r="K48" s="19">
        <v>0</v>
      </c>
      <c r="L48" s="19">
        <v>0</v>
      </c>
      <c r="M48" s="19">
        <v>0</v>
      </c>
    </row>
    <row r="49" spans="2:13" ht="12.5">
      <c r="B49" s="33" t="s">
        <v>48</v>
      </c>
      <c r="C49" s="34">
        <v>3</v>
      </c>
      <c r="D49" s="19">
        <v>4</v>
      </c>
      <c r="E49" s="19">
        <v>2</v>
      </c>
      <c r="F49" s="19">
        <v>3</v>
      </c>
      <c r="G49" s="19">
        <v>7</v>
      </c>
      <c r="H49" s="19">
        <v>2</v>
      </c>
      <c r="I49" s="19">
        <v>4</v>
      </c>
      <c r="J49" s="19">
        <v>6</v>
      </c>
      <c r="K49" s="19">
        <v>9</v>
      </c>
      <c r="L49" s="19">
        <v>7</v>
      </c>
      <c r="M49" s="19">
        <v>4</v>
      </c>
    </row>
    <row r="50" spans="2:13" ht="12.5">
      <c r="B50" s="33" t="s">
        <v>49</v>
      </c>
      <c r="C50" s="34">
        <v>0</v>
      </c>
      <c r="D50" s="19">
        <v>1</v>
      </c>
      <c r="E50" s="19">
        <v>0</v>
      </c>
      <c r="F50" s="19">
        <v>0</v>
      </c>
      <c r="G50" s="19">
        <v>3</v>
      </c>
      <c r="H50" s="19">
        <v>3</v>
      </c>
      <c r="I50" s="19">
        <v>0</v>
      </c>
      <c r="J50" s="19">
        <v>1</v>
      </c>
      <c r="K50" s="19">
        <v>0</v>
      </c>
      <c r="L50" s="19">
        <v>1</v>
      </c>
      <c r="M50" s="19">
        <v>0</v>
      </c>
    </row>
    <row r="51" spans="2:13" ht="12.5">
      <c r="B51" s="33" t="s">
        <v>50</v>
      </c>
      <c r="C51" s="34">
        <v>2</v>
      </c>
      <c r="D51" s="19">
        <v>4</v>
      </c>
      <c r="E51" s="19">
        <v>0</v>
      </c>
      <c r="F51" s="19">
        <v>0</v>
      </c>
      <c r="G51" s="19">
        <v>0</v>
      </c>
      <c r="H51" s="19">
        <v>8</v>
      </c>
      <c r="I51" s="19">
        <v>4</v>
      </c>
      <c r="J51" s="19">
        <v>2</v>
      </c>
      <c r="K51" s="19">
        <v>1</v>
      </c>
      <c r="L51" s="19">
        <v>1</v>
      </c>
      <c r="M51" s="19">
        <v>4</v>
      </c>
    </row>
    <row r="52" spans="2:13" ht="12.5">
      <c r="B52" s="33" t="s">
        <v>51</v>
      </c>
      <c r="C52" s="34">
        <v>1</v>
      </c>
      <c r="D52" s="19">
        <v>0</v>
      </c>
      <c r="E52" s="19">
        <v>0</v>
      </c>
      <c r="F52" s="19">
        <v>0</v>
      </c>
      <c r="G52" s="19">
        <v>1</v>
      </c>
      <c r="H52" s="19">
        <v>2</v>
      </c>
      <c r="I52" s="19">
        <v>1</v>
      </c>
      <c r="J52" s="19">
        <v>0</v>
      </c>
      <c r="K52" s="19">
        <v>1</v>
      </c>
      <c r="L52" s="19">
        <v>0</v>
      </c>
      <c r="M52" s="19">
        <v>0</v>
      </c>
    </row>
    <row r="53" spans="2:13" ht="12.5">
      <c r="B53" s="33" t="s">
        <v>94</v>
      </c>
      <c r="C53" s="34">
        <v>1</v>
      </c>
      <c r="D53" s="19">
        <v>4</v>
      </c>
      <c r="E53" s="19">
        <v>2</v>
      </c>
      <c r="F53" s="19">
        <v>3</v>
      </c>
      <c r="G53" s="19">
        <v>1</v>
      </c>
      <c r="H53" s="19">
        <v>1</v>
      </c>
      <c r="I53" s="19">
        <v>2</v>
      </c>
      <c r="J53" s="19">
        <v>4</v>
      </c>
      <c r="K53" s="19">
        <v>0</v>
      </c>
      <c r="L53" s="19">
        <v>0</v>
      </c>
      <c r="M53" s="19">
        <v>5</v>
      </c>
    </row>
    <row r="54" spans="2:13" ht="12.5">
      <c r="B54" s="33" t="s">
        <v>52</v>
      </c>
      <c r="C54" s="34">
        <v>2</v>
      </c>
      <c r="D54" s="19">
        <v>2</v>
      </c>
      <c r="E54" s="19">
        <v>2</v>
      </c>
      <c r="F54" s="19">
        <v>0</v>
      </c>
      <c r="G54" s="19">
        <v>0</v>
      </c>
      <c r="H54" s="19">
        <v>0</v>
      </c>
      <c r="I54" s="19">
        <v>2</v>
      </c>
      <c r="J54" s="19">
        <v>2</v>
      </c>
      <c r="K54" s="19">
        <v>1</v>
      </c>
      <c r="L54" s="19">
        <v>2</v>
      </c>
      <c r="M54" s="19">
        <v>1</v>
      </c>
    </row>
    <row r="55" spans="2:13" ht="12.5">
      <c r="B55" s="33" t="s">
        <v>53</v>
      </c>
      <c r="C55" s="34">
        <v>0</v>
      </c>
      <c r="D55" s="19">
        <v>1</v>
      </c>
      <c r="E55" s="19">
        <v>0</v>
      </c>
      <c r="F55" s="19">
        <v>1</v>
      </c>
      <c r="G55" s="19">
        <v>0</v>
      </c>
      <c r="H55" s="19">
        <v>0</v>
      </c>
      <c r="I55" s="19">
        <v>3</v>
      </c>
      <c r="J55" s="19">
        <v>0</v>
      </c>
      <c r="K55" s="19">
        <v>0</v>
      </c>
      <c r="L55" s="19">
        <v>0</v>
      </c>
      <c r="M55" s="19">
        <v>2</v>
      </c>
    </row>
    <row r="56" spans="2:13" ht="12.5">
      <c r="B56" s="33" t="s">
        <v>54</v>
      </c>
      <c r="C56" s="34">
        <v>6</v>
      </c>
      <c r="D56" s="19">
        <v>7</v>
      </c>
      <c r="E56" s="19">
        <v>4</v>
      </c>
      <c r="F56" s="19">
        <v>2</v>
      </c>
      <c r="G56" s="19">
        <v>0</v>
      </c>
      <c r="H56" s="19">
        <v>2</v>
      </c>
      <c r="I56" s="19">
        <v>1</v>
      </c>
      <c r="J56" s="19">
        <v>3</v>
      </c>
      <c r="K56" s="19">
        <v>2</v>
      </c>
      <c r="L56" s="19">
        <v>2</v>
      </c>
      <c r="M56" s="19">
        <v>2</v>
      </c>
    </row>
    <row r="57" spans="2:13" ht="12.5">
      <c r="B57" s="33" t="s">
        <v>55</v>
      </c>
      <c r="C57" s="34">
        <v>3</v>
      </c>
      <c r="D57" s="19">
        <v>0</v>
      </c>
      <c r="E57" s="19">
        <v>1</v>
      </c>
      <c r="F57" s="19">
        <v>1</v>
      </c>
      <c r="G57" s="19">
        <v>1</v>
      </c>
      <c r="H57" s="19">
        <v>0</v>
      </c>
      <c r="I57" s="19">
        <v>1</v>
      </c>
      <c r="J57" s="19">
        <v>1</v>
      </c>
      <c r="K57" s="19">
        <v>0</v>
      </c>
      <c r="L57" s="19">
        <v>1</v>
      </c>
      <c r="M57" s="19">
        <v>1</v>
      </c>
    </row>
    <row r="58" spans="2:13" ht="12.5">
      <c r="B58" s="33" t="s">
        <v>56</v>
      </c>
      <c r="C58" s="34">
        <v>1</v>
      </c>
      <c r="D58" s="19">
        <v>4</v>
      </c>
      <c r="E58" s="19">
        <v>0</v>
      </c>
      <c r="F58" s="19">
        <v>0</v>
      </c>
      <c r="G58" s="19">
        <v>2</v>
      </c>
      <c r="H58" s="19">
        <v>0</v>
      </c>
      <c r="I58" s="19">
        <v>0</v>
      </c>
      <c r="J58" s="19">
        <v>4</v>
      </c>
      <c r="K58" s="19">
        <v>1</v>
      </c>
      <c r="L58" s="19">
        <v>5</v>
      </c>
      <c r="M58" s="19">
        <v>4</v>
      </c>
    </row>
    <row r="59" spans="2:13" ht="12.5">
      <c r="B59" s="33" t="s">
        <v>57</v>
      </c>
      <c r="C59" s="34">
        <v>2</v>
      </c>
      <c r="D59" s="19">
        <v>3</v>
      </c>
      <c r="E59" s="19">
        <v>1</v>
      </c>
      <c r="F59" s="19">
        <v>2</v>
      </c>
      <c r="G59" s="19">
        <v>4</v>
      </c>
      <c r="H59" s="19">
        <v>0</v>
      </c>
      <c r="I59" s="19">
        <v>0</v>
      </c>
      <c r="J59" s="19">
        <v>1</v>
      </c>
      <c r="K59" s="19">
        <v>3</v>
      </c>
      <c r="L59" s="19">
        <v>2</v>
      </c>
      <c r="M59" s="19">
        <v>1</v>
      </c>
    </row>
    <row r="60" spans="2:13" ht="12.5">
      <c r="B60" s="33" t="s">
        <v>58</v>
      </c>
      <c r="C60" s="34">
        <v>3</v>
      </c>
      <c r="D60" s="19">
        <v>9</v>
      </c>
      <c r="E60" s="19">
        <v>0</v>
      </c>
      <c r="F60" s="19">
        <v>0</v>
      </c>
      <c r="G60" s="19">
        <v>0</v>
      </c>
      <c r="H60" s="19">
        <v>0</v>
      </c>
      <c r="I60" s="19">
        <v>1</v>
      </c>
      <c r="J60" s="19">
        <v>2</v>
      </c>
      <c r="K60" s="19">
        <v>1</v>
      </c>
      <c r="L60" s="19">
        <v>1</v>
      </c>
      <c r="M60" s="19">
        <v>0</v>
      </c>
    </row>
    <row r="61" spans="2:13" ht="12.5">
      <c r="B61" s="33" t="s">
        <v>59</v>
      </c>
      <c r="C61" s="34">
        <v>0</v>
      </c>
      <c r="D61" s="19">
        <v>0</v>
      </c>
      <c r="E61" s="19">
        <v>1</v>
      </c>
      <c r="F61" s="19">
        <v>0</v>
      </c>
      <c r="G61" s="19">
        <v>2</v>
      </c>
      <c r="H61" s="19">
        <v>0</v>
      </c>
      <c r="I61" s="19">
        <v>3</v>
      </c>
      <c r="J61" s="19">
        <v>4</v>
      </c>
      <c r="K61" s="19">
        <v>1</v>
      </c>
      <c r="L61" s="19">
        <v>4</v>
      </c>
      <c r="M61" s="19">
        <v>1</v>
      </c>
    </row>
    <row r="62" spans="2:13" ht="12.5">
      <c r="B62" s="33" t="s">
        <v>60</v>
      </c>
      <c r="C62" s="34">
        <v>3</v>
      </c>
      <c r="D62" s="19">
        <v>4</v>
      </c>
      <c r="E62" s="19">
        <v>3</v>
      </c>
      <c r="F62" s="19">
        <v>0</v>
      </c>
      <c r="G62" s="19">
        <v>2</v>
      </c>
      <c r="H62" s="19">
        <v>4</v>
      </c>
      <c r="I62" s="19">
        <v>5</v>
      </c>
      <c r="J62" s="19">
        <v>6</v>
      </c>
      <c r="K62" s="19">
        <v>6</v>
      </c>
      <c r="L62" s="19">
        <v>1</v>
      </c>
      <c r="M62" s="19">
        <v>5</v>
      </c>
    </row>
    <row r="63" spans="2:13" ht="12.5">
      <c r="B63" s="33" t="s">
        <v>61</v>
      </c>
      <c r="C63" s="34">
        <v>2</v>
      </c>
      <c r="D63" s="19">
        <v>4</v>
      </c>
      <c r="E63" s="19">
        <v>5</v>
      </c>
      <c r="F63" s="19">
        <v>1</v>
      </c>
      <c r="G63" s="19">
        <v>4</v>
      </c>
      <c r="H63" s="19">
        <v>3</v>
      </c>
      <c r="I63" s="19">
        <v>0</v>
      </c>
      <c r="J63" s="19">
        <v>15</v>
      </c>
      <c r="K63" s="19">
        <v>7</v>
      </c>
      <c r="L63" s="19">
        <v>6</v>
      </c>
      <c r="M63" s="19">
        <v>12</v>
      </c>
    </row>
    <row r="64" spans="2:13" ht="12.5">
      <c r="B64" s="33" t="s">
        <v>62</v>
      </c>
      <c r="C64" s="34">
        <v>2</v>
      </c>
      <c r="D64" s="19">
        <v>3</v>
      </c>
      <c r="E64" s="19">
        <v>4</v>
      </c>
      <c r="F64" s="19">
        <v>0</v>
      </c>
      <c r="G64" s="19">
        <v>0</v>
      </c>
      <c r="H64" s="19">
        <v>1</v>
      </c>
      <c r="I64" s="19">
        <v>3</v>
      </c>
      <c r="J64" s="19">
        <v>2</v>
      </c>
      <c r="K64" s="19">
        <v>1</v>
      </c>
      <c r="L64" s="19">
        <v>1</v>
      </c>
      <c r="M64" s="19">
        <v>3</v>
      </c>
    </row>
    <row r="65" spans="2:13" ht="12.5">
      <c r="B65" s="33" t="s">
        <v>170</v>
      </c>
      <c r="C65" s="34">
        <v>0</v>
      </c>
      <c r="D65" s="19">
        <v>0</v>
      </c>
      <c r="E65" s="19">
        <v>0</v>
      </c>
      <c r="F65" s="19">
        <v>0</v>
      </c>
      <c r="G65" s="19">
        <v>0</v>
      </c>
      <c r="H65" s="19">
        <v>0</v>
      </c>
      <c r="I65" s="19">
        <v>0</v>
      </c>
      <c r="J65" s="19">
        <v>1</v>
      </c>
      <c r="K65" s="19">
        <v>1</v>
      </c>
      <c r="L65" s="19">
        <v>0</v>
      </c>
      <c r="M65" s="19">
        <v>0</v>
      </c>
    </row>
    <row r="66" spans="2:13" ht="12.5">
      <c r="B66" s="33" t="s">
        <v>63</v>
      </c>
      <c r="C66" s="34">
        <v>0</v>
      </c>
      <c r="D66" s="19">
        <v>1</v>
      </c>
      <c r="E66" s="19">
        <v>1</v>
      </c>
      <c r="F66" s="19">
        <v>0</v>
      </c>
      <c r="G66" s="19">
        <v>0</v>
      </c>
      <c r="H66" s="19">
        <v>0</v>
      </c>
      <c r="I66" s="19">
        <v>1</v>
      </c>
      <c r="J66" s="19">
        <v>1</v>
      </c>
      <c r="K66" s="19">
        <v>1</v>
      </c>
      <c r="L66" s="19">
        <v>3</v>
      </c>
      <c r="M66" s="19">
        <v>0</v>
      </c>
    </row>
    <row r="67" spans="2:13" ht="12.5">
      <c r="B67" s="33" t="s">
        <v>64</v>
      </c>
      <c r="C67" s="34">
        <v>0</v>
      </c>
      <c r="D67" s="19">
        <v>0</v>
      </c>
      <c r="E67" s="19">
        <v>1</v>
      </c>
      <c r="F67" s="19">
        <v>3</v>
      </c>
      <c r="G67" s="19">
        <v>1</v>
      </c>
      <c r="H67" s="19">
        <v>0</v>
      </c>
      <c r="I67" s="19">
        <v>0</v>
      </c>
      <c r="J67" s="19">
        <v>0</v>
      </c>
      <c r="K67" s="19">
        <v>1</v>
      </c>
      <c r="L67" s="19">
        <v>0</v>
      </c>
      <c r="M67" s="19">
        <v>0</v>
      </c>
    </row>
    <row r="68" spans="2:13" ht="12.5">
      <c r="B68" s="33" t="s">
        <v>65</v>
      </c>
      <c r="C68" s="34">
        <v>0</v>
      </c>
      <c r="D68" s="19">
        <v>1</v>
      </c>
      <c r="E68" s="19">
        <v>1</v>
      </c>
      <c r="F68" s="19">
        <v>0</v>
      </c>
      <c r="G68" s="19">
        <v>0</v>
      </c>
      <c r="H68" s="19">
        <v>0</v>
      </c>
      <c r="I68" s="19">
        <v>0</v>
      </c>
      <c r="J68" s="19">
        <v>2</v>
      </c>
      <c r="K68" s="19">
        <v>1</v>
      </c>
      <c r="L68" s="19">
        <v>2</v>
      </c>
      <c r="M68" s="19">
        <v>0</v>
      </c>
    </row>
    <row r="69" spans="2:13" ht="12.5">
      <c r="B69" s="33" t="s">
        <v>66</v>
      </c>
      <c r="C69" s="34">
        <v>1</v>
      </c>
      <c r="D69" s="19">
        <v>0</v>
      </c>
      <c r="E69" s="19">
        <v>2</v>
      </c>
      <c r="F69" s="19">
        <v>0</v>
      </c>
      <c r="G69" s="19">
        <v>0</v>
      </c>
      <c r="H69" s="19">
        <v>2</v>
      </c>
      <c r="I69" s="19">
        <v>1</v>
      </c>
      <c r="J69" s="19">
        <v>2</v>
      </c>
      <c r="K69" s="19">
        <v>4</v>
      </c>
      <c r="L69" s="19">
        <v>2</v>
      </c>
      <c r="M69" s="19">
        <v>1</v>
      </c>
    </row>
    <row r="70" spans="2:13" ht="12.5">
      <c r="B70" s="33" t="s">
        <v>67</v>
      </c>
      <c r="C70" s="34">
        <v>0</v>
      </c>
      <c r="D70" s="19">
        <v>0</v>
      </c>
      <c r="E70" s="19">
        <v>1</v>
      </c>
      <c r="F70" s="19">
        <v>1</v>
      </c>
      <c r="G70" s="19">
        <v>1</v>
      </c>
      <c r="H70" s="19">
        <v>0</v>
      </c>
      <c r="I70" s="19">
        <v>1</v>
      </c>
      <c r="J70" s="19">
        <v>0</v>
      </c>
      <c r="K70" s="19">
        <v>0</v>
      </c>
      <c r="L70" s="19">
        <v>0</v>
      </c>
      <c r="M70" s="19">
        <v>0</v>
      </c>
    </row>
    <row r="71" spans="2:13" ht="12.5">
      <c r="B71" s="33" t="s">
        <v>68</v>
      </c>
      <c r="C71" s="34">
        <v>0</v>
      </c>
      <c r="D71" s="19">
        <v>0</v>
      </c>
      <c r="E71" s="19">
        <v>0</v>
      </c>
      <c r="F71" s="19">
        <v>0</v>
      </c>
      <c r="G71" s="19">
        <v>0</v>
      </c>
      <c r="H71" s="19">
        <v>0</v>
      </c>
      <c r="I71" s="19">
        <v>0</v>
      </c>
      <c r="J71" s="19">
        <v>0</v>
      </c>
      <c r="K71" s="19">
        <v>0</v>
      </c>
      <c r="L71" s="19">
        <v>0</v>
      </c>
      <c r="M71" s="19">
        <v>1</v>
      </c>
    </row>
    <row r="72" spans="2:13" ht="12.5">
      <c r="B72" s="33" t="s">
        <v>69</v>
      </c>
      <c r="C72" s="34">
        <v>0</v>
      </c>
      <c r="D72" s="19">
        <v>1</v>
      </c>
      <c r="E72" s="19">
        <v>1</v>
      </c>
      <c r="F72" s="19">
        <v>0</v>
      </c>
      <c r="G72" s="19">
        <v>1</v>
      </c>
      <c r="H72" s="19">
        <v>2</v>
      </c>
      <c r="I72" s="19">
        <v>0</v>
      </c>
      <c r="J72" s="19">
        <v>1</v>
      </c>
      <c r="K72" s="19">
        <v>1</v>
      </c>
      <c r="L72" s="19">
        <v>0</v>
      </c>
      <c r="M72" s="19">
        <v>2</v>
      </c>
    </row>
    <row r="73" spans="2:13" ht="12.5">
      <c r="B73" s="33" t="s">
        <v>70</v>
      </c>
      <c r="C73" s="34">
        <v>0</v>
      </c>
      <c r="D73" s="19">
        <v>2</v>
      </c>
      <c r="E73" s="19">
        <v>4</v>
      </c>
      <c r="F73" s="19">
        <v>0</v>
      </c>
      <c r="G73" s="19">
        <v>0</v>
      </c>
      <c r="H73" s="19">
        <v>0</v>
      </c>
      <c r="I73" s="19">
        <v>0</v>
      </c>
      <c r="J73" s="19">
        <v>1</v>
      </c>
      <c r="K73" s="19">
        <v>2</v>
      </c>
      <c r="L73" s="19">
        <v>1</v>
      </c>
      <c r="M73" s="19">
        <v>0</v>
      </c>
    </row>
    <row r="74" spans="2:13" ht="12.5">
      <c r="B74" s="33" t="s">
        <v>71</v>
      </c>
      <c r="C74" s="34">
        <v>1</v>
      </c>
      <c r="D74" s="19">
        <v>0</v>
      </c>
      <c r="E74" s="19">
        <v>0</v>
      </c>
      <c r="F74" s="19">
        <v>2</v>
      </c>
      <c r="G74" s="19">
        <v>0</v>
      </c>
      <c r="H74" s="19">
        <v>0</v>
      </c>
      <c r="I74" s="19">
        <v>0</v>
      </c>
      <c r="J74" s="19">
        <v>1</v>
      </c>
      <c r="K74" s="19">
        <v>1</v>
      </c>
      <c r="L74" s="19">
        <v>3</v>
      </c>
      <c r="M74" s="19">
        <v>2</v>
      </c>
    </row>
    <row r="75" spans="2:13" ht="12.5">
      <c r="B75" s="33" t="s">
        <v>72</v>
      </c>
      <c r="C75" s="34">
        <v>1</v>
      </c>
      <c r="D75" s="19">
        <v>0</v>
      </c>
      <c r="E75" s="19">
        <v>0</v>
      </c>
      <c r="F75" s="19">
        <v>2</v>
      </c>
      <c r="G75" s="19">
        <v>1</v>
      </c>
      <c r="H75" s="19">
        <v>3</v>
      </c>
      <c r="I75" s="19">
        <v>4</v>
      </c>
      <c r="J75" s="19">
        <v>8</v>
      </c>
      <c r="K75" s="19">
        <v>1</v>
      </c>
      <c r="L75" s="19">
        <v>4</v>
      </c>
      <c r="M75" s="19">
        <v>2</v>
      </c>
    </row>
    <row r="76" spans="2:13" ht="12.5">
      <c r="B76" s="33" t="s">
        <v>73</v>
      </c>
      <c r="C76" s="34">
        <v>10</v>
      </c>
      <c r="D76" s="19">
        <v>14</v>
      </c>
      <c r="E76" s="19">
        <v>6</v>
      </c>
      <c r="F76" s="19">
        <v>10</v>
      </c>
      <c r="G76" s="19">
        <v>18</v>
      </c>
      <c r="H76" s="19">
        <v>34</v>
      </c>
      <c r="I76" s="19">
        <v>20</v>
      </c>
      <c r="J76" s="19">
        <v>11</v>
      </c>
      <c r="K76" s="19">
        <v>10</v>
      </c>
      <c r="L76" s="19">
        <v>21</v>
      </c>
      <c r="M76" s="19">
        <v>11</v>
      </c>
    </row>
    <row r="77" spans="2:13" ht="12.5">
      <c r="B77" s="33" t="s">
        <v>74</v>
      </c>
      <c r="C77" s="34">
        <v>3</v>
      </c>
      <c r="D77" s="19">
        <v>3</v>
      </c>
      <c r="E77" s="19">
        <v>2</v>
      </c>
      <c r="F77" s="19">
        <v>0</v>
      </c>
      <c r="G77" s="19">
        <v>5</v>
      </c>
      <c r="H77" s="19">
        <v>6</v>
      </c>
      <c r="I77" s="19">
        <v>2</v>
      </c>
      <c r="J77" s="19">
        <v>1</v>
      </c>
      <c r="K77" s="19">
        <v>2</v>
      </c>
      <c r="L77" s="19">
        <v>8</v>
      </c>
      <c r="M77" s="19">
        <v>3</v>
      </c>
    </row>
    <row r="78" spans="2:13" ht="12.5">
      <c r="B78" s="33" t="s">
        <v>75</v>
      </c>
      <c r="C78" s="34">
        <v>27</v>
      </c>
      <c r="D78" s="19">
        <v>4</v>
      </c>
      <c r="E78" s="19">
        <v>0</v>
      </c>
      <c r="F78" s="19">
        <v>1</v>
      </c>
      <c r="G78" s="19">
        <v>4</v>
      </c>
      <c r="H78" s="19">
        <v>7</v>
      </c>
      <c r="I78" s="19">
        <v>1</v>
      </c>
      <c r="J78" s="19">
        <v>2</v>
      </c>
      <c r="K78" s="19">
        <v>1</v>
      </c>
      <c r="L78" s="19">
        <v>3</v>
      </c>
      <c r="M78" s="19">
        <v>4</v>
      </c>
    </row>
    <row r="79" spans="2:13" ht="12.5">
      <c r="B79" s="33" t="s">
        <v>76</v>
      </c>
      <c r="C79" s="34">
        <v>3</v>
      </c>
      <c r="D79" s="19">
        <v>0</v>
      </c>
      <c r="E79" s="19">
        <v>0</v>
      </c>
      <c r="F79" s="19">
        <v>0</v>
      </c>
      <c r="G79" s="19">
        <v>2</v>
      </c>
      <c r="H79" s="19">
        <v>0</v>
      </c>
      <c r="I79" s="19">
        <v>2</v>
      </c>
      <c r="J79" s="19">
        <v>5</v>
      </c>
      <c r="K79" s="19">
        <v>2</v>
      </c>
      <c r="L79" s="19">
        <v>4</v>
      </c>
      <c r="M79" s="19">
        <v>0</v>
      </c>
    </row>
    <row r="80" spans="2:13" ht="12.5">
      <c r="B80" s="33" t="s">
        <v>77</v>
      </c>
      <c r="C80" s="34">
        <v>0</v>
      </c>
      <c r="D80" s="19">
        <v>1</v>
      </c>
      <c r="E80" s="19">
        <v>0</v>
      </c>
      <c r="F80" s="19">
        <v>0</v>
      </c>
      <c r="G80" s="19">
        <v>0</v>
      </c>
      <c r="H80" s="19">
        <v>1</v>
      </c>
      <c r="I80" s="19">
        <v>1</v>
      </c>
      <c r="J80" s="19">
        <v>1</v>
      </c>
      <c r="K80" s="19">
        <v>1</v>
      </c>
      <c r="L80" s="19">
        <v>0</v>
      </c>
      <c r="M80" s="19">
        <v>0</v>
      </c>
    </row>
    <row r="81" spans="2:13" ht="12.5">
      <c r="B81" s="33" t="s">
        <v>78</v>
      </c>
      <c r="C81" s="34">
        <v>0</v>
      </c>
      <c r="D81" s="19">
        <v>1</v>
      </c>
      <c r="E81" s="19">
        <v>2</v>
      </c>
      <c r="F81" s="19">
        <v>0</v>
      </c>
      <c r="G81" s="19">
        <v>0</v>
      </c>
      <c r="H81" s="19">
        <v>0</v>
      </c>
      <c r="I81" s="19">
        <v>0</v>
      </c>
      <c r="J81" s="19">
        <v>0</v>
      </c>
      <c r="K81" s="19">
        <v>1</v>
      </c>
      <c r="L81" s="19">
        <v>1</v>
      </c>
      <c r="M81" s="19">
        <v>1</v>
      </c>
    </row>
    <row r="82" spans="2:13" ht="12.5">
      <c r="B82" s="33" t="s">
        <v>79</v>
      </c>
      <c r="C82" s="34">
        <v>0</v>
      </c>
      <c r="D82" s="19">
        <v>0</v>
      </c>
      <c r="E82" s="19">
        <v>0</v>
      </c>
      <c r="F82" s="19">
        <v>0</v>
      </c>
      <c r="G82" s="19">
        <v>1</v>
      </c>
      <c r="H82" s="19">
        <v>0</v>
      </c>
      <c r="I82" s="19">
        <v>1</v>
      </c>
      <c r="J82" s="19">
        <v>0</v>
      </c>
      <c r="K82" s="19">
        <v>0</v>
      </c>
      <c r="L82" s="19">
        <v>0</v>
      </c>
      <c r="M82" s="19">
        <v>0</v>
      </c>
    </row>
    <row r="83" spans="2:13" ht="12.5">
      <c r="B83" s="33" t="s">
        <v>80</v>
      </c>
      <c r="C83" s="34">
        <v>3</v>
      </c>
      <c r="D83" s="19">
        <v>5</v>
      </c>
      <c r="E83" s="19">
        <v>2</v>
      </c>
      <c r="F83" s="19">
        <v>4</v>
      </c>
      <c r="G83" s="19">
        <v>4</v>
      </c>
      <c r="H83" s="19">
        <v>2</v>
      </c>
      <c r="I83" s="19">
        <v>0</v>
      </c>
      <c r="J83" s="19">
        <v>3</v>
      </c>
      <c r="K83" s="19">
        <v>1</v>
      </c>
      <c r="L83" s="19">
        <v>0</v>
      </c>
      <c r="M83" s="19">
        <v>0</v>
      </c>
    </row>
    <row r="84" spans="2:13" ht="12.5">
      <c r="B84" s="33" t="s">
        <v>81</v>
      </c>
      <c r="C84" s="34">
        <v>2</v>
      </c>
      <c r="D84" s="19">
        <v>1</v>
      </c>
      <c r="E84" s="19">
        <v>2</v>
      </c>
      <c r="F84" s="19">
        <v>1</v>
      </c>
      <c r="G84" s="19">
        <v>1</v>
      </c>
      <c r="H84" s="19">
        <v>0</v>
      </c>
      <c r="I84" s="19">
        <v>0</v>
      </c>
      <c r="J84" s="19">
        <v>1</v>
      </c>
      <c r="K84" s="19">
        <v>1</v>
      </c>
      <c r="L84" s="19">
        <v>0</v>
      </c>
      <c r="M84" s="19">
        <v>1</v>
      </c>
    </row>
    <row r="85" spans="2:13" ht="12.5">
      <c r="B85" s="33" t="s">
        <v>82</v>
      </c>
      <c r="C85" s="34">
        <v>1</v>
      </c>
      <c r="D85" s="19">
        <v>0</v>
      </c>
      <c r="E85" s="19">
        <v>3</v>
      </c>
      <c r="F85" s="19">
        <v>2</v>
      </c>
      <c r="G85" s="19">
        <v>0</v>
      </c>
      <c r="H85" s="19">
        <v>1</v>
      </c>
      <c r="I85" s="19">
        <v>0</v>
      </c>
      <c r="J85" s="19">
        <v>0</v>
      </c>
      <c r="K85" s="19">
        <v>0</v>
      </c>
      <c r="L85" s="19">
        <v>0</v>
      </c>
      <c r="M85" s="19">
        <v>2</v>
      </c>
    </row>
    <row r="86" spans="2:13" ht="12.5">
      <c r="B86" s="33" t="s">
        <v>83</v>
      </c>
      <c r="C86" s="34">
        <v>9</v>
      </c>
      <c r="D86" s="19">
        <v>1</v>
      </c>
      <c r="E86" s="19">
        <v>7</v>
      </c>
      <c r="F86" s="19">
        <v>7</v>
      </c>
      <c r="G86" s="19">
        <v>8</v>
      </c>
      <c r="H86" s="19">
        <v>7</v>
      </c>
      <c r="I86" s="19">
        <v>2</v>
      </c>
      <c r="J86" s="19">
        <v>3</v>
      </c>
      <c r="K86" s="19">
        <v>5</v>
      </c>
      <c r="L86" s="19">
        <v>2</v>
      </c>
      <c r="M86" s="19">
        <v>4</v>
      </c>
    </row>
    <row r="87" spans="2:13" ht="12.5">
      <c r="B87" s="33" t="s">
        <v>84</v>
      </c>
      <c r="C87" s="34">
        <v>6</v>
      </c>
      <c r="D87" s="19">
        <v>3</v>
      </c>
      <c r="E87" s="19">
        <v>2</v>
      </c>
      <c r="F87" s="19">
        <v>1</v>
      </c>
      <c r="G87" s="19">
        <v>1</v>
      </c>
      <c r="H87" s="19">
        <v>0</v>
      </c>
      <c r="I87" s="19">
        <v>0</v>
      </c>
      <c r="J87" s="19">
        <v>0</v>
      </c>
      <c r="K87" s="19">
        <v>0</v>
      </c>
      <c r="L87" s="19">
        <v>0</v>
      </c>
      <c r="M87" s="19">
        <v>1</v>
      </c>
    </row>
    <row r="88" spans="2:13" ht="12.5">
      <c r="B88" s="33" t="s">
        <v>85</v>
      </c>
      <c r="C88" s="34">
        <v>3</v>
      </c>
      <c r="D88" s="19">
        <v>0</v>
      </c>
      <c r="E88" s="19">
        <v>3</v>
      </c>
      <c r="F88" s="19">
        <v>0</v>
      </c>
      <c r="G88" s="19">
        <v>2</v>
      </c>
      <c r="H88" s="19">
        <v>7</v>
      </c>
      <c r="I88" s="19">
        <v>4</v>
      </c>
      <c r="J88" s="19">
        <v>1</v>
      </c>
      <c r="K88" s="19">
        <v>4</v>
      </c>
      <c r="L88" s="19">
        <v>0</v>
      </c>
      <c r="M88" s="19">
        <v>2</v>
      </c>
    </row>
    <row r="89" spans="2:13" ht="12.5">
      <c r="B89" s="33" t="s">
        <v>86</v>
      </c>
      <c r="C89" s="34">
        <v>1</v>
      </c>
      <c r="D89" s="19">
        <v>0</v>
      </c>
      <c r="E89" s="19">
        <v>3</v>
      </c>
      <c r="F89" s="19">
        <v>0</v>
      </c>
      <c r="G89" s="19">
        <v>0</v>
      </c>
      <c r="H89" s="19">
        <v>3</v>
      </c>
      <c r="I89" s="19">
        <v>0</v>
      </c>
      <c r="J89" s="19">
        <v>0</v>
      </c>
      <c r="K89" s="19">
        <v>2</v>
      </c>
      <c r="L89" s="19">
        <v>0</v>
      </c>
      <c r="M89" s="19">
        <v>3</v>
      </c>
    </row>
    <row r="90" spans="2:13" ht="12.5">
      <c r="B90" s="33" t="s">
        <v>87</v>
      </c>
      <c r="C90" s="34">
        <v>1</v>
      </c>
      <c r="D90" s="19">
        <v>2</v>
      </c>
      <c r="E90" s="19">
        <v>0</v>
      </c>
      <c r="F90" s="19">
        <v>0</v>
      </c>
      <c r="G90" s="19">
        <v>2</v>
      </c>
      <c r="H90" s="19">
        <v>0</v>
      </c>
      <c r="I90" s="19">
        <v>6</v>
      </c>
      <c r="J90" s="19">
        <v>6</v>
      </c>
      <c r="K90" s="19">
        <v>4</v>
      </c>
      <c r="L90" s="19">
        <v>0</v>
      </c>
      <c r="M90" s="19">
        <v>3</v>
      </c>
    </row>
    <row r="91" spans="2:13" ht="12.5">
      <c r="B91" s="33" t="s">
        <v>111</v>
      </c>
      <c r="C91" s="34">
        <v>1</v>
      </c>
      <c r="D91" s="19">
        <v>1</v>
      </c>
      <c r="E91" s="19">
        <v>1</v>
      </c>
      <c r="F91" s="19">
        <v>1</v>
      </c>
      <c r="G91" s="19">
        <v>2</v>
      </c>
      <c r="H91" s="19">
        <v>1</v>
      </c>
      <c r="I91" s="19">
        <v>2</v>
      </c>
      <c r="J91" s="19">
        <v>0</v>
      </c>
      <c r="K91" s="19">
        <v>0</v>
      </c>
      <c r="L91" s="19">
        <v>3</v>
      </c>
      <c r="M91" s="19">
        <v>0</v>
      </c>
    </row>
    <row r="92" spans="2:13" ht="13">
      <c r="B92" s="52" t="s">
        <v>92</v>
      </c>
      <c r="C92" s="51">
        <v>199</v>
      </c>
      <c r="D92" s="51">
        <v>205</v>
      </c>
      <c r="E92" s="51">
        <v>194</v>
      </c>
      <c r="F92" s="51">
        <v>213</v>
      </c>
      <c r="G92" s="51">
        <v>229</v>
      </c>
      <c r="H92" s="51">
        <v>212</v>
      </c>
      <c r="I92" s="51">
        <v>180</v>
      </c>
      <c r="J92" s="51">
        <v>205</v>
      </c>
      <c r="K92" s="51">
        <v>184</v>
      </c>
      <c r="L92" s="51">
        <v>175</v>
      </c>
      <c r="M92" s="51">
        <v>189</v>
      </c>
    </row>
    <row r="95" spans="2:13">
      <c r="B95" s="37" t="s">
        <v>93</v>
      </c>
    </row>
    <row r="96" spans="2:13" ht="21" customHeight="1">
      <c r="B96" s="4" t="s">
        <v>136</v>
      </c>
    </row>
    <row r="97" spans="2:12" ht="28.5" customHeight="1">
      <c r="B97" s="60" t="s">
        <v>163</v>
      </c>
      <c r="C97" s="60"/>
      <c r="D97" s="60"/>
      <c r="E97" s="60"/>
      <c r="F97" s="60"/>
      <c r="G97" s="60"/>
      <c r="H97" s="60"/>
      <c r="I97" s="60"/>
      <c r="J97" s="60"/>
      <c r="K97" s="60"/>
      <c r="L97" s="60"/>
    </row>
    <row r="98" spans="2:12" ht="12.65" customHeight="1"/>
  </sheetData>
  <mergeCells count="1">
    <mergeCell ref="B97:L97"/>
  </mergeCells>
  <phoneticPr fontId="2" type="noConversion"/>
  <hyperlinks>
    <hyperlink ref="A1" location="Contents!A1" display="Contents!A1" xr:uid="{A9A13229-CA3A-4676-8EED-44FEA5191C2F}"/>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1D7F0-9527-43F2-8A8A-B39D64DE1C11}">
  <sheetPr codeName="Sheet8"/>
  <dimension ref="A1:M13"/>
  <sheetViews>
    <sheetView zoomScaleNormal="100" workbookViewId="0">
      <selection activeCell="E15" sqref="E15"/>
    </sheetView>
  </sheetViews>
  <sheetFormatPr defaultColWidth="9.1796875" defaultRowHeight="12"/>
  <cols>
    <col min="1" max="1" width="9.1796875" style="7"/>
    <col min="2" max="2" width="47.54296875" style="7" customWidth="1"/>
    <col min="3" max="16384" width="9.1796875" style="7"/>
  </cols>
  <sheetData>
    <row r="1" spans="1:13" ht="14">
      <c r="A1" s="24" t="str">
        <f>"Contents"</f>
        <v>Contents</v>
      </c>
      <c r="B1" s="2" t="s">
        <v>180</v>
      </c>
    </row>
    <row r="4" spans="1:13" ht="13">
      <c r="B4" s="47" t="s">
        <v>139</v>
      </c>
      <c r="C4" s="49">
        <v>2014</v>
      </c>
      <c r="D4" s="49">
        <v>2015</v>
      </c>
      <c r="E4" s="49">
        <v>2016</v>
      </c>
      <c r="F4" s="49">
        <v>2017</v>
      </c>
      <c r="G4" s="49">
        <v>2018</v>
      </c>
      <c r="H4" s="49">
        <v>2019</v>
      </c>
      <c r="I4" s="49">
        <v>2020</v>
      </c>
      <c r="J4" s="49">
        <v>2021</v>
      </c>
      <c r="K4" s="49">
        <v>2022</v>
      </c>
      <c r="L4" s="49">
        <v>2023</v>
      </c>
      <c r="M4" s="49">
        <v>2024</v>
      </c>
    </row>
    <row r="5" spans="1:13">
      <c r="B5" s="31" t="s">
        <v>137</v>
      </c>
      <c r="C5" s="38">
        <v>1</v>
      </c>
      <c r="D5" s="38">
        <v>1</v>
      </c>
      <c r="E5" s="38">
        <v>1</v>
      </c>
      <c r="F5" s="38">
        <v>4</v>
      </c>
      <c r="G5" s="38">
        <v>1</v>
      </c>
      <c r="H5" s="38">
        <v>0</v>
      </c>
      <c r="I5" s="38">
        <v>2</v>
      </c>
      <c r="J5" s="38">
        <v>1</v>
      </c>
      <c r="K5" s="38">
        <v>0</v>
      </c>
      <c r="L5" s="38">
        <v>1</v>
      </c>
      <c r="M5" s="38">
        <v>1</v>
      </c>
    </row>
    <row r="6" spans="1:13">
      <c r="B6" s="31" t="s">
        <v>138</v>
      </c>
      <c r="C6" s="38">
        <v>1</v>
      </c>
      <c r="D6" s="38">
        <v>3</v>
      </c>
      <c r="E6" s="38">
        <v>4</v>
      </c>
      <c r="F6" s="38">
        <v>3</v>
      </c>
      <c r="G6" s="38">
        <v>2</v>
      </c>
      <c r="H6" s="38">
        <v>2</v>
      </c>
      <c r="I6" s="38">
        <v>0</v>
      </c>
      <c r="J6" s="38">
        <v>1</v>
      </c>
      <c r="K6" s="38">
        <v>2</v>
      </c>
      <c r="L6" s="38">
        <v>0</v>
      </c>
      <c r="M6" s="38">
        <v>0</v>
      </c>
    </row>
    <row r="7" spans="1:13" ht="12.5">
      <c r="B7" s="36" t="s">
        <v>111</v>
      </c>
      <c r="C7" s="38">
        <v>197</v>
      </c>
      <c r="D7" s="38">
        <v>201</v>
      </c>
      <c r="E7" s="38">
        <v>189</v>
      </c>
      <c r="F7" s="38">
        <v>206</v>
      </c>
      <c r="G7" s="38">
        <v>226</v>
      </c>
      <c r="H7" s="38">
        <v>210</v>
      </c>
      <c r="I7" s="38">
        <v>178</v>
      </c>
      <c r="J7" s="38">
        <v>203</v>
      </c>
      <c r="K7" s="38">
        <v>182</v>
      </c>
      <c r="L7" s="38">
        <v>174</v>
      </c>
      <c r="M7" s="38">
        <v>188</v>
      </c>
    </row>
    <row r="8" spans="1:13" ht="13">
      <c r="B8" s="52" t="s">
        <v>92</v>
      </c>
      <c r="C8" s="51">
        <v>199</v>
      </c>
      <c r="D8" s="51">
        <v>205</v>
      </c>
      <c r="E8" s="51">
        <v>194</v>
      </c>
      <c r="F8" s="51">
        <v>213</v>
      </c>
      <c r="G8" s="51">
        <v>229</v>
      </c>
      <c r="H8" s="51">
        <v>212</v>
      </c>
      <c r="I8" s="51">
        <v>180</v>
      </c>
      <c r="J8" s="51">
        <v>205</v>
      </c>
      <c r="K8" s="51">
        <v>184</v>
      </c>
      <c r="L8" s="51">
        <v>175</v>
      </c>
      <c r="M8" s="51">
        <v>189</v>
      </c>
    </row>
    <row r="11" spans="1:13">
      <c r="B11" s="23" t="s">
        <v>93</v>
      </c>
    </row>
    <row r="12" spans="1:13" ht="23.5" customHeight="1">
      <c r="B12" s="61" t="s">
        <v>157</v>
      </c>
      <c r="C12" s="61"/>
      <c r="D12" s="61"/>
      <c r="E12" s="61"/>
      <c r="F12" s="61"/>
      <c r="G12" s="61"/>
      <c r="H12" s="61"/>
      <c r="I12" s="61"/>
      <c r="J12" s="61"/>
      <c r="K12" s="61"/>
      <c r="L12" s="61"/>
    </row>
    <row r="13" spans="1:13" ht="18" customHeight="1">
      <c r="B13" s="7" t="s">
        <v>140</v>
      </c>
    </row>
  </sheetData>
  <mergeCells count="1">
    <mergeCell ref="B12:L12"/>
  </mergeCells>
  <hyperlinks>
    <hyperlink ref="A1" location="Contents!A1" display="Contents!A1" xr:uid="{F59DA34E-DAF3-4E8B-8670-EBC09776A6D5}"/>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28E17-1E51-4EDC-9F35-91A0F347869E}">
  <sheetPr codeName="Sheet9"/>
  <dimension ref="A1:O28"/>
  <sheetViews>
    <sheetView zoomScaleNormal="100" workbookViewId="0">
      <selection activeCell="K5" sqref="K5"/>
    </sheetView>
  </sheetViews>
  <sheetFormatPr defaultColWidth="9.1796875" defaultRowHeight="12"/>
  <cols>
    <col min="1" max="1" width="9.1796875" style="7"/>
    <col min="2" max="2" width="24.453125" style="7" customWidth="1"/>
    <col min="3" max="3" width="27" style="7" customWidth="1"/>
    <col min="4" max="16384" width="9.1796875" style="7"/>
  </cols>
  <sheetData>
    <row r="1" spans="1:15" ht="14">
      <c r="A1" s="24" t="str">
        <f>"Contents"</f>
        <v>Contents</v>
      </c>
      <c r="B1" s="2" t="s">
        <v>182</v>
      </c>
    </row>
    <row r="2" spans="1:15">
      <c r="B2" s="39" t="s">
        <v>132</v>
      </c>
    </row>
    <row r="4" spans="1:15" ht="39">
      <c r="B4" s="57" t="s">
        <v>171</v>
      </c>
      <c r="C4" s="58" t="s">
        <v>172</v>
      </c>
      <c r="D4" s="49">
        <v>2023</v>
      </c>
      <c r="E4" s="49">
        <v>2024</v>
      </c>
      <c r="J4" s="59"/>
      <c r="N4" s="40"/>
      <c r="O4" s="40"/>
    </row>
    <row r="5" spans="1:15" ht="12.5">
      <c r="B5" s="68" t="s">
        <v>123</v>
      </c>
      <c r="C5" s="41" t="s">
        <v>118</v>
      </c>
      <c r="D5" s="20">
        <v>22</v>
      </c>
      <c r="E5" s="20">
        <v>20</v>
      </c>
      <c r="M5" s="40"/>
      <c r="N5" s="40"/>
      <c r="O5" s="40"/>
    </row>
    <row r="6" spans="1:15" ht="12.5">
      <c r="B6" s="69"/>
      <c r="C6" s="41" t="s">
        <v>117</v>
      </c>
      <c r="D6" s="20">
        <v>23</v>
      </c>
      <c r="E6" s="20">
        <v>32</v>
      </c>
      <c r="M6" s="40"/>
      <c r="N6" s="40"/>
      <c r="O6" s="40"/>
    </row>
    <row r="7" spans="1:15" ht="12.5">
      <c r="B7" s="68" t="s">
        <v>122</v>
      </c>
      <c r="C7" s="41" t="s">
        <v>116</v>
      </c>
      <c r="D7" s="20">
        <v>29</v>
      </c>
      <c r="E7" s="20">
        <v>19</v>
      </c>
      <c r="M7" s="40"/>
      <c r="N7" s="40"/>
      <c r="O7" s="40"/>
    </row>
    <row r="8" spans="1:15" ht="12.5">
      <c r="B8" s="70"/>
      <c r="C8" s="41" t="s">
        <v>115</v>
      </c>
      <c r="D8" s="20">
        <v>22</v>
      </c>
      <c r="E8" s="20">
        <v>21</v>
      </c>
      <c r="M8" s="40"/>
      <c r="N8" s="40"/>
      <c r="O8" s="40"/>
    </row>
    <row r="9" spans="1:15" ht="12.5">
      <c r="B9" s="69"/>
      <c r="C9" s="41" t="s">
        <v>114</v>
      </c>
      <c r="D9" s="20">
        <v>24</v>
      </c>
      <c r="E9" s="20">
        <v>20</v>
      </c>
      <c r="M9" s="40"/>
      <c r="N9" s="40"/>
      <c r="O9" s="40"/>
    </row>
    <row r="10" spans="1:15" ht="12.5">
      <c r="B10" s="68" t="s">
        <v>121</v>
      </c>
      <c r="C10" s="41" t="s">
        <v>119</v>
      </c>
      <c r="D10" s="20">
        <v>17</v>
      </c>
      <c r="E10" s="20">
        <v>26</v>
      </c>
      <c r="M10" s="40"/>
      <c r="N10" s="40"/>
      <c r="O10" s="40"/>
    </row>
    <row r="11" spans="1:15" ht="12.5">
      <c r="B11" s="69"/>
      <c r="C11" s="41" t="s">
        <v>120</v>
      </c>
      <c r="D11" s="20">
        <v>10</v>
      </c>
      <c r="E11" s="20">
        <v>19</v>
      </c>
      <c r="M11" s="40"/>
      <c r="N11" s="40"/>
      <c r="O11" s="40"/>
    </row>
    <row r="12" spans="1:15" ht="12.5">
      <c r="B12" s="42" t="s">
        <v>149</v>
      </c>
      <c r="C12" s="41" t="s">
        <v>149</v>
      </c>
      <c r="D12" s="20">
        <v>28</v>
      </c>
      <c r="E12" s="20">
        <v>32</v>
      </c>
      <c r="H12" s="59"/>
      <c r="I12" s="59"/>
      <c r="J12" s="59"/>
      <c r="M12" s="40"/>
      <c r="N12" s="40"/>
      <c r="O12" s="40"/>
    </row>
    <row r="13" spans="1:15" ht="13">
      <c r="B13" s="50" t="s">
        <v>131</v>
      </c>
      <c r="C13" s="50" t="s">
        <v>131</v>
      </c>
      <c r="D13" s="51">
        <v>175</v>
      </c>
      <c r="E13" s="51">
        <v>189</v>
      </c>
      <c r="H13" s="40"/>
      <c r="I13" s="40"/>
      <c r="J13" s="40"/>
      <c r="K13" s="40"/>
      <c r="L13" s="40"/>
      <c r="M13" s="40"/>
      <c r="N13" s="40"/>
      <c r="O13" s="40"/>
    </row>
    <row r="14" spans="1:15" ht="12.5">
      <c r="B14" s="40"/>
      <c r="C14" s="40"/>
      <c r="D14" s="40"/>
      <c r="E14" s="40"/>
      <c r="F14" s="40"/>
      <c r="G14" s="40"/>
      <c r="H14" s="40"/>
      <c r="I14" s="40"/>
      <c r="J14" s="40"/>
      <c r="K14" s="40"/>
      <c r="L14" s="40"/>
      <c r="M14" s="40"/>
      <c r="N14" s="40"/>
      <c r="O14" s="40"/>
    </row>
    <row r="15" spans="1:15" ht="12.5">
      <c r="B15" s="40"/>
      <c r="C15" s="40"/>
      <c r="D15" s="40"/>
      <c r="E15" s="40"/>
      <c r="F15" s="40"/>
      <c r="G15" s="40"/>
      <c r="H15" s="40"/>
      <c r="I15" s="40"/>
      <c r="J15" s="40"/>
      <c r="K15" s="40"/>
      <c r="L15" s="40"/>
      <c r="M15" s="40"/>
      <c r="N15" s="40"/>
      <c r="O15" s="40"/>
    </row>
    <row r="16" spans="1:15" ht="13">
      <c r="B16" s="43" t="s">
        <v>124</v>
      </c>
      <c r="C16" s="40"/>
      <c r="D16" s="40"/>
      <c r="E16" s="40"/>
      <c r="F16" s="40"/>
      <c r="G16" s="40"/>
      <c r="H16" s="40"/>
      <c r="I16" s="40"/>
      <c r="J16" s="40"/>
      <c r="K16" s="40"/>
      <c r="L16" s="40"/>
      <c r="M16" s="40"/>
      <c r="N16" s="40"/>
      <c r="O16" s="40"/>
    </row>
    <row r="17" spans="2:15" ht="12.5">
      <c r="B17" s="65" t="s">
        <v>153</v>
      </c>
      <c r="C17" s="65"/>
      <c r="D17" s="65"/>
      <c r="E17" s="65"/>
      <c r="F17" s="65"/>
      <c r="G17" s="65"/>
      <c r="H17" s="65"/>
      <c r="I17" s="65"/>
      <c r="J17" s="65"/>
      <c r="K17" s="65"/>
      <c r="L17" s="65"/>
      <c r="M17" s="65"/>
      <c r="N17" s="40"/>
      <c r="O17" s="40"/>
    </row>
    <row r="18" spans="2:15" s="45" customFormat="1" ht="30.65" customHeight="1">
      <c r="B18" s="66" t="s">
        <v>158</v>
      </c>
      <c r="C18" s="67"/>
      <c r="D18" s="67"/>
      <c r="E18" s="67"/>
      <c r="F18" s="67"/>
      <c r="G18" s="67"/>
      <c r="H18" s="67"/>
      <c r="I18" s="67"/>
      <c r="J18" s="67"/>
      <c r="K18" s="67"/>
      <c r="L18" s="67"/>
      <c r="M18" s="67"/>
      <c r="N18" s="44"/>
      <c r="O18" s="44"/>
    </row>
    <row r="19" spans="2:15" ht="42" customHeight="1">
      <c r="B19" s="66" t="s">
        <v>155</v>
      </c>
      <c r="C19" s="67"/>
      <c r="D19" s="67"/>
      <c r="E19" s="67"/>
      <c r="F19" s="67"/>
      <c r="G19" s="67"/>
      <c r="H19" s="67"/>
      <c r="I19" s="67"/>
      <c r="J19" s="67"/>
      <c r="K19" s="67"/>
      <c r="L19" s="67"/>
      <c r="M19" s="67"/>
      <c r="N19" s="40"/>
      <c r="O19" s="40"/>
    </row>
    <row r="20" spans="2:15" ht="86.25" customHeight="1">
      <c r="B20" s="66" t="s">
        <v>156</v>
      </c>
      <c r="C20" s="67"/>
      <c r="D20" s="67"/>
      <c r="E20" s="67"/>
      <c r="F20" s="67"/>
      <c r="G20" s="67"/>
      <c r="H20" s="67"/>
      <c r="I20" s="67"/>
      <c r="J20" s="67"/>
      <c r="K20" s="67"/>
      <c r="L20" s="67"/>
      <c r="M20" s="67"/>
      <c r="N20" s="40"/>
      <c r="O20" s="40"/>
    </row>
    <row r="21" spans="2:15" ht="12.75" customHeight="1">
      <c r="B21" s="46"/>
      <c r="C21" s="40"/>
      <c r="D21" s="40"/>
      <c r="E21" s="40"/>
      <c r="F21" s="40"/>
      <c r="G21" s="40"/>
      <c r="H21" s="40"/>
      <c r="I21" s="40"/>
      <c r="J21" s="40"/>
      <c r="K21" s="40"/>
      <c r="L21" s="40"/>
      <c r="M21" s="40"/>
      <c r="N21" s="40"/>
      <c r="O21" s="40"/>
    </row>
    <row r="22" spans="2:15" ht="12.75" customHeight="1">
      <c r="B22" s="40"/>
      <c r="C22" s="40"/>
      <c r="D22" s="40"/>
      <c r="E22" s="40"/>
      <c r="F22" s="40"/>
      <c r="G22" s="40"/>
      <c r="H22" s="40"/>
      <c r="I22" s="40"/>
      <c r="J22" s="40"/>
      <c r="K22" s="40"/>
      <c r="L22" s="40"/>
      <c r="M22" s="40"/>
      <c r="N22" s="40"/>
      <c r="O22" s="40"/>
    </row>
    <row r="23" spans="2:15" ht="12.75" customHeight="1">
      <c r="B23" s="46"/>
      <c r="C23" s="40"/>
      <c r="D23" s="40"/>
      <c r="E23" s="40"/>
      <c r="F23" s="40"/>
      <c r="G23" s="40"/>
      <c r="H23" s="40"/>
      <c r="I23" s="40"/>
      <c r="J23" s="40"/>
      <c r="K23" s="40"/>
      <c r="L23" s="40"/>
      <c r="M23" s="40"/>
      <c r="N23" s="40"/>
      <c r="O23" s="40"/>
    </row>
    <row r="24" spans="2:15" ht="12.75" customHeight="1">
      <c r="B24" s="40"/>
      <c r="C24" s="40"/>
      <c r="D24" s="40"/>
      <c r="E24" s="40"/>
      <c r="F24" s="40"/>
      <c r="G24" s="40"/>
      <c r="H24" s="40"/>
      <c r="I24" s="40"/>
      <c r="J24" s="40"/>
      <c r="K24" s="40"/>
      <c r="L24" s="40"/>
      <c r="M24" s="40"/>
      <c r="N24" s="40"/>
      <c r="O24" s="40"/>
    </row>
    <row r="25" spans="2:15" ht="12.75" customHeight="1">
      <c r="B25" s="40"/>
      <c r="C25" s="40"/>
      <c r="D25" s="40"/>
      <c r="E25" s="40"/>
      <c r="F25" s="40"/>
      <c r="G25" s="40"/>
      <c r="H25" s="40"/>
      <c r="I25" s="40"/>
      <c r="J25" s="40"/>
      <c r="K25" s="40"/>
      <c r="L25" s="40"/>
      <c r="M25" s="40"/>
      <c r="N25" s="40"/>
      <c r="O25" s="40"/>
    </row>
    <row r="26" spans="2:15" ht="12.75" customHeight="1"/>
    <row r="27" spans="2:15" ht="12.75" customHeight="1"/>
    <row r="28" spans="2:15" ht="12.75" customHeight="1"/>
  </sheetData>
  <mergeCells count="7">
    <mergeCell ref="B17:M17"/>
    <mergeCell ref="B18:M18"/>
    <mergeCell ref="B20:M20"/>
    <mergeCell ref="B19:M19"/>
    <mergeCell ref="B5:B6"/>
    <mergeCell ref="B7:B9"/>
    <mergeCell ref="B10:B11"/>
  </mergeCells>
  <conditionalFormatting sqref="A1">
    <cfRule type="cellIs" dxfId="0" priority="1" operator="between">
      <formula>1</formula>
      <formula>4</formula>
    </cfRule>
  </conditionalFormatting>
  <hyperlinks>
    <hyperlink ref="A1" location="Contents!A1" display="Contents!A1" xr:uid="{60B9741E-483A-4028-8F35-C5030D2BD5DB}"/>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Contents</vt:lpstr>
      <vt:lpstr>1. by Classification</vt:lpstr>
      <vt:lpstr>2. by Facility Type</vt:lpstr>
      <vt:lpstr>3. by Reporter Region</vt:lpstr>
      <vt:lpstr>4. by Facility Region</vt:lpstr>
      <vt:lpstr>5. by Regional Council</vt:lpstr>
      <vt:lpstr>6. by Territorial Authority</vt:lpstr>
      <vt:lpstr>7. by Peak Body</vt:lpstr>
      <vt:lpstr>8. by EQI Band and Group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AdamsD</dc:creator>
  <cp:lastModifiedBy>Debra Taylor</cp:lastModifiedBy>
  <cp:revision>1</cp:revision>
  <dcterms:created xsi:type="dcterms:W3CDTF">2023-09-22T01:29:32Z</dcterms:created>
  <dcterms:modified xsi:type="dcterms:W3CDTF">2025-07-22T04:26:25Z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2025-07-17T04:04:14Z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9859cf2c-7def-48f9-9507-5e55aa0dab75</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