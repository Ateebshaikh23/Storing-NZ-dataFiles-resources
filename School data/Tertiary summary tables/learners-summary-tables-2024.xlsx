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defaultThemeVersion="166925"/>
  <mc:AlternateContent xmlns:mc="http://schemas.openxmlformats.org/markup-compatibility/2006">
    <mc:Choice Requires="x15">
      <x15ac:absPath xmlns:x15ac="http://schemas.microsoft.com/office/spreadsheetml/2010/11/ac" url="\\moe.govt.nz\Shares\SAS\TSPA\Data\TSEC\EdCounts Tables Development\2025\Ed Counts Tables Draft\"/>
    </mc:Choice>
  </mc:AlternateContent>
  <xr:revisionPtr revIDLastSave="0" documentId="13_ncr:1_{02091DCD-E58E-4B9C-BE66-467F900ADF73}" xr6:coauthVersionLast="47" xr6:coauthVersionMax="47" xr10:uidLastSave="{00000000-0000-0000-0000-000000000000}"/>
  <bookViews>
    <workbookView xWindow="-120" yWindow="-120" windowWidth="29040" windowHeight="15720" xr2:uid="{00000000-000D-0000-FFFF-FFFF00000000}"/>
  </bookViews>
  <sheets>
    <sheet name="Index" sheetId="3" r:id="rId1"/>
    <sheet name="Technical notes" sheetId="7" r:id="rId2"/>
    <sheet name="LNR.1" sheetId="8" r:id="rId3"/>
    <sheet name="LNR.2" sheetId="9" r:id="rId4"/>
    <sheet name="LNR.3" sheetId="2" r:id="rId5"/>
    <sheet name="LNR.4" sheetId="10" r:id="rId6"/>
  </sheets>
  <definedNames>
    <definedName name="_AMO_XmlVersion" hidden="1">"'1'"</definedName>
    <definedName name="ENRL_COMP1">#REF!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6" i="3" l="1"/>
  <c r="B5" i="3"/>
  <c r="B4" i="3"/>
  <c r="B3" i="3"/>
</calcChain>
</file>

<file path=xl/sharedStrings.xml><?xml version="1.0" encoding="utf-8"?>
<sst xmlns="http://schemas.openxmlformats.org/spreadsheetml/2006/main" count="369" uniqueCount="114">
  <si>
    <t>International</t>
  </si>
  <si>
    <t>Domestic</t>
  </si>
  <si>
    <t>Certificates 3</t>
  </si>
  <si>
    <t>Certificates 1</t>
  </si>
  <si>
    <t>Under 18 years</t>
  </si>
  <si>
    <t>18-19 years</t>
  </si>
  <si>
    <t>20-24 years</t>
  </si>
  <si>
    <t>25-39 years</t>
  </si>
  <si>
    <t>40 years &amp; over</t>
  </si>
  <si>
    <t>Asian</t>
  </si>
  <si>
    <t>Other</t>
  </si>
  <si>
    <t>Universities</t>
  </si>
  <si>
    <t>Public providers</t>
  </si>
  <si>
    <t>Private training establishments</t>
  </si>
  <si>
    <t>Females</t>
  </si>
  <si>
    <t>Males</t>
  </si>
  <si>
    <t>Natural and Physical Sciences</t>
  </si>
  <si>
    <t>Information Technology</t>
  </si>
  <si>
    <t>Engineering and Related Technologies</t>
  </si>
  <si>
    <t>Architecture and Building</t>
  </si>
  <si>
    <t>Agriculture, Environmental and Related Studies</t>
  </si>
  <si>
    <t>Health</t>
  </si>
  <si>
    <t>Education</t>
  </si>
  <si>
    <t>Management and Commerce</t>
  </si>
  <si>
    <t>Society and Culture</t>
  </si>
  <si>
    <t>Creative Arts</t>
  </si>
  <si>
    <t>Food, Hospitality and Personal Services</t>
  </si>
  <si>
    <t>Mixed Field Programmes</t>
  </si>
  <si>
    <t>Number of students completing qualifications</t>
  </si>
  <si>
    <t>Year completed</t>
  </si>
  <si>
    <t xml:space="preserve">Certificates 2 </t>
  </si>
  <si>
    <t xml:space="preserve">Certificates 4 </t>
  </si>
  <si>
    <t>Certificates &amp; Diplomas 5-7</t>
  </si>
  <si>
    <t>All levels</t>
  </si>
  <si>
    <t>All</t>
  </si>
  <si>
    <t>Gender</t>
  </si>
  <si>
    <t>Age group</t>
  </si>
  <si>
    <t>Ethnic group</t>
  </si>
  <si>
    <t>Europeans</t>
  </si>
  <si>
    <t>Māori</t>
  </si>
  <si>
    <t>Pacific Peoples</t>
  </si>
  <si>
    <t>Sub-sector</t>
  </si>
  <si>
    <t>Wānanga</t>
  </si>
  <si>
    <t>Broad field of study</t>
  </si>
  <si>
    <t>Notes:</t>
  </si>
  <si>
    <t>Data relates to students completing a formal qualification at a tertiary education provider. It excludes on-job industry training.</t>
  </si>
  <si>
    <t>Data includes those private training establishments that received Student Achievement Component funding, and/or had students with student loans or allowances, and/or Youth Guarantee programmes.</t>
  </si>
  <si>
    <t>Age is calculated as at 31 December.</t>
  </si>
  <si>
    <t>Totals also include those students with unknown values.</t>
  </si>
  <si>
    <t>International students are those studying here without New Zealand/Australian citizenship or permanent residence status. Students studying off-shore at tertiary education providers that are registered in New Zealand are considered international students unless they hold New Zealand citizenship.</t>
  </si>
  <si>
    <t>Data in this table, including totals, have been rounded to the nearest 5 to protect the privacy of individuals, so the sum of individual counts may not add to the total.</t>
  </si>
  <si>
    <t>Table Index</t>
  </si>
  <si>
    <t>LNR.1</t>
  </si>
  <si>
    <t>LNR.2</t>
  </si>
  <si>
    <t>LNR.3</t>
  </si>
  <si>
    <t>LNR.4</t>
  </si>
  <si>
    <t>See technical notes for details of course completion rates</t>
  </si>
  <si>
    <t>Technical notes on course completion rates (CCR)</t>
  </si>
  <si>
    <t>Number of students enrolled</t>
  </si>
  <si>
    <t>Year</t>
  </si>
  <si>
    <t>Male</t>
  </si>
  <si>
    <t>40 years and over</t>
  </si>
  <si>
    <t>Fulltime or part-time</t>
  </si>
  <si>
    <t>Full-time full-year</t>
  </si>
  <si>
    <t>Full-time part-year</t>
  </si>
  <si>
    <t>Part-time full-year</t>
  </si>
  <si>
    <t>Part-time part-year</t>
  </si>
  <si>
    <t>Data relates to students enrolled at any time during the year with a tertiary education provider in formal qualifications of greater than 0.03 EFTS (more than one week's full-time duration).</t>
  </si>
  <si>
    <t>Data excludes all non-formal learning and on-job industry training.</t>
  </si>
  <si>
    <t>Private training establishments includes other tertiary education providers (OTEPs).</t>
  </si>
  <si>
    <t>'Mixed' relates to study that covers several of the fields in the group, where it is not possible or appropriate to separate.</t>
  </si>
  <si>
    <t>Number of equivalent full-time students (EFTS) enrolled</t>
  </si>
  <si>
    <t>Full-time, part-time</t>
  </si>
  <si>
    <t>Full-time, full-year</t>
  </si>
  <si>
    <t>Full-time, part-year</t>
  </si>
  <si>
    <t>Part-time, full-year</t>
  </si>
  <si>
    <t>Part-time, part-year</t>
  </si>
  <si>
    <t>One equivalent full-time student (EFTS) unit is defined as the student workload that would normally be carried out in a single academic year (or a 12-month period) by a student enrolled full-time.</t>
  </si>
  <si>
    <t>Course completion rates for domestic students</t>
  </si>
  <si>
    <t>Certificates 2</t>
  </si>
  <si>
    <t>Certificates 4</t>
  </si>
  <si>
    <t>Attendance Status</t>
  </si>
  <si>
    <t>Intramural</t>
  </si>
  <si>
    <t>Extramural</t>
  </si>
  <si>
    <t>Notes</t>
  </si>
  <si>
    <t>Refer to the technical notes for information on how the course completion rates are calculated.</t>
  </si>
  <si>
    <t>Rates are calculated only where EFTS consumed are greater than 29.</t>
  </si>
  <si>
    <t>Field of study is determined at the course level.</t>
  </si>
  <si>
    <t>Data in this table has been revised, and may differ from previously published figures.</t>
  </si>
  <si>
    <t>Fields of study are based on course enrolments.</t>
  </si>
  <si>
    <t>Te Pūkenga</t>
  </si>
  <si>
    <t>Te Pūkenga - The New Zealand Institute of Skills and Technology (NZIST) was established in 2020 as part of reforms of vocational education. It brings together the existing 16 Institutes of Technology and Polytechnics (ITPs) into one organisation. The subsector label Te Pūkenga takes the place of Institutes of technology and polytechnics used in previously published tables.</t>
  </si>
  <si>
    <t>Bachelors degrees 7</t>
  </si>
  <si>
    <t>Graduate diplomas/certificates 7</t>
  </si>
  <si>
    <t>Honours &amp; postgrad. cert/dips. 8</t>
  </si>
  <si>
    <t>Masters degrees 9</t>
  </si>
  <si>
    <t>Doctoral degrees 10</t>
  </si>
  <si>
    <t>Masters degrees 8</t>
  </si>
  <si>
    <t xml:space="preserve">Masters degrees 10 </t>
  </si>
  <si>
    <t>This data presents statistics relating to the predominant field(s) of study. This data looks at all the courses studied within a qualification to determine a student’s predominant field(s) of study.</t>
  </si>
  <si>
    <t xml:space="preserve">Te Pūkenga - The New Zealand Institute of Skills and Technology (NZIST) was established in 2020 as part of reforms of vocational education. NZIST brought together the previous 16 Institutes of Technology and Polytechnics (ITPs) into one organisation. </t>
  </si>
  <si>
    <t>Students are counted in each qualification type/NZQF level they enrol in, and once in total. This means the sum of the various types/levels may not add to the total.</t>
  </si>
  <si>
    <t>Students are counted in each subsector they enrol in, and once in total. This means the sum of the various subsectors may not add to the total.</t>
  </si>
  <si>
    <t>Students are counted in each ethnic group they identify with, and once in total. This means the sum of the various ethnic groups may not add to the total.</t>
  </si>
  <si>
    <t xml:space="preserve">Students are counted in each field of study they enrol in, and once in total. This means the sum of the various fields may not add to the total. </t>
  </si>
  <si>
    <t>Data in this table has been revised, and so may differ from previously published figures.</t>
  </si>
  <si>
    <t>Students are counted in each level they complete a qualification, and once in total. This means the sum of the of the various levels may not add to the total.</t>
  </si>
  <si>
    <t>Another gender</t>
  </si>
  <si>
    <t>Students are counted in each field of study they complete in, and once in total. This means the sum of the various fields may not add to the total.</t>
  </si>
  <si>
    <t>Students in 2024</t>
  </si>
  <si>
    <t>EFTS in 2024</t>
  </si>
  <si>
    <t>For 2024</t>
  </si>
  <si>
    <t>Students completing a qualification in 2024</t>
  </si>
  <si>
    <t>Data for 2024 should be treated as indicative as providers can continue to report completions throughout the following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</si>
</sst>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0"/>
      <name val="Arial"/>
      <family val="2"/>
    </font>
    <font>
      <b/>
      <sz val="11"/>
      <name val="Arial"/>
      <family val="2"/>
    </font>
    <font>
      <i/>
      <sz val="10"/>
      <name val="Arial"/>
      <family val="2"/>
    </font>
    <font>
      <b/>
      <sz val="10"/>
      <name val="Arial"/>
      <family val="2"/>
    </font>
    <font>
      <b/>
      <i/>
      <sz val="10"/>
      <name val="Arial"/>
      <family val="2"/>
    </font>
    <font>
      <sz val="10"/>
      <color indexed="8"/>
      <name val="Arial"/>
      <family val="2"/>
    </font>
    <font>
      <sz val="10"/>
      <name val="MS Sans Serif"/>
      <family val="2"/>
    </font>
    <font>
      <b/>
      <sz val="12"/>
      <name val="Arial"/>
      <family val="2"/>
    </font>
    <font>
      <u/>
      <sz val="10"/>
      <color indexed="12"/>
      <name val="MS Sans Serif"/>
      <family val="2"/>
    </font>
    <font>
      <sz val="8"/>
      <name val="Arial"/>
      <family val="2"/>
    </font>
    <font>
      <b/>
      <sz val="28"/>
      <name val="Arial"/>
      <family val="2"/>
    </font>
    <font>
      <sz val="28"/>
      <name val="Arial"/>
      <family val="2"/>
    </font>
    <font>
      <b/>
      <sz val="8"/>
      <name val="Arial"/>
      <family val="2"/>
    </font>
    <font>
      <sz val="10"/>
      <color theme="1"/>
      <name val="Arial"/>
      <family val="2"/>
    </font>
    <font>
      <sz val="8"/>
      <name val="Arial"/>
      <family val="2"/>
    </font>
    <font>
      <sz val="11"/>
      <name val="Arial"/>
      <family val="2"/>
    </font>
    <font>
      <u/>
      <sz val="11"/>
      <color indexed="12"/>
      <name val="Arial"/>
      <family val="2"/>
    </font>
    <font>
      <sz val="11"/>
      <color rgb="FFFF0000"/>
      <name val="Calibri"/>
      <family val="2"/>
      <scheme val="minor"/>
    </font>
    <font>
      <sz val="11"/>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12">
    <border>
      <left/>
      <right/>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bottom style="thin">
        <color indexed="64"/>
      </bottom>
      <diagonal/>
    </border>
    <border>
      <left style="thin">
        <color indexed="64"/>
      </left>
      <right/>
      <top/>
      <bottom/>
      <diagonal/>
    </border>
    <border>
      <left/>
      <right/>
      <top/>
      <bottom style="thin">
        <color indexed="64"/>
      </bottom>
      <diagonal/>
    </border>
    <border>
      <left style="thin">
        <color indexed="64"/>
      </left>
      <right/>
      <top/>
      <bottom style="thin">
        <color indexed="64"/>
      </bottom>
      <diagonal/>
    </border>
  </borders>
  <cellStyleXfs count="9">
    <xf numFmtId="0" fontId="0" fillId="0" borderId="0"/>
    <xf numFmtId="0" fontId="1" fillId="0" borderId="0"/>
    <xf numFmtId="0" fontId="7" fillId="0" borderId="0"/>
    <xf numFmtId="0" fontId="9" fillId="0" borderId="0" applyNumberFormat="0" applyFill="0" applyBorder="0" applyAlignment="0" applyProtection="0"/>
    <xf numFmtId="0" fontId="10" fillId="0" borderId="0"/>
    <xf numFmtId="0" fontId="1" fillId="0" borderId="0"/>
    <xf numFmtId="9" fontId="15" fillId="0" borderId="0" applyFont="0" applyFill="0" applyBorder="0" applyAlignment="0" applyProtection="0"/>
    <xf numFmtId="0" fontId="1" fillId="0" borderId="0"/>
    <xf numFmtId="0" fontId="19" fillId="0" borderId="0"/>
  </cellStyleXfs>
  <cellXfs count="146">
    <xf numFmtId="0" fontId="0" fillId="0" borderId="0" xfId="0"/>
    <xf numFmtId="0" fontId="1" fillId="0" borderId="0" xfId="0" applyFont="1"/>
    <xf numFmtId="0" fontId="2" fillId="0" borderId="0" xfId="1" applyFont="1" applyAlignment="1">
      <alignment horizontal="left"/>
    </xf>
    <xf numFmtId="3" fontId="1" fillId="0" borderId="0" xfId="0" applyNumberFormat="1" applyFont="1"/>
    <xf numFmtId="0" fontId="1" fillId="0" borderId="0" xfId="0" applyFont="1" applyAlignment="1">
      <alignment horizontal="left"/>
    </xf>
    <xf numFmtId="3" fontId="1" fillId="0" borderId="6" xfId="1" applyNumberFormat="1" applyBorder="1" applyAlignment="1">
      <alignment horizontal="center" vertical="center" wrapText="1"/>
    </xf>
    <xf numFmtId="3" fontId="1" fillId="0" borderId="7" xfId="1" applyNumberFormat="1" applyBorder="1" applyAlignment="1">
      <alignment horizontal="center" vertical="center" wrapText="1"/>
    </xf>
    <xf numFmtId="3" fontId="1" fillId="0" borderId="1" xfId="1" applyNumberFormat="1" applyBorder="1" applyAlignment="1">
      <alignment horizontal="center" vertical="center" wrapText="1"/>
    </xf>
    <xf numFmtId="3" fontId="1" fillId="0" borderId="3" xfId="1" applyNumberFormat="1" applyBorder="1" applyAlignment="1">
      <alignment horizontal="center" vertical="center" wrapText="1"/>
    </xf>
    <xf numFmtId="0" fontId="1" fillId="0" borderId="0" xfId="0" applyFont="1" applyAlignment="1">
      <alignment horizontal="left" indent="1"/>
    </xf>
    <xf numFmtId="0" fontId="4" fillId="0" borderId="10" xfId="0" applyFont="1" applyBorder="1"/>
    <xf numFmtId="0" fontId="4" fillId="2" borderId="0" xfId="0" applyFont="1" applyFill="1" applyAlignment="1">
      <alignment horizontal="left"/>
    </xf>
    <xf numFmtId="3" fontId="1" fillId="2" borderId="9" xfId="0" applyNumberFormat="1" applyFont="1" applyFill="1" applyBorder="1" applyAlignment="1">
      <alignment horizontal="right" indent="1"/>
    </xf>
    <xf numFmtId="3" fontId="1" fillId="2" borderId="0" xfId="0" applyNumberFormat="1" applyFont="1" applyFill="1" applyAlignment="1">
      <alignment horizontal="right" indent="1"/>
    </xf>
    <xf numFmtId="3" fontId="1" fillId="2" borderId="5" xfId="0" applyNumberFormat="1" applyFont="1" applyFill="1" applyBorder="1" applyAlignment="1">
      <alignment horizontal="right" indent="1"/>
    </xf>
    <xf numFmtId="0" fontId="1" fillId="0" borderId="8" xfId="0" applyFont="1" applyBorder="1" applyAlignment="1">
      <alignment horizontal="left" indent="1"/>
    </xf>
    <xf numFmtId="3" fontId="1" fillId="0" borderId="11" xfId="0" applyNumberFormat="1" applyFont="1" applyBorder="1" applyAlignment="1">
      <alignment horizontal="right" indent="1"/>
    </xf>
    <xf numFmtId="3" fontId="1" fillId="0" borderId="10" xfId="0" applyNumberFormat="1" applyFont="1" applyBorder="1" applyAlignment="1">
      <alignment horizontal="right" indent="1"/>
    </xf>
    <xf numFmtId="3" fontId="1" fillId="0" borderId="8" xfId="0" applyNumberFormat="1" applyFont="1" applyBorder="1" applyAlignment="1">
      <alignment horizontal="right" indent="1"/>
    </xf>
    <xf numFmtId="0" fontId="6" fillId="0" borderId="0" xfId="0" applyFont="1" applyAlignment="1">
      <alignment horizontal="left" readingOrder="1"/>
    </xf>
    <xf numFmtId="0" fontId="1" fillId="0" borderId="0" xfId="0" applyFont="1" applyBorder="1" applyAlignment="1">
      <alignment horizontal="left" indent="1"/>
    </xf>
    <xf numFmtId="3" fontId="1" fillId="0" borderId="0" xfId="0" applyNumberFormat="1" applyFont="1" applyBorder="1" applyAlignment="1">
      <alignment horizontal="right" indent="1"/>
    </xf>
    <xf numFmtId="0" fontId="1" fillId="0" borderId="5" xfId="1" applyBorder="1" applyAlignment="1">
      <alignment horizontal="left" indent="1"/>
    </xf>
    <xf numFmtId="0" fontId="8" fillId="0" borderId="0" xfId="2" applyFont="1"/>
    <xf numFmtId="0" fontId="1" fillId="0" borderId="0" xfId="2" applyFont="1"/>
    <xf numFmtId="0" fontId="13" fillId="0" borderId="0" xfId="4" applyFont="1"/>
    <xf numFmtId="0" fontId="10" fillId="0" borderId="0" xfId="4"/>
    <xf numFmtId="0" fontId="2" fillId="0" borderId="0" xfId="1" applyFont="1" applyBorder="1" applyAlignment="1">
      <alignment horizontal="left"/>
    </xf>
    <xf numFmtId="3" fontId="1" fillId="0" borderId="0" xfId="4" applyNumberFormat="1" applyFont="1" applyFill="1" applyBorder="1"/>
    <xf numFmtId="3" fontId="1" fillId="0" borderId="0" xfId="4" applyNumberFormat="1" applyFont="1" applyBorder="1"/>
    <xf numFmtId="0" fontId="1" fillId="0" borderId="0" xfId="4" applyFont="1" applyBorder="1"/>
    <xf numFmtId="3" fontId="1" fillId="0" borderId="6" xfId="1" applyNumberFormat="1" applyFont="1" applyBorder="1" applyAlignment="1">
      <alignment horizontal="center" vertical="center" wrapText="1"/>
    </xf>
    <xf numFmtId="3" fontId="1" fillId="0" borderId="7" xfId="1" applyNumberFormat="1" applyFont="1" applyBorder="1" applyAlignment="1">
      <alignment horizontal="center" vertical="center" wrapText="1"/>
    </xf>
    <xf numFmtId="3" fontId="1" fillId="0" borderId="1" xfId="1" applyNumberFormat="1" applyFont="1" applyBorder="1" applyAlignment="1">
      <alignment horizontal="center" vertical="center" wrapText="1"/>
    </xf>
    <xf numFmtId="3" fontId="1" fillId="0" borderId="3" xfId="1" applyNumberFormat="1" applyFont="1" applyBorder="1" applyAlignment="1">
      <alignment horizontal="center" vertical="center" wrapText="1"/>
    </xf>
    <xf numFmtId="0" fontId="1" fillId="0" borderId="0" xfId="4" applyFont="1" applyBorder="1" applyAlignment="1">
      <alignment horizontal="left" indent="1"/>
    </xf>
    <xf numFmtId="0" fontId="1" fillId="0" borderId="0" xfId="4" applyFont="1" applyFill="1" applyBorder="1" applyAlignment="1">
      <alignment horizontal="left" indent="1"/>
    </xf>
    <xf numFmtId="3" fontId="1" fillId="0" borderId="0" xfId="4" applyNumberFormat="1" applyFont="1" applyFill="1" applyBorder="1" applyAlignment="1">
      <alignment horizontal="right" indent="1"/>
    </xf>
    <xf numFmtId="0" fontId="1" fillId="0" borderId="0" xfId="4" applyFont="1" applyFill="1" applyBorder="1"/>
    <xf numFmtId="0" fontId="5" fillId="0" borderId="7" xfId="4" applyFont="1" applyFill="1" applyBorder="1" applyAlignment="1"/>
    <xf numFmtId="0" fontId="4" fillId="0" borderId="10" xfId="4" applyFont="1" applyFill="1" applyBorder="1" applyAlignment="1">
      <alignment horizontal="left"/>
    </xf>
    <xf numFmtId="3" fontId="1" fillId="0" borderId="10" xfId="4" applyNumberFormat="1" applyFont="1" applyFill="1" applyBorder="1" applyAlignment="1">
      <alignment horizontal="right" indent="2"/>
    </xf>
    <xf numFmtId="0" fontId="4" fillId="2" borderId="0" xfId="4" applyFont="1" applyFill="1" applyBorder="1" applyAlignment="1">
      <alignment horizontal="left"/>
    </xf>
    <xf numFmtId="3" fontId="1" fillId="2" borderId="9" xfId="4" applyNumberFormat="1" applyFont="1" applyFill="1" applyBorder="1" applyAlignment="1">
      <alignment horizontal="right" indent="2"/>
    </xf>
    <xf numFmtId="3" fontId="1" fillId="2" borderId="0" xfId="4" applyNumberFormat="1" applyFont="1" applyFill="1" applyBorder="1" applyAlignment="1">
      <alignment horizontal="right" indent="2"/>
    </xf>
    <xf numFmtId="3" fontId="1" fillId="2" borderId="6" xfId="4" applyNumberFormat="1" applyFont="1" applyFill="1" applyBorder="1" applyAlignment="1">
      <alignment horizontal="right" indent="2"/>
    </xf>
    <xf numFmtId="3" fontId="1" fillId="2" borderId="9" xfId="4" applyNumberFormat="1" applyFont="1" applyFill="1" applyBorder="1" applyAlignment="1">
      <alignment horizontal="right" vertical="top" indent="1"/>
    </xf>
    <xf numFmtId="3" fontId="1" fillId="2" borderId="0" xfId="4" applyNumberFormat="1" applyFont="1" applyFill="1" applyBorder="1" applyAlignment="1">
      <alignment horizontal="right" vertical="top" indent="1"/>
    </xf>
    <xf numFmtId="3" fontId="1" fillId="2" borderId="9" xfId="4" applyNumberFormat="1" applyFont="1" applyFill="1" applyBorder="1" applyAlignment="1">
      <alignment horizontal="right" indent="1"/>
    </xf>
    <xf numFmtId="3" fontId="1" fillId="2" borderId="0" xfId="4" applyNumberFormat="1" applyFont="1" applyFill="1" applyBorder="1" applyAlignment="1">
      <alignment horizontal="right" indent="1"/>
    </xf>
    <xf numFmtId="3" fontId="1" fillId="2" borderId="5" xfId="4" applyNumberFormat="1" applyFont="1" applyFill="1" applyBorder="1" applyAlignment="1">
      <alignment horizontal="right" indent="1"/>
    </xf>
    <xf numFmtId="0" fontId="1" fillId="0" borderId="0" xfId="1" applyFont="1" applyFill="1" applyBorder="1" applyAlignment="1">
      <alignment horizontal="left" indent="1"/>
    </xf>
    <xf numFmtId="0" fontId="1" fillId="0" borderId="8" xfId="4" applyFont="1" applyBorder="1" applyAlignment="1">
      <alignment horizontal="left"/>
    </xf>
    <xf numFmtId="3" fontId="1" fillId="0" borderId="11" xfId="4" applyNumberFormat="1" applyFont="1" applyBorder="1" applyAlignment="1">
      <alignment horizontal="right" indent="1"/>
    </xf>
    <xf numFmtId="3" fontId="1" fillId="0" borderId="10" xfId="4" applyNumberFormat="1" applyFont="1" applyBorder="1" applyAlignment="1">
      <alignment horizontal="right" indent="1"/>
    </xf>
    <xf numFmtId="3" fontId="1" fillId="0" borderId="8" xfId="4" applyNumberFormat="1" applyFont="1" applyBorder="1" applyAlignment="1">
      <alignment horizontal="right" indent="1"/>
    </xf>
    <xf numFmtId="0" fontId="1" fillId="0" borderId="0" xfId="1" applyFont="1" applyFill="1" applyBorder="1"/>
    <xf numFmtId="0" fontId="1" fillId="0" borderId="0" xfId="1" applyFont="1" applyFill="1" applyBorder="1" applyAlignment="1">
      <alignment horizontal="left"/>
    </xf>
    <xf numFmtId="0" fontId="14" fillId="0" borderId="0" xfId="4" applyFont="1" applyFill="1"/>
    <xf numFmtId="0" fontId="6" fillId="0" borderId="0" xfId="4" applyFont="1" applyFill="1" applyAlignment="1">
      <alignment horizontal="left" readingOrder="1"/>
    </xf>
    <xf numFmtId="0" fontId="1" fillId="0" borderId="0" xfId="4" applyFont="1" applyBorder="1" applyAlignment="1">
      <alignment horizontal="left"/>
    </xf>
    <xf numFmtId="0" fontId="4" fillId="0" borderId="0" xfId="4" applyFont="1" applyFill="1" applyBorder="1" applyAlignment="1">
      <alignment horizontal="left" indent="1"/>
    </xf>
    <xf numFmtId="0" fontId="1" fillId="0" borderId="0" xfId="4" applyFont="1" applyBorder="1" applyAlignment="1"/>
    <xf numFmtId="0" fontId="1" fillId="0" borderId="0" xfId="4" applyFont="1" applyFill="1" applyBorder="1" applyAlignment="1"/>
    <xf numFmtId="0" fontId="1" fillId="0" borderId="1" xfId="4" applyFont="1" applyFill="1" applyBorder="1" applyAlignment="1">
      <alignment horizontal="left" vertical="center" wrapText="1"/>
    </xf>
    <xf numFmtId="0" fontId="1" fillId="0" borderId="6" xfId="1" applyFont="1" applyBorder="1" applyAlignment="1">
      <alignment horizontal="center" vertical="center" wrapText="1"/>
    </xf>
    <xf numFmtId="9" fontId="1" fillId="0" borderId="0" xfId="6" applyFont="1" applyFill="1" applyBorder="1" applyAlignment="1">
      <alignment horizontal="right" indent="1"/>
    </xf>
    <xf numFmtId="0" fontId="4" fillId="2" borderId="7" xfId="4" applyFont="1" applyFill="1" applyBorder="1" applyAlignment="1">
      <alignment horizontal="left"/>
    </xf>
    <xf numFmtId="0" fontId="1" fillId="0" borderId="10" xfId="4" applyFont="1" applyBorder="1" applyAlignment="1">
      <alignment horizontal="left"/>
    </xf>
    <xf numFmtId="0" fontId="1" fillId="0" borderId="0" xfId="4" applyFont="1" applyBorder="1" applyAlignment="1">
      <alignment horizontal="right" vertical="top"/>
    </xf>
    <xf numFmtId="0" fontId="1" fillId="0" borderId="0" xfId="0" applyFont="1" applyFill="1" applyAlignment="1">
      <alignment horizontal="left" indent="1"/>
    </xf>
    <xf numFmtId="0" fontId="1" fillId="0" borderId="0" xfId="0" applyFont="1" applyBorder="1"/>
    <xf numFmtId="0" fontId="0" fillId="0" borderId="0" xfId="0" applyBorder="1"/>
    <xf numFmtId="0" fontId="1" fillId="0" borderId="0" xfId="1" applyFont="1" applyAlignment="1">
      <alignment horizontal="left"/>
    </xf>
    <xf numFmtId="3" fontId="0" fillId="0" borderId="0" xfId="0" applyNumberFormat="1"/>
    <xf numFmtId="3" fontId="3" fillId="0" borderId="7" xfId="4" applyNumberFormat="1" applyFont="1" applyFill="1" applyBorder="1" applyAlignment="1"/>
    <xf numFmtId="3" fontId="1" fillId="0" borderId="10" xfId="4" applyNumberFormat="1" applyFont="1" applyFill="1" applyBorder="1" applyAlignment="1">
      <alignment horizontal="right" indent="1"/>
    </xf>
    <xf numFmtId="3" fontId="3" fillId="0" borderId="10" xfId="0" applyNumberFormat="1" applyFont="1" applyBorder="1"/>
    <xf numFmtId="0" fontId="16" fillId="0" borderId="0" xfId="2" applyFont="1"/>
    <xf numFmtId="0" fontId="17" fillId="0" borderId="0" xfId="3" applyFont="1"/>
    <xf numFmtId="0" fontId="18" fillId="0" borderId="0" xfId="0" applyFont="1"/>
    <xf numFmtId="3" fontId="1" fillId="2" borderId="5" xfId="4" applyNumberFormat="1" applyFont="1" applyFill="1" applyBorder="1" applyAlignment="1">
      <alignment horizontal="right" vertical="top" indent="1"/>
    </xf>
    <xf numFmtId="3" fontId="14" fillId="0" borderId="7" xfId="0" applyNumberFormat="1" applyFont="1" applyBorder="1"/>
    <xf numFmtId="3" fontId="14" fillId="0" borderId="1" xfId="0" applyNumberFormat="1" applyFont="1" applyBorder="1"/>
    <xf numFmtId="3" fontId="14" fillId="0" borderId="0" xfId="0" applyNumberFormat="1" applyFont="1" applyBorder="1"/>
    <xf numFmtId="3" fontId="14" fillId="0" borderId="5" xfId="0" applyNumberFormat="1" applyFont="1" applyBorder="1"/>
    <xf numFmtId="3" fontId="14" fillId="0" borderId="10" xfId="0" applyNumberFormat="1" applyFont="1" applyBorder="1"/>
    <xf numFmtId="3" fontId="14" fillId="0" borderId="8" xfId="0" applyNumberFormat="1" applyFont="1" applyBorder="1"/>
    <xf numFmtId="3" fontId="1" fillId="2" borderId="0" xfId="0" applyNumberFormat="1" applyFont="1" applyFill="1" applyBorder="1" applyAlignment="1">
      <alignment horizontal="right" indent="1"/>
    </xf>
    <xf numFmtId="0" fontId="1" fillId="0" borderId="5" xfId="4" applyFont="1" applyBorder="1" applyAlignment="1">
      <alignment horizontal="left" indent="1"/>
    </xf>
    <xf numFmtId="0" fontId="4" fillId="2" borderId="1" xfId="4" applyFont="1" applyFill="1" applyBorder="1" applyAlignment="1">
      <alignment horizontal="left"/>
    </xf>
    <xf numFmtId="0" fontId="4" fillId="2" borderId="5" xfId="4" applyFont="1" applyFill="1" applyBorder="1" applyAlignment="1">
      <alignment horizontal="left"/>
    </xf>
    <xf numFmtId="9" fontId="1" fillId="0" borderId="5" xfId="4" applyNumberFormat="1" applyFont="1" applyBorder="1" applyAlignment="1">
      <alignment horizontal="left" indent="1"/>
    </xf>
    <xf numFmtId="9" fontId="1" fillId="0" borderId="5" xfId="4" applyNumberFormat="1" applyFont="1" applyFill="1" applyBorder="1" applyAlignment="1">
      <alignment horizontal="left" indent="1"/>
    </xf>
    <xf numFmtId="9" fontId="1" fillId="0" borderId="8" xfId="4" applyNumberFormat="1" applyFont="1" applyFill="1" applyBorder="1" applyAlignment="1">
      <alignment horizontal="left" indent="1"/>
    </xf>
    <xf numFmtId="9" fontId="4" fillId="2" borderId="5" xfId="4" applyNumberFormat="1" applyFont="1" applyFill="1" applyBorder="1" applyAlignment="1">
      <alignment horizontal="left"/>
    </xf>
    <xf numFmtId="3" fontId="3" fillId="0" borderId="0" xfId="4" applyNumberFormat="1" applyFont="1" applyFill="1" applyBorder="1" applyAlignment="1"/>
    <xf numFmtId="3" fontId="14" fillId="0" borderId="9" xfId="0" applyNumberFormat="1" applyFont="1" applyBorder="1"/>
    <xf numFmtId="3" fontId="14" fillId="0" borderId="11" xfId="0" applyNumberFormat="1" applyFont="1" applyBorder="1"/>
    <xf numFmtId="3" fontId="1" fillId="0" borderId="0" xfId="4" applyNumberFormat="1" applyFont="1" applyFill="1" applyBorder="1" applyAlignment="1">
      <alignment horizontal="right" indent="2"/>
    </xf>
    <xf numFmtId="3" fontId="1" fillId="2" borderId="6" xfId="4" applyNumberFormat="1" applyFont="1" applyFill="1" applyBorder="1" applyAlignment="1">
      <alignment horizontal="right" indent="1"/>
    </xf>
    <xf numFmtId="3" fontId="1" fillId="2" borderId="7" xfId="4" applyNumberFormat="1" applyFont="1" applyFill="1" applyBorder="1" applyAlignment="1">
      <alignment horizontal="right" indent="1"/>
    </xf>
    <xf numFmtId="3" fontId="1" fillId="2" borderId="7" xfId="4" applyNumberFormat="1" applyFont="1" applyFill="1" applyBorder="1" applyAlignment="1">
      <alignment horizontal="right" indent="2"/>
    </xf>
    <xf numFmtId="3" fontId="3" fillId="0" borderId="0" xfId="0" applyNumberFormat="1" applyFont="1" applyBorder="1"/>
    <xf numFmtId="3" fontId="1" fillId="2" borderId="7" xfId="0" applyNumberFormat="1" applyFont="1" applyFill="1" applyBorder="1" applyAlignment="1">
      <alignment horizontal="right" indent="1"/>
    </xf>
    <xf numFmtId="3" fontId="1" fillId="2" borderId="6" xfId="0" applyNumberFormat="1" applyFont="1" applyFill="1" applyBorder="1" applyAlignment="1">
      <alignment horizontal="right" indent="1"/>
    </xf>
    <xf numFmtId="9" fontId="1" fillId="0" borderId="0" xfId="4" applyNumberFormat="1" applyFont="1" applyBorder="1" applyAlignment="1">
      <alignment horizontal="left" indent="1"/>
    </xf>
    <xf numFmtId="9" fontId="1" fillId="0" borderId="0" xfId="4" applyNumberFormat="1" applyFont="1" applyFill="1" applyBorder="1" applyAlignment="1">
      <alignment horizontal="left" indent="1"/>
    </xf>
    <xf numFmtId="9" fontId="1" fillId="0" borderId="10" xfId="4" applyNumberFormat="1" applyFont="1" applyFill="1" applyBorder="1" applyAlignment="1">
      <alignment horizontal="left" indent="1"/>
    </xf>
    <xf numFmtId="0" fontId="1" fillId="0" borderId="6" xfId="5" applyFont="1" applyBorder="1" applyAlignment="1">
      <alignment horizontal="center" vertical="center" wrapText="1"/>
    </xf>
    <xf numFmtId="9" fontId="1" fillId="0" borderId="9" xfId="4" applyNumberFormat="1" applyFont="1" applyBorder="1" applyAlignment="1">
      <alignment horizontal="left" indent="1"/>
    </xf>
    <xf numFmtId="9" fontId="1" fillId="0" borderId="9" xfId="4" applyNumberFormat="1" applyFont="1" applyFill="1" applyBorder="1" applyAlignment="1">
      <alignment horizontal="left" indent="1"/>
    </xf>
    <xf numFmtId="9" fontId="1" fillId="0" borderId="11" xfId="4" applyNumberFormat="1" applyFont="1" applyFill="1" applyBorder="1" applyAlignment="1">
      <alignment horizontal="left" indent="1"/>
    </xf>
    <xf numFmtId="9" fontId="4" fillId="2" borderId="0" xfId="4" applyNumberFormat="1" applyFont="1" applyFill="1" applyBorder="1" applyAlignment="1">
      <alignment horizontal="left"/>
    </xf>
    <xf numFmtId="0" fontId="4" fillId="2" borderId="6" xfId="4" applyFont="1" applyFill="1" applyBorder="1" applyAlignment="1">
      <alignment horizontal="left"/>
    </xf>
    <xf numFmtId="9" fontId="4" fillId="2" borderId="9" xfId="4" applyNumberFormat="1" applyFont="1" applyFill="1" applyBorder="1" applyAlignment="1">
      <alignment horizontal="left"/>
    </xf>
    <xf numFmtId="0" fontId="1" fillId="0" borderId="11" xfId="4" applyFont="1" applyBorder="1" applyAlignment="1">
      <alignment horizontal="left"/>
    </xf>
    <xf numFmtId="3" fontId="14" fillId="0" borderId="0" xfId="0" applyNumberFormat="1" applyFont="1"/>
    <xf numFmtId="0" fontId="1" fillId="0" borderId="0" xfId="7"/>
    <xf numFmtId="0" fontId="14" fillId="0" borderId="0" xfId="8" applyFont="1"/>
    <xf numFmtId="0" fontId="1" fillId="0" borderId="0" xfId="1" applyAlignment="1">
      <alignment horizontal="left"/>
    </xf>
    <xf numFmtId="0" fontId="1" fillId="0" borderId="0" xfId="4" applyFont="1"/>
    <xf numFmtId="3" fontId="14" fillId="0" borderId="9" xfId="0" applyNumberFormat="1" applyFont="1" applyFill="1" applyBorder="1"/>
    <xf numFmtId="0" fontId="11" fillId="2" borderId="0" xfId="4" applyFont="1" applyFill="1" applyAlignment="1">
      <alignment horizontal="left" vertical="center"/>
    </xf>
    <xf numFmtId="0" fontId="12" fillId="2" borderId="0" xfId="4" applyFont="1" applyFill="1" applyAlignment="1">
      <alignment horizontal="left" vertical="center"/>
    </xf>
    <xf numFmtId="0" fontId="1" fillId="0" borderId="1" xfId="4" applyFont="1" applyBorder="1" applyAlignment="1">
      <alignment horizontal="left" vertical="center"/>
    </xf>
    <xf numFmtId="0" fontId="1" fillId="0" borderId="5" xfId="4" applyFont="1" applyBorder="1" applyAlignment="1">
      <alignment horizontal="left" vertical="center"/>
    </xf>
    <xf numFmtId="0" fontId="1" fillId="0" borderId="8" xfId="4" applyFont="1" applyBorder="1" applyAlignment="1">
      <alignment horizontal="left" vertical="center"/>
    </xf>
    <xf numFmtId="3" fontId="1" fillId="0" borderId="2" xfId="1" applyNumberFormat="1" applyFont="1" applyBorder="1" applyAlignment="1">
      <alignment horizontal="center" vertical="center" wrapText="1"/>
    </xf>
    <xf numFmtId="3" fontId="1" fillId="0" borderId="3" xfId="1" applyNumberFormat="1" applyFont="1" applyBorder="1" applyAlignment="1">
      <alignment horizontal="center" vertical="center" wrapText="1"/>
    </xf>
    <xf numFmtId="3" fontId="1" fillId="0" borderId="4" xfId="1" applyNumberFormat="1" applyFont="1" applyBorder="1" applyAlignment="1">
      <alignment horizontal="center" vertical="center" wrapText="1"/>
    </xf>
    <xf numFmtId="3" fontId="5" fillId="0" borderId="2" xfId="1" applyNumberFormat="1" applyFont="1" applyBorder="1" applyAlignment="1">
      <alignment horizontal="center" vertical="center" wrapText="1"/>
    </xf>
    <xf numFmtId="3" fontId="5" fillId="0" borderId="3" xfId="1" applyNumberFormat="1" applyFont="1" applyBorder="1" applyAlignment="1">
      <alignment horizontal="center" vertical="center" wrapText="1"/>
    </xf>
    <xf numFmtId="3" fontId="5" fillId="0" borderId="7" xfId="1" applyNumberFormat="1" applyFont="1" applyBorder="1" applyAlignment="1">
      <alignment horizontal="center" vertical="center" wrapText="1"/>
    </xf>
    <xf numFmtId="3" fontId="3" fillId="0" borderId="2" xfId="1" applyNumberFormat="1" applyFont="1" applyBorder="1" applyAlignment="1">
      <alignment horizontal="center" vertical="center" wrapText="1"/>
    </xf>
    <xf numFmtId="3" fontId="3" fillId="0" borderId="3" xfId="1" applyNumberFormat="1" applyFont="1" applyBorder="1" applyAlignment="1">
      <alignment horizontal="center" vertical="center" wrapText="1"/>
    </xf>
    <xf numFmtId="3" fontId="3" fillId="0" borderId="7" xfId="1" applyNumberFormat="1" applyFont="1" applyBorder="1" applyAlignment="1">
      <alignment horizontal="center" vertical="center" wrapText="1"/>
    </xf>
    <xf numFmtId="3" fontId="1" fillId="0" borderId="2" xfId="1" applyNumberFormat="1" applyBorder="1" applyAlignment="1">
      <alignment horizontal="center" vertical="center" wrapText="1"/>
    </xf>
    <xf numFmtId="3" fontId="1" fillId="0" borderId="3" xfId="1" applyNumberFormat="1" applyBorder="1" applyAlignment="1">
      <alignment horizontal="center" vertical="center" wrapText="1"/>
    </xf>
    <xf numFmtId="0" fontId="1" fillId="0" borderId="1" xfId="0" applyFont="1" applyBorder="1" applyAlignment="1">
      <alignment horizontal="left" vertical="center"/>
    </xf>
    <xf numFmtId="0" fontId="1" fillId="0" borderId="5" xfId="0" applyFont="1" applyBorder="1" applyAlignment="1">
      <alignment horizontal="left" vertical="center"/>
    </xf>
    <xf numFmtId="0" fontId="1" fillId="0" borderId="8" xfId="0" applyFont="1" applyBorder="1" applyAlignment="1">
      <alignment horizontal="left" vertical="center"/>
    </xf>
    <xf numFmtId="3" fontId="1" fillId="0" borderId="4" xfId="1" applyNumberFormat="1" applyBorder="1" applyAlignment="1">
      <alignment horizontal="center" vertical="center" wrapText="1"/>
    </xf>
    <xf numFmtId="0" fontId="1" fillId="0" borderId="3" xfId="0" applyFont="1" applyBorder="1"/>
    <xf numFmtId="0" fontId="1" fillId="0" borderId="7" xfId="0" applyFont="1" applyBorder="1"/>
    <xf numFmtId="0" fontId="4" fillId="0" borderId="0" xfId="4" applyFont="1" applyFill="1" applyBorder="1" applyAlignment="1">
      <alignment horizontal="left" vertical="top"/>
    </xf>
  </cellXfs>
  <cellStyles count="9">
    <cellStyle name="Hyperlink" xfId="3" builtinId="8"/>
    <cellStyle name="Normal" xfId="0" builtinId="0"/>
    <cellStyle name="Normal 2" xfId="4" xr:uid="{00000000-0005-0000-0000-000002000000}"/>
    <cellStyle name="Normal 4" xfId="8" xr:uid="{157F6520-79D4-4397-B140-56A5F270627A}"/>
    <cellStyle name="Normal_Chapter 3 Appendix Tables" xfId="1" xr:uid="{00000000-0005-0000-0000-000003000000}"/>
    <cellStyle name="Normal_LNR.4" xfId="5" xr:uid="{00000000-0005-0000-0000-000004000000}"/>
    <cellStyle name="Normal_provider_summary" xfId="2" xr:uid="{00000000-0005-0000-0000-000005000000}"/>
    <cellStyle name="Normal_sttables" xfId="7" xr:uid="{31FE40F2-021D-4CD4-9A32-5D0E1A513143}"/>
    <cellStyle name="Percent 2" xfId="6"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0</xdr:rowOff>
    </xdr:from>
    <xdr:to>
      <xdr:col>24</xdr:col>
      <xdr:colOff>519113</xdr:colOff>
      <xdr:row>69</xdr:row>
      <xdr:rowOff>127774</xdr:rowOff>
    </xdr:to>
    <xdr:sp macro="" textlink="">
      <xdr:nvSpPr>
        <xdr:cNvPr id="2" name="Text Box 1">
          <a:extLst>
            <a:ext uri="{FF2B5EF4-FFF2-40B4-BE49-F238E27FC236}">
              <a16:creationId xmlns:a16="http://schemas.microsoft.com/office/drawing/2014/main" id="{00000000-0008-0000-0100-000002000000}"/>
            </a:ext>
          </a:extLst>
        </xdr:cNvPr>
        <xdr:cNvSpPr txBox="1">
          <a:spLocks noChangeArrowheads="1"/>
        </xdr:cNvSpPr>
      </xdr:nvSpPr>
      <xdr:spPr bwMode="auto">
        <a:xfrm>
          <a:off x="0" y="453018"/>
          <a:ext cx="14458137" cy="9606311"/>
        </a:xfrm>
        <a:prstGeom prst="rect">
          <a:avLst/>
        </a:prstGeom>
        <a:solidFill>
          <a:schemeClr val="accent3">
            <a:lumMod val="20000"/>
            <a:lumOff val="80000"/>
          </a:schemeClr>
        </a:solidFill>
        <a:ln w="9525">
          <a:noFill/>
          <a:miter lim="800000"/>
          <a:headEnd/>
          <a:tailEnd/>
        </a:ln>
      </xdr:spPr>
      <xdr:txBody>
        <a:bodyPr vertOverflow="clip" wrap="square" lIns="27432" tIns="22860" rIns="0" bIns="0" anchor="t" upright="1"/>
        <a:lstStyle/>
        <a:p>
          <a:pPr algn="l" rtl="0">
            <a:defRPr sz="1000"/>
          </a:pPr>
          <a:r>
            <a:rPr lang="en-NZ" sz="1200" b="1" i="0" u="none" strike="noStrike" baseline="0">
              <a:solidFill>
                <a:srgbClr val="000000"/>
              </a:solidFill>
              <a:latin typeface="Arial"/>
              <a:cs typeface="Arial"/>
            </a:rPr>
            <a:t>Scope of data</a:t>
          </a:r>
        </a:p>
        <a:p>
          <a:pPr algn="l" rtl="0">
            <a:defRPr sz="1000"/>
          </a:pPr>
          <a:r>
            <a:rPr lang="en-NZ" sz="1200" b="0" i="0" u="none" strike="noStrike" baseline="0">
              <a:solidFill>
                <a:srgbClr val="000000"/>
              </a:solidFill>
              <a:latin typeface="Arial"/>
              <a:cs typeface="Arial"/>
            </a:rPr>
            <a:t>The data used to calculate the course completion rates is sourced from the Single Data Return (SDR).  The SDR is submitted by tertiary education providers, three times a year. The SDR is completed by tertiary education providers that receive Student Achievement Component funding, and/or have students with student loans or allowances, and/or Youth Guarantee programmes.</a:t>
          </a:r>
        </a:p>
        <a:p>
          <a:pPr algn="l" rtl="0">
            <a:defRPr sz="1000"/>
          </a:pPr>
          <a:r>
            <a:rPr lang="en-NZ" sz="1200" b="0" i="0" u="none" strike="noStrike" baseline="0">
              <a:solidFill>
                <a:srgbClr val="000000"/>
              </a:solidFill>
              <a:latin typeface="Arial"/>
              <a:cs typeface="Arial"/>
            </a:rPr>
            <a:t>It excludes on-job industry training provision.</a:t>
          </a:r>
        </a:p>
        <a:p>
          <a:pPr algn="l" rtl="0">
            <a:defRPr sz="1000"/>
          </a:pPr>
          <a:endParaRPr lang="en-NZ" sz="1200" b="1" i="0" u="none" strike="noStrike" baseline="0">
            <a:solidFill>
              <a:srgbClr val="000000"/>
            </a:solidFill>
            <a:latin typeface="Arial"/>
            <a:cs typeface="Arial"/>
          </a:endParaRPr>
        </a:p>
        <a:p>
          <a:pPr algn="l" rtl="0">
            <a:defRPr sz="1000"/>
          </a:pPr>
          <a:r>
            <a:rPr lang="en-NZ" sz="1200" b="1" i="0" u="none" strike="noStrike" baseline="0">
              <a:solidFill>
                <a:srgbClr val="000000"/>
              </a:solidFill>
              <a:latin typeface="Arial"/>
              <a:cs typeface="Arial"/>
            </a:rPr>
            <a:t>Course</a:t>
          </a:r>
          <a:endParaRPr lang="en-NZ" sz="1200" b="0" i="0" u="none" strike="noStrike" baseline="0">
            <a:solidFill>
              <a:srgbClr val="000000"/>
            </a:solidFill>
            <a:latin typeface="Arial"/>
            <a:cs typeface="Arial"/>
          </a:endParaRPr>
        </a:p>
        <a:p>
          <a:pPr algn="l" rtl="0">
            <a:defRPr sz="1000"/>
          </a:pPr>
          <a:r>
            <a:rPr lang="en-NZ" sz="1200" b="0" i="0" u="none" strike="noStrike" baseline="0">
              <a:solidFill>
                <a:srgbClr val="000000"/>
              </a:solidFill>
              <a:latin typeface="Arial"/>
              <a:cs typeface="Arial"/>
            </a:rPr>
            <a:t>The term 'course' used in these tables, refers to a distinct module, paper, or unit of study that generally forms part of a larger programme of study that may or may not lead towards a recognised qualification. This is different from other countries, such as Australia, where the term course is commonly taken to refer to a programme of study or qualification.</a:t>
          </a:r>
        </a:p>
        <a:p>
          <a:pPr algn="l" rtl="0">
            <a:defRPr sz="1000"/>
          </a:pPr>
          <a:endParaRPr lang="en-NZ" sz="1200" b="0" i="0" u="none" strike="noStrike" baseline="0">
            <a:solidFill>
              <a:srgbClr val="000000"/>
            </a:solidFill>
            <a:latin typeface="Arial"/>
            <a:cs typeface="Arial"/>
          </a:endParaRPr>
        </a:p>
        <a:p>
          <a:pPr algn="l" rtl="0">
            <a:defRPr sz="1000"/>
          </a:pPr>
          <a:r>
            <a:rPr lang="en-NZ" sz="1200" b="1" i="0" u="none" strike="noStrike" baseline="0">
              <a:solidFill>
                <a:srgbClr val="000000"/>
              </a:solidFill>
              <a:latin typeface="Arial"/>
              <a:cs typeface="Arial"/>
            </a:rPr>
            <a:t>Course Completion Rate (CCR)</a:t>
          </a:r>
          <a:endParaRPr lang="en-NZ" sz="1200" b="0" i="0" u="none" strike="noStrike" baseline="0">
            <a:solidFill>
              <a:srgbClr val="000000"/>
            </a:solidFill>
            <a:latin typeface="Arial"/>
            <a:cs typeface="Arial"/>
          </a:endParaRPr>
        </a:p>
        <a:p>
          <a:pPr algn="l" rtl="0">
            <a:defRPr sz="1000"/>
          </a:pPr>
          <a:r>
            <a:rPr lang="en-AU" sz="1200" b="0" i="0" u="none" strike="noStrike" baseline="0">
              <a:solidFill>
                <a:srgbClr val="000000"/>
              </a:solidFill>
              <a:latin typeface="Arial"/>
              <a:ea typeface="+mn-ea"/>
              <a:cs typeface="Arial"/>
            </a:rPr>
            <a:t>One of the Education Performance Indicators (EPI) developed by TEC is a measure of Course Completion Rates (CCR). This indicator takes into account the workload of the course when calculating the successful CCR. </a:t>
          </a:r>
          <a:endParaRPr lang="en-NZ" sz="1200" b="0" i="0" u="none" strike="noStrike" baseline="0">
            <a:solidFill>
              <a:srgbClr val="000000"/>
            </a:solidFill>
            <a:latin typeface="Arial"/>
            <a:ea typeface="+mn-ea"/>
            <a:cs typeface="Arial"/>
          </a:endParaRPr>
        </a:p>
        <a:p>
          <a:pPr algn="l" rtl="0">
            <a:defRPr sz="1000"/>
          </a:pPr>
          <a:endParaRPr lang="en-AU" sz="1200" b="0" i="0" u="none" strike="noStrike" baseline="0">
            <a:solidFill>
              <a:srgbClr val="000000"/>
            </a:solidFill>
            <a:latin typeface="Arial"/>
            <a:ea typeface="+mn-ea"/>
            <a:cs typeface="Arial"/>
          </a:endParaRPr>
        </a:p>
        <a:p>
          <a:pPr algn="l" rtl="0">
            <a:defRPr sz="1000"/>
          </a:pPr>
          <a:r>
            <a:rPr lang="en-NZ" sz="1200" b="0" i="0" u="none" strike="noStrike" baseline="0">
              <a:solidFill>
                <a:srgbClr val="000000"/>
              </a:solidFill>
              <a:latin typeface="Arial"/>
              <a:cs typeface="Arial"/>
            </a:rPr>
            <a:t>The course completion rate is the percentage of EFTS (delivered) that were successful, calculated by dividing the sum of succesful EFTS by the total EFTS delivered from all courses. The formula is shown below.</a:t>
          </a:r>
        </a:p>
        <a:p>
          <a:pPr algn="l" rtl="0">
            <a:defRPr sz="1000"/>
          </a:pPr>
          <a:endParaRPr lang="en-NZ" sz="1200" b="0" i="0" u="none" strike="noStrike" baseline="0">
            <a:solidFill>
              <a:srgbClr val="000000"/>
            </a:solidFill>
            <a:latin typeface="Arial"/>
            <a:cs typeface="Arial"/>
          </a:endParaRPr>
        </a:p>
        <a:p>
          <a:pPr algn="l" rtl="0">
            <a:defRPr sz="1000"/>
          </a:pPr>
          <a:r>
            <a:rPr lang="en-NZ" sz="1200" b="0" i="0" u="none" strike="noStrike" baseline="0">
              <a:solidFill>
                <a:srgbClr val="000000"/>
              </a:solidFill>
              <a:latin typeface="Arial"/>
              <a:cs typeface="Arial"/>
            </a:rPr>
            <a:t>	       EFTS delivered in successfully completed course enrolments</a:t>
          </a:r>
        </a:p>
        <a:p>
          <a:pPr algn="l" rtl="0">
            <a:defRPr sz="1000"/>
          </a:pPr>
          <a:r>
            <a:rPr lang="en-NZ" sz="1200" b="0" i="0" u="none" strike="noStrike" baseline="0">
              <a:solidFill>
                <a:srgbClr val="000000"/>
              </a:solidFill>
              <a:latin typeface="Arial"/>
              <a:cs typeface="Arial"/>
            </a:rPr>
            <a:t>   CCR = ____________________________________________________________________________   </a:t>
          </a:r>
        </a:p>
        <a:p>
          <a:pPr algn="l" rtl="0">
            <a:defRPr sz="1000"/>
          </a:pPr>
          <a:r>
            <a:rPr lang="en-NZ" sz="1200" b="0" i="0" u="none" strike="noStrike" baseline="0">
              <a:solidFill>
                <a:srgbClr val="000000"/>
              </a:solidFill>
              <a:latin typeface="Arial"/>
              <a:cs typeface="Arial"/>
            </a:rPr>
            <a:t>                             EFTS delivered in the total number of all course enrolments </a:t>
          </a:r>
        </a:p>
        <a:p>
          <a:pPr algn="l" rtl="0">
            <a:defRPr sz="1000"/>
          </a:pPr>
          <a:endParaRPr lang="en-NZ" sz="1200" b="0" i="0" u="none" strike="noStrike" baseline="0">
            <a:solidFill>
              <a:srgbClr val="000000"/>
            </a:solidFill>
            <a:latin typeface="Arial"/>
            <a:cs typeface="Arial"/>
          </a:endParaRPr>
        </a:p>
        <a:p>
          <a:pPr algn="l" rtl="0">
            <a:defRPr sz="1000"/>
          </a:pPr>
          <a:r>
            <a:rPr lang="en-NZ" sz="1200" b="0" i="0" u="none" strike="noStrike" baseline="0">
              <a:solidFill>
                <a:srgbClr val="000000"/>
              </a:solidFill>
              <a:latin typeface="Arial"/>
              <a:cs typeface="Arial"/>
            </a:rPr>
            <a:t>The term CCR is used to refer to successful completion, or passing, as opposed to those students who finish the course but are academically unsuccessful, ie fail. The rate for a year relates to courses that end in that year, regardless of when the course started. </a:t>
          </a:r>
        </a:p>
        <a:p>
          <a:pPr algn="l" rtl="0">
            <a:defRPr sz="1000"/>
          </a:pPr>
          <a:endParaRPr lang="en-NZ" sz="1200" b="0" i="0" u="none" strike="noStrike" baseline="0">
            <a:solidFill>
              <a:srgbClr val="000000"/>
            </a:solidFill>
            <a:latin typeface="Arial"/>
            <a:cs typeface="Arial"/>
          </a:endParaRPr>
        </a:p>
        <a:p>
          <a:pPr marL="0" marR="0" indent="0" algn="l" defTabSz="914400" rtl="0" eaLnBrk="1" fontAlgn="auto" latinLnBrk="0" hangingPunct="1">
            <a:lnSpc>
              <a:spcPct val="100000"/>
            </a:lnSpc>
            <a:spcBef>
              <a:spcPts val="0"/>
            </a:spcBef>
            <a:spcAft>
              <a:spcPts val="0"/>
            </a:spcAft>
            <a:buClrTx/>
            <a:buSzTx/>
            <a:buFontTx/>
            <a:buNone/>
            <a:tabLst/>
            <a:defRPr sz="1000"/>
          </a:pPr>
          <a:r>
            <a:rPr lang="en-NZ" sz="1200" b="1" i="0" u="none" strike="noStrike" baseline="0">
              <a:solidFill>
                <a:srgbClr val="000000"/>
              </a:solidFill>
              <a:latin typeface="Arial"/>
              <a:ea typeface="+mn-ea"/>
              <a:cs typeface="Arial"/>
            </a:rPr>
            <a:t>Business  Rules</a:t>
          </a:r>
        </a:p>
        <a:p>
          <a:pPr marL="0" marR="0" indent="0" algn="l" defTabSz="914400" rtl="0" eaLnBrk="1" fontAlgn="auto" latinLnBrk="0" hangingPunct="1">
            <a:lnSpc>
              <a:spcPct val="100000"/>
            </a:lnSpc>
            <a:spcBef>
              <a:spcPts val="0"/>
            </a:spcBef>
            <a:spcAft>
              <a:spcPts val="0"/>
            </a:spcAft>
            <a:buClrTx/>
            <a:buSzTx/>
            <a:buFontTx/>
            <a:buNone/>
            <a:tabLst/>
            <a:defRPr sz="1000"/>
          </a:pPr>
          <a:r>
            <a:rPr lang="en-NZ" sz="1200" b="0" i="0" u="none" strike="noStrike" baseline="0">
              <a:solidFill>
                <a:srgbClr val="000000"/>
              </a:solidFill>
              <a:latin typeface="Arial"/>
              <a:ea typeface="+mn-ea"/>
              <a:cs typeface="Arial"/>
            </a:rPr>
            <a:t>CCR data is limited to those enrolments for which course completion data is required to be collected. Completion data is collected for all formally-assessed courses of more than a week’s equivalent full-time duration, except those relating to training opportunities, youth training, skill enhancement, industry training, and students in formal qualifications in private training establishments that receive no funding assistance from government.  The following are the business rules use in generating the CCR.</a:t>
          </a:r>
        </a:p>
        <a:p>
          <a:pPr marL="0" marR="0" indent="0" algn="l" defTabSz="914400" rtl="0" eaLnBrk="1" fontAlgn="auto" latinLnBrk="0" hangingPunct="1">
            <a:lnSpc>
              <a:spcPct val="100000"/>
            </a:lnSpc>
            <a:spcBef>
              <a:spcPts val="0"/>
            </a:spcBef>
            <a:spcAft>
              <a:spcPts val="0"/>
            </a:spcAft>
            <a:buClrTx/>
            <a:buSzTx/>
            <a:buFontTx/>
            <a:buNone/>
            <a:tabLst/>
            <a:defRPr sz="1000"/>
          </a:pPr>
          <a:endParaRPr lang="en-NZ" sz="1200" b="0" i="0" u="none" strike="noStrike" baseline="0">
            <a:solidFill>
              <a:srgbClr val="000000"/>
            </a:solidFill>
            <a:latin typeface="Arial"/>
            <a:ea typeface="+mn-ea"/>
            <a:cs typeface="Arial"/>
          </a:endParaRPr>
        </a:p>
        <a:p>
          <a:pPr marL="0" marR="0" indent="0" algn="l" defTabSz="914400" rtl="0" eaLnBrk="1" fontAlgn="auto" latinLnBrk="0" hangingPunct="1">
            <a:lnSpc>
              <a:spcPct val="100000"/>
            </a:lnSpc>
            <a:spcBef>
              <a:spcPts val="0"/>
            </a:spcBef>
            <a:spcAft>
              <a:spcPts val="0"/>
            </a:spcAft>
            <a:buClrTx/>
            <a:buSzTx/>
            <a:buFontTx/>
            <a:buNone/>
            <a:tabLst/>
            <a:defRPr sz="1000"/>
          </a:pPr>
          <a:r>
            <a:rPr lang="en-NZ" sz="1200" b="0" i="0" u="none" strike="noStrike" baseline="0">
              <a:solidFill>
                <a:srgbClr val="000000"/>
              </a:solidFill>
              <a:latin typeface="Arial"/>
              <a:ea typeface="+mn-ea"/>
              <a:cs typeface="Arial"/>
            </a:rPr>
            <a:t>a)  Enrolments in courses that end in a specified year are selected. 'Year' in these tables relates to the year in which the course has an end date, regardless of when it was started. </a:t>
          </a:r>
        </a:p>
        <a:p>
          <a:pPr marL="0" marR="0" indent="0" algn="l" defTabSz="914400" rtl="0" eaLnBrk="1" fontAlgn="auto" latinLnBrk="0" hangingPunct="1">
            <a:lnSpc>
              <a:spcPct val="100000"/>
            </a:lnSpc>
            <a:spcBef>
              <a:spcPts val="0"/>
            </a:spcBef>
            <a:spcAft>
              <a:spcPts val="0"/>
            </a:spcAft>
            <a:buClrTx/>
            <a:buSzTx/>
            <a:buFontTx/>
            <a:buNone/>
            <a:tabLst/>
            <a:defRPr sz="1000"/>
          </a:pPr>
          <a:r>
            <a:rPr lang="en-NZ" sz="1200" b="0" i="0" u="none" strike="noStrike" baseline="0">
              <a:solidFill>
                <a:srgbClr val="000000"/>
              </a:solidFill>
              <a:latin typeface="Arial"/>
              <a:ea typeface="+mn-ea"/>
              <a:cs typeface="Arial"/>
            </a:rPr>
            <a:t>     For example the course completion rate for 2010 relates to students who finished courses in 2010.</a:t>
          </a:r>
        </a:p>
        <a:p>
          <a:pPr marL="0" marR="0" indent="0" algn="l" defTabSz="914400" rtl="0" eaLnBrk="1" fontAlgn="auto" latinLnBrk="0" hangingPunct="1">
            <a:lnSpc>
              <a:spcPct val="100000"/>
            </a:lnSpc>
            <a:spcBef>
              <a:spcPts val="0"/>
            </a:spcBef>
            <a:spcAft>
              <a:spcPts val="0"/>
            </a:spcAft>
            <a:buClrTx/>
            <a:buSzTx/>
            <a:buFontTx/>
            <a:buNone/>
            <a:tabLst/>
            <a:defRPr sz="1000"/>
          </a:pPr>
          <a:endParaRPr lang="en-NZ" sz="1200" b="0" i="0" u="none" strike="noStrike" baseline="0">
            <a:solidFill>
              <a:srgbClr val="000000"/>
            </a:solidFill>
            <a:latin typeface="Arial"/>
            <a:ea typeface="+mn-ea"/>
            <a:cs typeface="Arial"/>
          </a:endParaRPr>
        </a:p>
        <a:p>
          <a:pPr marL="0" marR="0" indent="0" algn="l" defTabSz="914400" rtl="0" eaLnBrk="1" fontAlgn="auto" latinLnBrk="0" hangingPunct="1">
            <a:lnSpc>
              <a:spcPct val="100000"/>
            </a:lnSpc>
            <a:spcBef>
              <a:spcPts val="0"/>
            </a:spcBef>
            <a:spcAft>
              <a:spcPts val="0"/>
            </a:spcAft>
            <a:buClrTx/>
            <a:buSzTx/>
            <a:buFontTx/>
            <a:buNone/>
            <a:tabLst/>
            <a:defRPr sz="1000"/>
          </a:pPr>
          <a:r>
            <a:rPr lang="en-NZ" sz="1200" b="0" i="0" u="none" strike="noStrike" baseline="0">
              <a:solidFill>
                <a:srgbClr val="000000"/>
              </a:solidFill>
              <a:latin typeface="Arial"/>
              <a:ea typeface="+mn-ea"/>
              <a:cs typeface="Arial"/>
            </a:rPr>
            <a:t>b) The following course enrolment records are excluded:</a:t>
          </a:r>
        </a:p>
        <a:p>
          <a:pPr marL="0" marR="0" indent="0" algn="l" defTabSz="914400" rtl="0" eaLnBrk="1" fontAlgn="auto" latinLnBrk="0" hangingPunct="1">
            <a:lnSpc>
              <a:spcPct val="100000"/>
            </a:lnSpc>
            <a:spcBef>
              <a:spcPts val="0"/>
            </a:spcBef>
            <a:spcAft>
              <a:spcPts val="0"/>
            </a:spcAft>
            <a:buClrTx/>
            <a:buSzTx/>
            <a:buFontTx/>
            <a:buNone/>
            <a:tabLst/>
            <a:defRPr sz="1000"/>
          </a:pPr>
          <a:endParaRPr lang="en-NZ" sz="1200" b="0" i="0" u="none" strike="noStrike" baseline="0">
            <a:solidFill>
              <a:srgbClr val="000000"/>
            </a:solidFill>
            <a:latin typeface="Arial"/>
            <a:ea typeface="+mn-ea"/>
            <a:cs typeface="Arial"/>
          </a:endParaRPr>
        </a:p>
        <a:p>
          <a:pPr marL="457200" marR="0" lvl="1" indent="0" algn="l" defTabSz="914400" rtl="0" eaLnBrk="1" fontAlgn="auto" latinLnBrk="0" hangingPunct="1">
            <a:lnSpc>
              <a:spcPct val="100000"/>
            </a:lnSpc>
            <a:spcBef>
              <a:spcPts val="0"/>
            </a:spcBef>
            <a:spcAft>
              <a:spcPts val="0"/>
            </a:spcAft>
            <a:buClrTx/>
            <a:buSzTx/>
            <a:buFontTx/>
            <a:buNone/>
            <a:tabLst/>
            <a:defRPr sz="1000"/>
          </a:pPr>
          <a:r>
            <a:rPr lang="en-NZ" sz="1200" b="0" i="0" u="none" strike="noStrike" baseline="0">
              <a:solidFill>
                <a:srgbClr val="000000"/>
              </a:solidFill>
              <a:latin typeface="Arial"/>
              <a:ea typeface="+mn-ea"/>
              <a:cs typeface="Arial"/>
            </a:rPr>
            <a:t>1. Courses that have not received Student Achivement Component (SAC) or Youth Guarantee funding through out the duration of the enrolment</a:t>
          </a:r>
        </a:p>
        <a:p>
          <a:pPr marL="457200" marR="0" lvl="1" indent="0" algn="l" defTabSz="914400" rtl="0" eaLnBrk="1" fontAlgn="auto" latinLnBrk="0" hangingPunct="1">
            <a:lnSpc>
              <a:spcPct val="100000"/>
            </a:lnSpc>
            <a:spcBef>
              <a:spcPts val="0"/>
            </a:spcBef>
            <a:spcAft>
              <a:spcPts val="0"/>
            </a:spcAft>
            <a:buClrTx/>
            <a:buSzTx/>
            <a:buFontTx/>
            <a:buNone/>
            <a:tabLst/>
            <a:defRPr sz="1000"/>
          </a:pPr>
          <a:r>
            <a:rPr lang="en-NZ" sz="1200" b="0" i="0" u="none" strike="noStrike" baseline="0">
              <a:solidFill>
                <a:srgbClr val="000000"/>
              </a:solidFill>
              <a:latin typeface="Arial"/>
              <a:ea typeface="+mn-ea"/>
              <a:cs typeface="Arial"/>
            </a:rPr>
            <a:t>2. Duplicate records with identical NSN, start date, course code and TEO number. Only the last submitted enrolment in the course for the student is retained</a:t>
          </a:r>
        </a:p>
        <a:p>
          <a:pPr marL="457200" marR="0" lvl="1" indent="0" algn="l" defTabSz="914400" rtl="0" eaLnBrk="1" fontAlgn="auto" latinLnBrk="0" hangingPunct="1">
            <a:lnSpc>
              <a:spcPct val="100000"/>
            </a:lnSpc>
            <a:spcBef>
              <a:spcPts val="0"/>
            </a:spcBef>
            <a:spcAft>
              <a:spcPts val="0"/>
            </a:spcAft>
            <a:buClrTx/>
            <a:buSzTx/>
            <a:buFontTx/>
            <a:buNone/>
            <a:tabLst/>
            <a:defRPr sz="1000"/>
          </a:pPr>
          <a:r>
            <a:rPr lang="en-NZ" sz="1200" b="0" i="0" u="none" strike="noStrike" baseline="0">
              <a:solidFill>
                <a:srgbClr val="000000"/>
              </a:solidFill>
              <a:latin typeface="Arial"/>
              <a:ea typeface="+mn-ea"/>
              <a:cs typeface="Arial"/>
            </a:rPr>
            <a:t>3. Records for courses for which a course completion notification is not required. This includes STAR, certificate of personal interest, programme of study taught under contract and Adult Community Education (ACE) programmes </a:t>
          </a:r>
        </a:p>
        <a:p>
          <a:pPr marL="457200" marR="0" lvl="1" indent="0" algn="l" defTabSz="914400" rtl="0" eaLnBrk="1" fontAlgn="auto" latinLnBrk="0" hangingPunct="1">
            <a:lnSpc>
              <a:spcPct val="100000"/>
            </a:lnSpc>
            <a:spcBef>
              <a:spcPts val="0"/>
            </a:spcBef>
            <a:spcAft>
              <a:spcPts val="0"/>
            </a:spcAft>
            <a:buClrTx/>
            <a:buSzTx/>
            <a:buFontTx/>
            <a:buNone/>
            <a:tabLst/>
            <a:defRPr sz="1000"/>
          </a:pPr>
          <a:r>
            <a:rPr lang="en-NZ" sz="1200" b="0" i="0" u="none" strike="noStrike" baseline="0">
              <a:solidFill>
                <a:srgbClr val="000000"/>
              </a:solidFill>
              <a:latin typeface="Arial"/>
              <a:ea typeface="+mn-ea"/>
              <a:cs typeface="Arial"/>
            </a:rPr>
            <a:t>4. Courses eligible for PBRF funding. Such courses are wholly research-based, and since research may last longer than the course end date. These courses are likely to have high number of still-to-complete enrolments</a:t>
          </a:r>
        </a:p>
        <a:p>
          <a:pPr marL="457200" marR="0" lvl="1" indent="0" algn="l" defTabSz="914400" rtl="0" eaLnBrk="1" fontAlgn="auto" latinLnBrk="0" hangingPunct="1">
            <a:lnSpc>
              <a:spcPct val="100000"/>
            </a:lnSpc>
            <a:spcBef>
              <a:spcPts val="0"/>
            </a:spcBef>
            <a:spcAft>
              <a:spcPts val="0"/>
            </a:spcAft>
            <a:buClrTx/>
            <a:buSzTx/>
            <a:buFontTx/>
            <a:buNone/>
            <a:tabLst/>
            <a:defRPr sz="1000"/>
          </a:pPr>
          <a:r>
            <a:rPr lang="en-NZ" sz="1200" b="0" i="0" u="none" strike="noStrike" baseline="0">
              <a:solidFill>
                <a:srgbClr val="000000"/>
              </a:solidFill>
              <a:latin typeface="Arial"/>
              <a:ea typeface="+mn-ea"/>
              <a:cs typeface="Arial"/>
            </a:rPr>
            <a:t>5. Doctorates (PhDs) and higher doctorates (see 4. above).</a:t>
          </a:r>
        </a:p>
        <a:p>
          <a:pPr marL="457200" marR="0" lvl="1" indent="0" algn="l" defTabSz="914400" rtl="0" eaLnBrk="1" fontAlgn="auto" latinLnBrk="0" hangingPunct="1">
            <a:lnSpc>
              <a:spcPct val="100000"/>
            </a:lnSpc>
            <a:spcBef>
              <a:spcPts val="0"/>
            </a:spcBef>
            <a:spcAft>
              <a:spcPts val="0"/>
            </a:spcAft>
            <a:buClrTx/>
            <a:buSzTx/>
            <a:buFontTx/>
            <a:buNone/>
            <a:tabLst/>
            <a:defRPr sz="1000"/>
          </a:pPr>
          <a:endParaRPr lang="en-NZ" sz="1200" b="0" i="0" u="none" strike="noStrike" baseline="0">
            <a:solidFill>
              <a:srgbClr val="000000"/>
            </a:solidFill>
            <a:latin typeface="Arial"/>
            <a:ea typeface="+mn-ea"/>
            <a:cs typeface="Arial"/>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lang="en-NZ" sz="1200" b="0" i="0" u="none" strike="noStrike" baseline="0">
              <a:solidFill>
                <a:srgbClr val="000000"/>
              </a:solidFill>
              <a:latin typeface="Arial"/>
              <a:ea typeface="+mn-ea"/>
              <a:cs typeface="Arial"/>
            </a:rPr>
            <a:t>            This covers between 65-70 percent of all course enrolments each year and  as it excludes majority of international student enrolments, rates are calculated for domestic students only. </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lang="en-NZ" sz="1200" b="0" i="0" u="none" strike="noStrike" baseline="0">
            <a:solidFill>
              <a:srgbClr val="000000"/>
            </a:solidFill>
            <a:latin typeface="Arial"/>
            <a:ea typeface="+mn-ea"/>
            <a:cs typeface="Arial"/>
          </a:endParaRPr>
        </a:p>
        <a:p>
          <a:pPr algn="l" rtl="0">
            <a:defRPr sz="1000"/>
          </a:pPr>
          <a:r>
            <a:rPr lang="en-NZ" sz="1200" b="0" i="0" u="none" strike="noStrike" baseline="0">
              <a:solidFill>
                <a:srgbClr val="000000"/>
              </a:solidFill>
              <a:latin typeface="Arial"/>
              <a:cs typeface="Arial"/>
            </a:rPr>
            <a:t>c)  Each course enrolment record is matched with the course completion SDR register, selecting the most up-to-date course completion record.</a:t>
          </a:r>
        </a:p>
        <a:p>
          <a:pPr algn="l" rtl="0">
            <a:defRPr sz="1000"/>
          </a:pPr>
          <a:endParaRPr lang="en-NZ" sz="1200" b="0" i="0" u="none" strike="noStrike" baseline="0">
            <a:solidFill>
              <a:srgbClr val="000000"/>
            </a:solidFill>
            <a:latin typeface="Arial"/>
            <a:cs typeface="Arial"/>
          </a:endParaRPr>
        </a:p>
        <a:p>
          <a:pPr algn="l" rtl="0">
            <a:defRPr sz="1000"/>
          </a:pPr>
          <a:r>
            <a:rPr lang="en-NZ" sz="1200" b="0" i="0" u="none" strike="noStrike" baseline="0">
              <a:solidFill>
                <a:srgbClr val="000000"/>
              </a:solidFill>
              <a:latin typeface="Arial"/>
              <a:cs typeface="Arial"/>
            </a:rPr>
            <a:t>d)  </a:t>
          </a:r>
          <a:r>
            <a:rPr lang="en-NZ" sz="1200" b="0" i="0" u="none" strike="noStrike" baseline="0">
              <a:solidFill>
                <a:srgbClr val="000000"/>
              </a:solidFill>
              <a:latin typeface="Arial"/>
              <a:ea typeface="+mn-ea"/>
              <a:cs typeface="Arial"/>
            </a:rPr>
            <a:t>The EFTS delivered (or EFTS consumed) is used in the calculation. If an enrolment record has a null or missing EFTS consumed for the course, the associated EFTSPRG value is used instead .</a:t>
          </a:r>
        </a:p>
        <a:p>
          <a:pPr algn="l" rtl="0">
            <a:defRPr sz="1000"/>
          </a:pPr>
          <a:endParaRPr lang="en-NZ" sz="1200" b="0" i="0" u="none" strike="noStrike" baseline="0">
            <a:solidFill>
              <a:srgbClr val="000000"/>
            </a:solidFill>
            <a:latin typeface="Arial"/>
            <a:cs typeface="Arial"/>
          </a:endParaRPr>
        </a:p>
        <a:p>
          <a:pPr algn="l" rtl="0">
            <a:defRPr sz="1000"/>
          </a:pPr>
          <a:r>
            <a:rPr lang="en-NZ" sz="1200" b="0" i="0" u="none" strike="noStrike" baseline="0">
              <a:solidFill>
                <a:srgbClr val="000000"/>
              </a:solidFill>
              <a:latin typeface="Arial"/>
              <a:cs typeface="Arial"/>
            </a:rPr>
            <a:t>e)  </a:t>
          </a:r>
          <a:r>
            <a:rPr lang="en-NZ" sz="1200" b="0" i="0" baseline="0">
              <a:latin typeface="Arial" pitchFamily="34" charset="0"/>
              <a:ea typeface="+mn-ea"/>
              <a:cs typeface="Arial" pitchFamily="34" charset="0"/>
            </a:rPr>
            <a:t>The EFTS delivered of courses that start in previous years are obtained by matching the previous years' data (going back up to two years).</a:t>
          </a:r>
          <a:endParaRPr lang="en-NZ" sz="1200" b="0" i="0" u="none" strike="noStrike" baseline="0">
            <a:solidFill>
              <a:srgbClr val="000000"/>
            </a:solidFill>
            <a:latin typeface="Arial" pitchFamily="34" charset="0"/>
            <a:cs typeface="Arial" pitchFamily="34" charset="0"/>
          </a:endParaRPr>
        </a:p>
        <a:p>
          <a:pPr algn="l" rtl="0">
            <a:defRPr sz="1000"/>
          </a:pPr>
          <a:endParaRPr lang="en-NZ" sz="1200" b="0" i="0" u="none" strike="noStrike" baseline="0">
            <a:solidFill>
              <a:srgbClr val="000000"/>
            </a:solidFill>
            <a:latin typeface="Arial"/>
            <a:cs typeface="Arial"/>
          </a:endParaRPr>
        </a:p>
        <a:p>
          <a:pPr algn="l" rtl="0">
            <a:defRPr sz="1000"/>
          </a:pPr>
          <a:endParaRPr lang="en-NZ" sz="1200" b="0" i="0" u="none" strike="noStrike" baseline="0">
            <a:solidFill>
              <a:srgbClr val="000000"/>
            </a:solidFill>
            <a:latin typeface="Arial"/>
            <a:cs typeface="Arial"/>
          </a:endParaRPr>
        </a:p>
        <a:p>
          <a:pPr algn="l" rtl="0">
            <a:defRPr sz="1000"/>
          </a:pPr>
          <a:r>
            <a:rPr lang="en-NZ" sz="1200" b="1" i="0" u="none" strike="noStrike" baseline="0">
              <a:solidFill>
                <a:srgbClr val="000000"/>
              </a:solidFill>
              <a:latin typeface="Arial"/>
              <a:cs typeface="Arial"/>
            </a:rPr>
            <a:t>Notes:</a:t>
          </a:r>
        </a:p>
        <a:p>
          <a:pPr marL="457200" marR="0" lvl="1" indent="0" algn="l" defTabSz="914400" rtl="0" eaLnBrk="1" fontAlgn="auto" latinLnBrk="0" hangingPunct="1">
            <a:lnSpc>
              <a:spcPct val="100000"/>
            </a:lnSpc>
            <a:spcBef>
              <a:spcPts val="0"/>
            </a:spcBef>
            <a:spcAft>
              <a:spcPts val="0"/>
            </a:spcAft>
            <a:buClrTx/>
            <a:buSzTx/>
            <a:buFontTx/>
            <a:buNone/>
            <a:tabLst/>
            <a:defRPr sz="1000"/>
          </a:pPr>
          <a:r>
            <a:rPr lang="en-NZ" sz="1200" b="0" i="0" u="none" strike="noStrike" baseline="0">
              <a:solidFill>
                <a:srgbClr val="000000"/>
              </a:solidFill>
              <a:latin typeface="Arial"/>
              <a:ea typeface="+mn-ea"/>
              <a:cs typeface="Arial"/>
            </a:rPr>
            <a:t>1. These rates may differ slightly from those published by Tertiary Education Commission (TEC) in their education performance indicators series.  This is because the  student populations from which the rates are calculated are slightly different. </a:t>
          </a:r>
          <a:endParaRPr lang="en-NZ" sz="1200" b="0" i="0" u="none" strike="noStrike" baseline="0">
            <a:solidFill>
              <a:srgbClr val="000000"/>
            </a:solidFill>
            <a:latin typeface="Arial"/>
            <a:cs typeface="Arial"/>
          </a:endParaRPr>
        </a:p>
        <a:p>
          <a:pPr lvl="1" algn="l" rtl="0">
            <a:defRPr sz="1000"/>
          </a:pPr>
          <a:r>
            <a:rPr lang="en-NZ" sz="1200" b="0" i="0" u="none" strike="noStrike" baseline="0">
              <a:solidFill>
                <a:srgbClr val="000000"/>
              </a:solidFill>
              <a:latin typeface="Arial"/>
              <a:cs typeface="Arial"/>
            </a:rPr>
            <a:t>2. Rates are reported  for domestic students only.</a:t>
          </a:r>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tint="-0.499984740745262"/>
  </sheetPr>
  <dimension ref="A1:H6"/>
  <sheetViews>
    <sheetView tabSelected="1" zoomScale="80" zoomScaleNormal="80" workbookViewId="0">
      <selection activeCell="A2" sqref="A2"/>
    </sheetView>
  </sheetViews>
  <sheetFormatPr defaultRowHeight="15" x14ac:dyDescent="0.25"/>
  <cols>
    <col min="2" max="2" width="46.5703125" bestFit="1" customWidth="1"/>
  </cols>
  <sheetData>
    <row r="1" spans="1:8" ht="15.75" x14ac:dyDescent="0.25">
      <c r="A1" s="23" t="s">
        <v>51</v>
      </c>
      <c r="B1" s="24"/>
      <c r="C1" s="24"/>
      <c r="D1" s="24"/>
      <c r="E1" s="24"/>
      <c r="F1" s="24"/>
      <c r="G1" s="24"/>
      <c r="H1" s="24"/>
    </row>
    <row r="2" spans="1:8" x14ac:dyDescent="0.25">
      <c r="A2" s="24"/>
      <c r="B2" s="24"/>
      <c r="C2" s="24"/>
      <c r="D2" s="24"/>
      <c r="E2" s="24"/>
      <c r="F2" s="24"/>
      <c r="G2" s="24"/>
      <c r="H2" s="24"/>
    </row>
    <row r="3" spans="1:8" x14ac:dyDescent="0.25">
      <c r="A3" s="79" t="s">
        <v>52</v>
      </c>
      <c r="B3" s="78" t="str">
        <f>LNR.1!B1</f>
        <v>Number of students enrolled</v>
      </c>
      <c r="C3" s="78"/>
      <c r="D3" s="24"/>
      <c r="E3" s="24"/>
      <c r="F3" s="24"/>
      <c r="G3" s="24"/>
      <c r="H3" s="24"/>
    </row>
    <row r="4" spans="1:8" x14ac:dyDescent="0.25">
      <c r="A4" s="79" t="s">
        <v>53</v>
      </c>
      <c r="B4" s="78" t="str">
        <f>LNR.2!B1</f>
        <v>Number of equivalent full-time students (EFTS) enrolled</v>
      </c>
      <c r="C4" s="78"/>
      <c r="D4" s="24"/>
      <c r="E4" s="24"/>
      <c r="F4" s="24"/>
      <c r="G4" s="24"/>
      <c r="H4" s="24"/>
    </row>
    <row r="5" spans="1:8" x14ac:dyDescent="0.25">
      <c r="A5" s="79" t="s">
        <v>54</v>
      </c>
      <c r="B5" s="78" t="str">
        <f>LNR.3!B1</f>
        <v>Number of students completing qualifications</v>
      </c>
      <c r="C5" s="78"/>
      <c r="D5" s="24"/>
      <c r="E5" s="24"/>
      <c r="F5" s="24"/>
      <c r="G5" s="24"/>
      <c r="H5" s="24"/>
    </row>
    <row r="6" spans="1:8" x14ac:dyDescent="0.25">
      <c r="A6" s="79" t="s">
        <v>55</v>
      </c>
      <c r="B6" s="78" t="str">
        <f>LNR.4!B1</f>
        <v>Course completion rates for domestic students</v>
      </c>
      <c r="C6" s="78" t="s">
        <v>56</v>
      </c>
      <c r="D6" s="24"/>
      <c r="E6" s="24"/>
      <c r="F6" s="24"/>
      <c r="G6" s="24"/>
      <c r="H6" s="24"/>
    </row>
  </sheetData>
  <hyperlinks>
    <hyperlink ref="A3" location="LNR.1!A1" tooltip="Enrolments" display="LNR.1" xr:uid="{00000000-0004-0000-0000-000000000000}"/>
    <hyperlink ref="A4" location="LNR.2!A1" tooltip="EFTS" display="LNR.2" xr:uid="{00000000-0004-0000-0000-000001000000}"/>
    <hyperlink ref="A5" location="LNR.3!A1" tooltip="Qualification completion counts" display="LNR.3" xr:uid="{00000000-0004-0000-0000-000002000000}"/>
    <hyperlink ref="A6" location="LNR.4!A1" tooltip="Course pass rates" display="LNR.4" xr:uid="{00000000-0004-0000-0000-000003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
  <sheetViews>
    <sheetView zoomScale="82" zoomScaleNormal="82" workbookViewId="0">
      <selection sqref="A1:Y1"/>
    </sheetView>
  </sheetViews>
  <sheetFormatPr defaultColWidth="8.7109375" defaultRowHeight="11.25" x14ac:dyDescent="0.2"/>
  <cols>
    <col min="1" max="16384" width="8.7109375" style="26"/>
  </cols>
  <sheetData>
    <row r="1" spans="1:25" s="25" customFormat="1" ht="35.25" x14ac:dyDescent="0.2">
      <c r="A1" s="123" t="s">
        <v>57</v>
      </c>
      <c r="B1" s="123"/>
      <c r="C1" s="123"/>
      <c r="D1" s="123"/>
      <c r="E1" s="123"/>
      <c r="F1" s="123"/>
      <c r="G1" s="123"/>
      <c r="H1" s="123"/>
      <c r="I1" s="123"/>
      <c r="J1" s="123"/>
      <c r="K1" s="123"/>
      <c r="L1" s="123"/>
      <c r="M1" s="123"/>
      <c r="N1" s="123"/>
      <c r="O1" s="124"/>
      <c r="P1" s="124"/>
      <c r="Q1" s="124"/>
      <c r="R1" s="124"/>
      <c r="S1" s="124"/>
      <c r="T1" s="124"/>
      <c r="U1" s="124"/>
      <c r="V1" s="124"/>
      <c r="W1" s="124"/>
      <c r="X1" s="124"/>
      <c r="Y1" s="124"/>
    </row>
  </sheetData>
  <mergeCells count="1">
    <mergeCell ref="A1:Y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S83"/>
  <sheetViews>
    <sheetView zoomScale="80" zoomScaleNormal="80" workbookViewId="0">
      <pane xSplit="2" ySplit="5" topLeftCell="C6" activePane="bottomRight" state="frozen"/>
      <selection sqref="A1:AB1"/>
      <selection pane="topRight" sqref="A1:AB1"/>
      <selection pane="bottomLeft" sqref="A1:AB1"/>
      <selection pane="bottomRight" activeCell="B2" sqref="B2"/>
    </sheetView>
  </sheetViews>
  <sheetFormatPr defaultColWidth="7.5703125" defaultRowHeight="12.75" x14ac:dyDescent="0.2"/>
  <cols>
    <col min="1" max="1" width="3.28515625" style="30" customWidth="1"/>
    <col min="2" max="2" width="40.5703125" style="60" customWidth="1"/>
    <col min="3" max="35" width="11.7109375" style="29" customWidth="1"/>
    <col min="36" max="16384" width="7.5703125" style="30"/>
  </cols>
  <sheetData>
    <row r="1" spans="2:35" ht="15" customHeight="1" x14ac:dyDescent="0.25">
      <c r="B1" s="27" t="s">
        <v>58</v>
      </c>
      <c r="C1" s="28"/>
      <c r="D1" s="28"/>
      <c r="G1" s="28"/>
      <c r="H1" s="28"/>
    </row>
    <row r="2" spans="2:35" ht="15" customHeight="1" x14ac:dyDescent="0.2"/>
    <row r="3" spans="2:35" ht="15" customHeight="1" x14ac:dyDescent="0.2">
      <c r="B3" s="125" t="s">
        <v>59</v>
      </c>
      <c r="C3" s="128" t="s">
        <v>3</v>
      </c>
      <c r="D3" s="129"/>
      <c r="E3" s="130"/>
      <c r="F3" s="128" t="s">
        <v>30</v>
      </c>
      <c r="G3" s="129"/>
      <c r="H3" s="130"/>
      <c r="I3" s="128" t="s">
        <v>2</v>
      </c>
      <c r="J3" s="129"/>
      <c r="K3" s="130"/>
      <c r="L3" s="128" t="s">
        <v>31</v>
      </c>
      <c r="M3" s="129"/>
      <c r="N3" s="130"/>
      <c r="O3" s="128" t="s">
        <v>32</v>
      </c>
      <c r="P3" s="129"/>
      <c r="Q3" s="130"/>
      <c r="R3" s="128" t="s">
        <v>92</v>
      </c>
      <c r="S3" s="129"/>
      <c r="T3" s="130"/>
      <c r="U3" s="128" t="s">
        <v>93</v>
      </c>
      <c r="V3" s="129"/>
      <c r="W3" s="130"/>
      <c r="X3" s="128" t="s">
        <v>94</v>
      </c>
      <c r="Y3" s="129"/>
      <c r="Z3" s="130"/>
      <c r="AA3" s="128" t="s">
        <v>95</v>
      </c>
      <c r="AB3" s="129"/>
      <c r="AC3" s="130"/>
      <c r="AD3" s="128" t="s">
        <v>96</v>
      </c>
      <c r="AE3" s="129"/>
      <c r="AF3" s="129"/>
      <c r="AG3" s="128" t="s">
        <v>33</v>
      </c>
      <c r="AH3" s="129"/>
      <c r="AI3" s="129"/>
    </row>
    <row r="4" spans="2:35" ht="15" customHeight="1" x14ac:dyDescent="0.2">
      <c r="B4" s="126"/>
      <c r="C4" s="31" t="s">
        <v>1</v>
      </c>
      <c r="D4" s="32" t="s">
        <v>0</v>
      </c>
      <c r="E4" s="33" t="s">
        <v>34</v>
      </c>
      <c r="F4" s="31" t="s">
        <v>1</v>
      </c>
      <c r="G4" s="32" t="s">
        <v>0</v>
      </c>
      <c r="H4" s="33" t="s">
        <v>34</v>
      </c>
      <c r="I4" s="31" t="s">
        <v>1</v>
      </c>
      <c r="J4" s="32" t="s">
        <v>0</v>
      </c>
      <c r="K4" s="33" t="s">
        <v>34</v>
      </c>
      <c r="L4" s="31" t="s">
        <v>1</v>
      </c>
      <c r="M4" s="32" t="s">
        <v>0</v>
      </c>
      <c r="N4" s="33" t="s">
        <v>34</v>
      </c>
      <c r="O4" s="31" t="s">
        <v>1</v>
      </c>
      <c r="P4" s="32" t="s">
        <v>0</v>
      </c>
      <c r="Q4" s="33" t="s">
        <v>34</v>
      </c>
      <c r="R4" s="31" t="s">
        <v>1</v>
      </c>
      <c r="S4" s="32" t="s">
        <v>0</v>
      </c>
      <c r="T4" s="33" t="s">
        <v>34</v>
      </c>
      <c r="U4" s="31" t="s">
        <v>1</v>
      </c>
      <c r="V4" s="32" t="s">
        <v>0</v>
      </c>
      <c r="W4" s="33" t="s">
        <v>34</v>
      </c>
      <c r="X4" s="31" t="s">
        <v>1</v>
      </c>
      <c r="Y4" s="32" t="s">
        <v>0</v>
      </c>
      <c r="Z4" s="33" t="s">
        <v>34</v>
      </c>
      <c r="AA4" s="31" t="s">
        <v>1</v>
      </c>
      <c r="AB4" s="32" t="s">
        <v>0</v>
      </c>
      <c r="AC4" s="33" t="s">
        <v>34</v>
      </c>
      <c r="AD4" s="31" t="s">
        <v>1</v>
      </c>
      <c r="AE4" s="32" t="s">
        <v>0</v>
      </c>
      <c r="AF4" s="34" t="s">
        <v>34</v>
      </c>
      <c r="AG4" s="31" t="s">
        <v>1</v>
      </c>
      <c r="AH4" s="32" t="s">
        <v>0</v>
      </c>
      <c r="AI4" s="34" t="s">
        <v>34</v>
      </c>
    </row>
    <row r="5" spans="2:35" ht="15" customHeight="1" x14ac:dyDescent="0.2">
      <c r="B5" s="127"/>
      <c r="C5" s="131"/>
      <c r="D5" s="132"/>
      <c r="E5" s="132"/>
      <c r="F5" s="132"/>
      <c r="G5" s="132"/>
      <c r="H5" s="132"/>
      <c r="I5" s="132"/>
      <c r="J5" s="132"/>
      <c r="K5" s="132"/>
      <c r="L5" s="132"/>
      <c r="M5" s="132"/>
      <c r="N5" s="132"/>
      <c r="O5" s="132"/>
      <c r="P5" s="132"/>
      <c r="Q5" s="132"/>
      <c r="R5" s="132"/>
      <c r="S5" s="132"/>
      <c r="T5" s="132"/>
      <c r="U5" s="132"/>
      <c r="V5" s="132"/>
      <c r="W5" s="132"/>
      <c r="X5" s="132"/>
      <c r="Y5" s="132"/>
      <c r="Z5" s="132"/>
      <c r="AA5" s="132"/>
      <c r="AB5" s="132"/>
      <c r="AC5" s="132"/>
      <c r="AD5" s="132"/>
      <c r="AE5" s="132"/>
      <c r="AF5" s="132"/>
      <c r="AG5" s="133"/>
      <c r="AH5" s="133"/>
      <c r="AI5" s="133"/>
    </row>
    <row r="6" spans="2:35" x14ac:dyDescent="0.2">
      <c r="B6" s="35">
        <v>2009</v>
      </c>
      <c r="C6" s="82">
        <v>11415</v>
      </c>
      <c r="D6" s="82">
        <v>405</v>
      </c>
      <c r="E6" s="83">
        <v>11825</v>
      </c>
      <c r="F6" s="82">
        <v>68160</v>
      </c>
      <c r="G6" s="82">
        <v>1300</v>
      </c>
      <c r="H6" s="83">
        <v>69460</v>
      </c>
      <c r="I6" s="82">
        <v>76425</v>
      </c>
      <c r="J6" s="82">
        <v>3075</v>
      </c>
      <c r="K6" s="83">
        <v>79500</v>
      </c>
      <c r="L6" s="82">
        <v>73000</v>
      </c>
      <c r="M6" s="82">
        <v>5605</v>
      </c>
      <c r="N6" s="83">
        <v>78605</v>
      </c>
      <c r="O6" s="82">
        <v>66945</v>
      </c>
      <c r="P6" s="82">
        <v>11040</v>
      </c>
      <c r="Q6" s="83">
        <v>77985</v>
      </c>
      <c r="R6" s="82">
        <v>125740</v>
      </c>
      <c r="S6" s="82">
        <v>16290</v>
      </c>
      <c r="T6" s="83">
        <v>142030</v>
      </c>
      <c r="U6" s="82">
        <v>12770</v>
      </c>
      <c r="V6" s="82">
        <v>2030</v>
      </c>
      <c r="W6" s="83">
        <v>14805</v>
      </c>
      <c r="X6" s="82">
        <v>23545</v>
      </c>
      <c r="Y6" s="82">
        <v>2545</v>
      </c>
      <c r="Z6" s="83">
        <v>26090</v>
      </c>
      <c r="AA6" s="82">
        <v>11100</v>
      </c>
      <c r="AB6" s="82">
        <v>2080</v>
      </c>
      <c r="AC6" s="83">
        <v>13185</v>
      </c>
      <c r="AD6" s="82">
        <v>5005</v>
      </c>
      <c r="AE6" s="82">
        <v>2405</v>
      </c>
      <c r="AF6" s="82">
        <v>7410</v>
      </c>
      <c r="AG6" s="97">
        <v>422900</v>
      </c>
      <c r="AH6" s="84">
        <v>43380</v>
      </c>
      <c r="AI6" s="84">
        <v>466280</v>
      </c>
    </row>
    <row r="7" spans="2:35" x14ac:dyDescent="0.2">
      <c r="B7" s="35">
        <v>2010</v>
      </c>
      <c r="C7" s="84">
        <v>9450</v>
      </c>
      <c r="D7" s="84">
        <v>500</v>
      </c>
      <c r="E7" s="85">
        <v>9950</v>
      </c>
      <c r="F7" s="84">
        <v>60270</v>
      </c>
      <c r="G7" s="84">
        <v>1165</v>
      </c>
      <c r="H7" s="85">
        <v>61435</v>
      </c>
      <c r="I7" s="84">
        <v>72655</v>
      </c>
      <c r="J7" s="84">
        <v>2990</v>
      </c>
      <c r="K7" s="85">
        <v>75650</v>
      </c>
      <c r="L7" s="84">
        <v>71435</v>
      </c>
      <c r="M7" s="84">
        <v>5365</v>
      </c>
      <c r="N7" s="85">
        <v>76800</v>
      </c>
      <c r="O7" s="84">
        <v>68545</v>
      </c>
      <c r="P7" s="84">
        <v>12125</v>
      </c>
      <c r="Q7" s="85">
        <v>80670</v>
      </c>
      <c r="R7" s="84">
        <v>129780</v>
      </c>
      <c r="S7" s="84">
        <v>16895</v>
      </c>
      <c r="T7" s="85">
        <v>146680</v>
      </c>
      <c r="U7" s="84">
        <v>12740</v>
      </c>
      <c r="V7" s="84">
        <v>2015</v>
      </c>
      <c r="W7" s="85">
        <v>14755</v>
      </c>
      <c r="X7" s="84">
        <v>24470</v>
      </c>
      <c r="Y7" s="84">
        <v>2805</v>
      </c>
      <c r="Z7" s="85">
        <v>27275</v>
      </c>
      <c r="AA7" s="84">
        <v>11660</v>
      </c>
      <c r="AB7" s="84">
        <v>2235</v>
      </c>
      <c r="AC7" s="85">
        <v>13895</v>
      </c>
      <c r="AD7" s="84">
        <v>5165</v>
      </c>
      <c r="AE7" s="84">
        <v>2800</v>
      </c>
      <c r="AF7" s="84">
        <v>7960</v>
      </c>
      <c r="AG7" s="97">
        <v>418080</v>
      </c>
      <c r="AH7" s="84">
        <v>45605</v>
      </c>
      <c r="AI7" s="84">
        <v>463685</v>
      </c>
    </row>
    <row r="8" spans="2:35" x14ac:dyDescent="0.2">
      <c r="B8" s="35">
        <v>2011</v>
      </c>
      <c r="C8" s="84">
        <v>10315</v>
      </c>
      <c r="D8" s="84">
        <v>700</v>
      </c>
      <c r="E8" s="85">
        <v>11015</v>
      </c>
      <c r="F8" s="84">
        <v>47265</v>
      </c>
      <c r="G8" s="84">
        <v>1330</v>
      </c>
      <c r="H8" s="85">
        <v>48590</v>
      </c>
      <c r="I8" s="84">
        <v>57375</v>
      </c>
      <c r="J8" s="84">
        <v>2975</v>
      </c>
      <c r="K8" s="85">
        <v>60355</v>
      </c>
      <c r="L8" s="84">
        <v>61595</v>
      </c>
      <c r="M8" s="84">
        <v>5550</v>
      </c>
      <c r="N8" s="85">
        <v>67145</v>
      </c>
      <c r="O8" s="84">
        <v>62415</v>
      </c>
      <c r="P8" s="84">
        <v>13510</v>
      </c>
      <c r="Q8" s="85">
        <v>75925</v>
      </c>
      <c r="R8" s="84">
        <v>129695</v>
      </c>
      <c r="S8" s="84">
        <v>17435</v>
      </c>
      <c r="T8" s="85">
        <v>147130</v>
      </c>
      <c r="U8" s="84">
        <v>11425</v>
      </c>
      <c r="V8" s="84">
        <v>2070</v>
      </c>
      <c r="W8" s="85">
        <v>13495</v>
      </c>
      <c r="X8" s="84">
        <v>23480</v>
      </c>
      <c r="Y8" s="84">
        <v>2840</v>
      </c>
      <c r="Z8" s="85">
        <v>26320</v>
      </c>
      <c r="AA8" s="84">
        <v>11955</v>
      </c>
      <c r="AB8" s="84">
        <v>2155</v>
      </c>
      <c r="AC8" s="85">
        <v>14110</v>
      </c>
      <c r="AD8" s="84">
        <v>5135</v>
      </c>
      <c r="AE8" s="84">
        <v>3135</v>
      </c>
      <c r="AF8" s="84">
        <v>8270</v>
      </c>
      <c r="AG8" s="97">
        <v>381430</v>
      </c>
      <c r="AH8" s="84">
        <v>48045</v>
      </c>
      <c r="AI8" s="84">
        <v>429475</v>
      </c>
    </row>
    <row r="9" spans="2:35" x14ac:dyDescent="0.2">
      <c r="B9" s="35">
        <v>2012</v>
      </c>
      <c r="C9" s="84">
        <v>11740</v>
      </c>
      <c r="D9" s="84">
        <v>705</v>
      </c>
      <c r="E9" s="85">
        <v>12445</v>
      </c>
      <c r="F9" s="84">
        <v>44205</v>
      </c>
      <c r="G9" s="84">
        <v>1295</v>
      </c>
      <c r="H9" s="85">
        <v>45500</v>
      </c>
      <c r="I9" s="84">
        <v>55045</v>
      </c>
      <c r="J9" s="84">
        <v>2695</v>
      </c>
      <c r="K9" s="85">
        <v>57740</v>
      </c>
      <c r="L9" s="84">
        <v>61825</v>
      </c>
      <c r="M9" s="84">
        <v>4995</v>
      </c>
      <c r="N9" s="85">
        <v>66820</v>
      </c>
      <c r="O9" s="84">
        <v>55715</v>
      </c>
      <c r="P9" s="84">
        <v>12750</v>
      </c>
      <c r="Q9" s="85">
        <v>68465</v>
      </c>
      <c r="R9" s="84">
        <v>131800</v>
      </c>
      <c r="S9" s="84">
        <v>17670</v>
      </c>
      <c r="T9" s="85">
        <v>149470</v>
      </c>
      <c r="U9" s="84">
        <v>10845</v>
      </c>
      <c r="V9" s="84">
        <v>2280</v>
      </c>
      <c r="W9" s="85">
        <v>13125</v>
      </c>
      <c r="X9" s="84">
        <v>23190</v>
      </c>
      <c r="Y9" s="84">
        <v>2855</v>
      </c>
      <c r="Z9" s="85">
        <v>26045</v>
      </c>
      <c r="AA9" s="84">
        <v>11830</v>
      </c>
      <c r="AB9" s="84">
        <v>2485</v>
      </c>
      <c r="AC9" s="85">
        <v>14315</v>
      </c>
      <c r="AD9" s="84">
        <v>5115</v>
      </c>
      <c r="AE9" s="84">
        <v>3355</v>
      </c>
      <c r="AF9" s="84">
        <v>8470</v>
      </c>
      <c r="AG9" s="97">
        <v>372805</v>
      </c>
      <c r="AH9" s="84">
        <v>47455</v>
      </c>
      <c r="AI9" s="84">
        <v>420260</v>
      </c>
    </row>
    <row r="10" spans="2:35" x14ac:dyDescent="0.2">
      <c r="B10" s="35">
        <v>2013</v>
      </c>
      <c r="C10" s="84">
        <v>15355</v>
      </c>
      <c r="D10" s="84">
        <v>550</v>
      </c>
      <c r="E10" s="85">
        <v>15905</v>
      </c>
      <c r="F10" s="84">
        <v>42995</v>
      </c>
      <c r="G10" s="84">
        <v>1315</v>
      </c>
      <c r="H10" s="85">
        <v>44310</v>
      </c>
      <c r="I10" s="84">
        <v>56855</v>
      </c>
      <c r="J10" s="84">
        <v>2700</v>
      </c>
      <c r="K10" s="85">
        <v>59555</v>
      </c>
      <c r="L10" s="84">
        <v>58485</v>
      </c>
      <c r="M10" s="84">
        <v>5085</v>
      </c>
      <c r="N10" s="85">
        <v>63570</v>
      </c>
      <c r="O10" s="84">
        <v>52970</v>
      </c>
      <c r="P10" s="84">
        <v>11560</v>
      </c>
      <c r="Q10" s="85">
        <v>64530</v>
      </c>
      <c r="R10" s="84">
        <v>130130</v>
      </c>
      <c r="S10" s="84">
        <v>17890</v>
      </c>
      <c r="T10" s="85">
        <v>148025</v>
      </c>
      <c r="U10" s="84">
        <v>10080</v>
      </c>
      <c r="V10" s="84">
        <v>2555</v>
      </c>
      <c r="W10" s="85">
        <v>12635</v>
      </c>
      <c r="X10" s="84">
        <v>23305</v>
      </c>
      <c r="Y10" s="84">
        <v>3000</v>
      </c>
      <c r="Z10" s="85">
        <v>26305</v>
      </c>
      <c r="AA10" s="84">
        <v>11915</v>
      </c>
      <c r="AB10" s="84">
        <v>2925</v>
      </c>
      <c r="AC10" s="85">
        <v>14840</v>
      </c>
      <c r="AD10" s="84">
        <v>5055</v>
      </c>
      <c r="AE10" s="84">
        <v>3655</v>
      </c>
      <c r="AF10" s="84">
        <v>8705</v>
      </c>
      <c r="AG10" s="97">
        <v>368815</v>
      </c>
      <c r="AH10" s="84">
        <v>47950</v>
      </c>
      <c r="AI10" s="84">
        <v>416765</v>
      </c>
    </row>
    <row r="11" spans="2:35" x14ac:dyDescent="0.2">
      <c r="B11" s="35">
        <v>2014</v>
      </c>
      <c r="C11" s="84">
        <v>16205</v>
      </c>
      <c r="D11" s="84">
        <v>545</v>
      </c>
      <c r="E11" s="85">
        <v>16755</v>
      </c>
      <c r="F11" s="84">
        <v>37780</v>
      </c>
      <c r="G11" s="84">
        <v>1750</v>
      </c>
      <c r="H11" s="85">
        <v>39530</v>
      </c>
      <c r="I11" s="84">
        <v>59550</v>
      </c>
      <c r="J11" s="84">
        <v>3270</v>
      </c>
      <c r="K11" s="85">
        <v>62825</v>
      </c>
      <c r="L11" s="84">
        <v>56535</v>
      </c>
      <c r="M11" s="84">
        <v>5020</v>
      </c>
      <c r="N11" s="85">
        <v>61550</v>
      </c>
      <c r="O11" s="84">
        <v>50650</v>
      </c>
      <c r="P11" s="84">
        <v>14170</v>
      </c>
      <c r="Q11" s="85">
        <v>64815</v>
      </c>
      <c r="R11" s="84">
        <v>128845</v>
      </c>
      <c r="S11" s="84">
        <v>18260</v>
      </c>
      <c r="T11" s="85">
        <v>147110</v>
      </c>
      <c r="U11" s="84">
        <v>9560</v>
      </c>
      <c r="V11" s="84">
        <v>3325</v>
      </c>
      <c r="W11" s="85">
        <v>12890</v>
      </c>
      <c r="X11" s="84">
        <v>23420</v>
      </c>
      <c r="Y11" s="84">
        <v>3490</v>
      </c>
      <c r="Z11" s="85">
        <v>26910</v>
      </c>
      <c r="AA11" s="84">
        <v>12495</v>
      </c>
      <c r="AB11" s="84">
        <v>3605</v>
      </c>
      <c r="AC11" s="85">
        <v>16100</v>
      </c>
      <c r="AD11" s="84">
        <v>4995</v>
      </c>
      <c r="AE11" s="84">
        <v>3895</v>
      </c>
      <c r="AF11" s="84">
        <v>8890</v>
      </c>
      <c r="AG11" s="97">
        <v>363145</v>
      </c>
      <c r="AH11" s="84">
        <v>53815</v>
      </c>
      <c r="AI11" s="84">
        <v>416960</v>
      </c>
    </row>
    <row r="12" spans="2:35" x14ac:dyDescent="0.2">
      <c r="B12" s="35">
        <v>2015</v>
      </c>
      <c r="C12" s="84">
        <v>14360</v>
      </c>
      <c r="D12" s="84">
        <v>310</v>
      </c>
      <c r="E12" s="85">
        <v>14670</v>
      </c>
      <c r="F12" s="84">
        <v>33595</v>
      </c>
      <c r="G12" s="84">
        <v>1780</v>
      </c>
      <c r="H12" s="85">
        <v>35375</v>
      </c>
      <c r="I12" s="84">
        <v>57605</v>
      </c>
      <c r="J12" s="84">
        <v>3180</v>
      </c>
      <c r="K12" s="85">
        <v>60785</v>
      </c>
      <c r="L12" s="84">
        <v>57320</v>
      </c>
      <c r="M12" s="84">
        <v>5905</v>
      </c>
      <c r="N12" s="85">
        <v>63230</v>
      </c>
      <c r="O12" s="84">
        <v>50265</v>
      </c>
      <c r="P12" s="84">
        <v>17215</v>
      </c>
      <c r="Q12" s="85">
        <v>67485</v>
      </c>
      <c r="R12" s="84">
        <v>127705</v>
      </c>
      <c r="S12" s="84">
        <v>19025</v>
      </c>
      <c r="T12" s="85">
        <v>146730</v>
      </c>
      <c r="U12" s="84">
        <v>9430</v>
      </c>
      <c r="V12" s="84">
        <v>4930</v>
      </c>
      <c r="W12" s="85">
        <v>14360</v>
      </c>
      <c r="X12" s="84">
        <v>24525</v>
      </c>
      <c r="Y12" s="84">
        <v>4880</v>
      </c>
      <c r="Z12" s="85">
        <v>29400</v>
      </c>
      <c r="AA12" s="84">
        <v>13265</v>
      </c>
      <c r="AB12" s="84">
        <v>4100</v>
      </c>
      <c r="AC12" s="85">
        <v>17365</v>
      </c>
      <c r="AD12" s="84">
        <v>4995</v>
      </c>
      <c r="AE12" s="84">
        <v>4075</v>
      </c>
      <c r="AF12" s="84">
        <v>9070</v>
      </c>
      <c r="AG12" s="97">
        <v>358120</v>
      </c>
      <c r="AH12" s="84">
        <v>61480</v>
      </c>
      <c r="AI12" s="84">
        <v>419605</v>
      </c>
    </row>
    <row r="13" spans="2:35" x14ac:dyDescent="0.2">
      <c r="B13" s="35">
        <v>2016</v>
      </c>
      <c r="C13" s="84">
        <v>11890</v>
      </c>
      <c r="D13" s="84">
        <v>400</v>
      </c>
      <c r="E13" s="85">
        <v>12290</v>
      </c>
      <c r="F13" s="84">
        <v>30640</v>
      </c>
      <c r="G13" s="84">
        <v>1390</v>
      </c>
      <c r="H13" s="85">
        <v>32030</v>
      </c>
      <c r="I13" s="84">
        <v>55050</v>
      </c>
      <c r="J13" s="84">
        <v>2710</v>
      </c>
      <c r="K13" s="85">
        <v>57760</v>
      </c>
      <c r="L13" s="84">
        <v>61050</v>
      </c>
      <c r="M13" s="84">
        <v>5435</v>
      </c>
      <c r="N13" s="85">
        <v>66485</v>
      </c>
      <c r="O13" s="84">
        <v>48075</v>
      </c>
      <c r="P13" s="84">
        <v>17525</v>
      </c>
      <c r="Q13" s="85">
        <v>65600</v>
      </c>
      <c r="R13" s="84">
        <v>126630</v>
      </c>
      <c r="S13" s="84">
        <v>19270</v>
      </c>
      <c r="T13" s="85">
        <v>145900</v>
      </c>
      <c r="U13" s="84">
        <v>8875</v>
      </c>
      <c r="V13" s="84">
        <v>5605</v>
      </c>
      <c r="W13" s="85">
        <v>14480</v>
      </c>
      <c r="X13" s="84">
        <v>26080</v>
      </c>
      <c r="Y13" s="84">
        <v>5255</v>
      </c>
      <c r="Z13" s="85">
        <v>31335</v>
      </c>
      <c r="AA13" s="84">
        <v>13570</v>
      </c>
      <c r="AB13" s="84">
        <v>4600</v>
      </c>
      <c r="AC13" s="85">
        <v>18170</v>
      </c>
      <c r="AD13" s="84">
        <v>5105</v>
      </c>
      <c r="AE13" s="84">
        <v>4470</v>
      </c>
      <c r="AF13" s="84">
        <v>9580</v>
      </c>
      <c r="AG13" s="97">
        <v>353580</v>
      </c>
      <c r="AH13" s="84">
        <v>62750</v>
      </c>
      <c r="AI13" s="84">
        <v>416330</v>
      </c>
    </row>
    <row r="14" spans="2:35" x14ac:dyDescent="0.2">
      <c r="B14" s="35">
        <v>2017</v>
      </c>
      <c r="C14" s="84">
        <v>13860</v>
      </c>
      <c r="D14" s="84">
        <v>660</v>
      </c>
      <c r="E14" s="85">
        <v>14520</v>
      </c>
      <c r="F14" s="84">
        <v>27145</v>
      </c>
      <c r="G14" s="84">
        <v>1465</v>
      </c>
      <c r="H14" s="85">
        <v>28610</v>
      </c>
      <c r="I14" s="84">
        <v>54650</v>
      </c>
      <c r="J14" s="84">
        <v>2745</v>
      </c>
      <c r="K14" s="85">
        <v>57395</v>
      </c>
      <c r="L14" s="84">
        <v>57685</v>
      </c>
      <c r="M14" s="84">
        <v>5500</v>
      </c>
      <c r="N14" s="85">
        <v>63185</v>
      </c>
      <c r="O14" s="84">
        <v>46345</v>
      </c>
      <c r="P14" s="84">
        <v>14365</v>
      </c>
      <c r="Q14" s="85">
        <v>60710</v>
      </c>
      <c r="R14" s="84">
        <v>126215</v>
      </c>
      <c r="S14" s="84">
        <v>19640</v>
      </c>
      <c r="T14" s="85">
        <v>145855</v>
      </c>
      <c r="U14" s="84">
        <v>8365</v>
      </c>
      <c r="V14" s="84">
        <v>5855</v>
      </c>
      <c r="W14" s="85">
        <v>14220</v>
      </c>
      <c r="X14" s="84">
        <v>26530</v>
      </c>
      <c r="Y14" s="84">
        <v>5405</v>
      </c>
      <c r="Z14" s="85">
        <v>31935</v>
      </c>
      <c r="AA14" s="84">
        <v>13880</v>
      </c>
      <c r="AB14" s="84">
        <v>5220</v>
      </c>
      <c r="AC14" s="85">
        <v>19095</v>
      </c>
      <c r="AD14" s="84">
        <v>5265</v>
      </c>
      <c r="AE14" s="84">
        <v>4775</v>
      </c>
      <c r="AF14" s="84">
        <v>10040</v>
      </c>
      <c r="AG14" s="97">
        <v>343655</v>
      </c>
      <c r="AH14" s="84">
        <v>61425</v>
      </c>
      <c r="AI14" s="84">
        <v>405085</v>
      </c>
    </row>
    <row r="15" spans="2:35" x14ac:dyDescent="0.2">
      <c r="B15" s="35">
        <v>2018</v>
      </c>
      <c r="C15" s="84">
        <v>14085</v>
      </c>
      <c r="D15" s="84">
        <v>995</v>
      </c>
      <c r="E15" s="85">
        <v>15075</v>
      </c>
      <c r="F15" s="84">
        <v>24665</v>
      </c>
      <c r="G15" s="84">
        <v>1195</v>
      </c>
      <c r="H15" s="85">
        <v>25860</v>
      </c>
      <c r="I15" s="84">
        <v>54805</v>
      </c>
      <c r="J15" s="84">
        <v>2635</v>
      </c>
      <c r="K15" s="85">
        <v>57440</v>
      </c>
      <c r="L15" s="84">
        <v>52230</v>
      </c>
      <c r="M15" s="84">
        <v>5200</v>
      </c>
      <c r="N15" s="85">
        <v>57430</v>
      </c>
      <c r="O15" s="84">
        <v>44830</v>
      </c>
      <c r="P15" s="84">
        <v>10895</v>
      </c>
      <c r="Q15" s="85">
        <v>55725</v>
      </c>
      <c r="R15" s="84">
        <v>125130</v>
      </c>
      <c r="S15" s="84">
        <v>20075</v>
      </c>
      <c r="T15" s="85">
        <v>145205</v>
      </c>
      <c r="U15" s="84">
        <v>8660</v>
      </c>
      <c r="V15" s="84">
        <v>6390</v>
      </c>
      <c r="W15" s="85">
        <v>15050</v>
      </c>
      <c r="X15" s="84">
        <v>26830</v>
      </c>
      <c r="Y15" s="84">
        <v>5925</v>
      </c>
      <c r="Z15" s="85">
        <v>32750</v>
      </c>
      <c r="AA15" s="84">
        <v>14390</v>
      </c>
      <c r="AB15" s="84">
        <v>6370</v>
      </c>
      <c r="AC15" s="85">
        <v>20760</v>
      </c>
      <c r="AD15" s="84">
        <v>5290</v>
      </c>
      <c r="AE15" s="84">
        <v>4920</v>
      </c>
      <c r="AF15" s="84">
        <v>10210</v>
      </c>
      <c r="AG15" s="97">
        <v>336180</v>
      </c>
      <c r="AH15" s="84">
        <v>60480</v>
      </c>
      <c r="AI15" s="84">
        <v>396660</v>
      </c>
    </row>
    <row r="16" spans="2:35" x14ac:dyDescent="0.2">
      <c r="B16" s="35">
        <v>2019</v>
      </c>
      <c r="C16" s="84">
        <v>12730</v>
      </c>
      <c r="D16" s="84">
        <v>390</v>
      </c>
      <c r="E16" s="85">
        <v>13120</v>
      </c>
      <c r="F16" s="84">
        <v>21675</v>
      </c>
      <c r="G16" s="84">
        <v>1485</v>
      </c>
      <c r="H16" s="85">
        <v>23160</v>
      </c>
      <c r="I16" s="84">
        <v>52745</v>
      </c>
      <c r="J16" s="84">
        <v>2270</v>
      </c>
      <c r="K16" s="85">
        <v>55015</v>
      </c>
      <c r="L16" s="84">
        <v>52160</v>
      </c>
      <c r="M16" s="84">
        <v>4850</v>
      </c>
      <c r="N16" s="85">
        <v>57010</v>
      </c>
      <c r="O16" s="84">
        <v>41545</v>
      </c>
      <c r="P16" s="84">
        <v>8640</v>
      </c>
      <c r="Q16" s="85">
        <v>50185</v>
      </c>
      <c r="R16" s="84">
        <v>124140</v>
      </c>
      <c r="S16" s="84">
        <v>21505</v>
      </c>
      <c r="T16" s="85">
        <v>145650</v>
      </c>
      <c r="U16" s="84">
        <v>8520</v>
      </c>
      <c r="V16" s="84">
        <v>6470</v>
      </c>
      <c r="W16" s="85">
        <v>14990</v>
      </c>
      <c r="X16" s="84">
        <v>25915</v>
      </c>
      <c r="Y16" s="84">
        <v>6100</v>
      </c>
      <c r="Z16" s="85">
        <v>32015</v>
      </c>
      <c r="AA16" s="84">
        <v>14630</v>
      </c>
      <c r="AB16" s="84">
        <v>7980</v>
      </c>
      <c r="AC16" s="85">
        <v>22610</v>
      </c>
      <c r="AD16" s="84">
        <v>5330</v>
      </c>
      <c r="AE16" s="84">
        <v>5065</v>
      </c>
      <c r="AF16" s="84">
        <v>10395</v>
      </c>
      <c r="AG16" s="97">
        <v>328140</v>
      </c>
      <c r="AH16" s="84">
        <v>60855</v>
      </c>
      <c r="AI16" s="84">
        <v>388995</v>
      </c>
    </row>
    <row r="17" spans="2:45" x14ac:dyDescent="0.2">
      <c r="B17" s="35">
        <v>2020</v>
      </c>
      <c r="C17" s="84">
        <v>10780</v>
      </c>
      <c r="D17" s="84">
        <v>170</v>
      </c>
      <c r="E17" s="85">
        <v>10945</v>
      </c>
      <c r="F17" s="84">
        <v>19425</v>
      </c>
      <c r="G17" s="84">
        <v>540</v>
      </c>
      <c r="H17" s="85">
        <v>19965</v>
      </c>
      <c r="I17" s="84">
        <v>51810</v>
      </c>
      <c r="J17" s="84">
        <v>1585</v>
      </c>
      <c r="K17" s="85">
        <v>53395</v>
      </c>
      <c r="L17" s="84">
        <v>53015</v>
      </c>
      <c r="M17" s="84">
        <v>3340</v>
      </c>
      <c r="N17" s="85">
        <v>56350</v>
      </c>
      <c r="O17" s="84">
        <v>41760</v>
      </c>
      <c r="P17" s="84">
        <v>6595</v>
      </c>
      <c r="Q17" s="85">
        <v>48355</v>
      </c>
      <c r="R17" s="84">
        <v>124415</v>
      </c>
      <c r="S17" s="84">
        <v>19265</v>
      </c>
      <c r="T17" s="85">
        <v>143680</v>
      </c>
      <c r="U17" s="84">
        <v>9210</v>
      </c>
      <c r="V17" s="84">
        <v>5260</v>
      </c>
      <c r="W17" s="85">
        <v>14465</v>
      </c>
      <c r="X17" s="84">
        <v>26335</v>
      </c>
      <c r="Y17" s="84">
        <v>4575</v>
      </c>
      <c r="Z17" s="85">
        <v>30910</v>
      </c>
      <c r="AA17" s="84">
        <v>15650</v>
      </c>
      <c r="AB17" s="84">
        <v>8010</v>
      </c>
      <c r="AC17" s="85">
        <v>23660</v>
      </c>
      <c r="AD17" s="84">
        <v>5265</v>
      </c>
      <c r="AE17" s="84">
        <v>4880</v>
      </c>
      <c r="AF17" s="84">
        <v>10145</v>
      </c>
      <c r="AG17" s="97">
        <v>329125</v>
      </c>
      <c r="AH17" s="84">
        <v>50935</v>
      </c>
      <c r="AI17" s="84">
        <v>380060</v>
      </c>
    </row>
    <row r="18" spans="2:45" s="38" customFormat="1" x14ac:dyDescent="0.2">
      <c r="B18" s="35">
        <v>2021</v>
      </c>
      <c r="C18" s="84">
        <v>13215</v>
      </c>
      <c r="D18" s="84">
        <v>95</v>
      </c>
      <c r="E18" s="85">
        <v>13315</v>
      </c>
      <c r="F18" s="84">
        <v>22105</v>
      </c>
      <c r="G18" s="84">
        <v>165</v>
      </c>
      <c r="H18" s="85">
        <v>22270</v>
      </c>
      <c r="I18" s="84">
        <v>58200</v>
      </c>
      <c r="J18" s="84">
        <v>1105</v>
      </c>
      <c r="K18" s="85">
        <v>59305</v>
      </c>
      <c r="L18" s="84">
        <v>57585</v>
      </c>
      <c r="M18" s="84">
        <v>2130</v>
      </c>
      <c r="N18" s="85">
        <v>59715</v>
      </c>
      <c r="O18" s="84">
        <v>50005</v>
      </c>
      <c r="P18" s="84">
        <v>4665</v>
      </c>
      <c r="Q18" s="85">
        <v>54665</v>
      </c>
      <c r="R18" s="84">
        <v>129675</v>
      </c>
      <c r="S18" s="84">
        <v>17270</v>
      </c>
      <c r="T18" s="85">
        <v>146945</v>
      </c>
      <c r="U18" s="84">
        <v>9570</v>
      </c>
      <c r="V18" s="84">
        <v>2060</v>
      </c>
      <c r="W18" s="85">
        <v>11630</v>
      </c>
      <c r="X18" s="84">
        <v>28690</v>
      </c>
      <c r="Y18" s="84">
        <v>2625</v>
      </c>
      <c r="Z18" s="85">
        <v>31320</v>
      </c>
      <c r="AA18" s="84">
        <v>17955</v>
      </c>
      <c r="AB18" s="84">
        <v>6115</v>
      </c>
      <c r="AC18" s="85">
        <v>24075</v>
      </c>
      <c r="AD18" s="84">
        <v>5630</v>
      </c>
      <c r="AE18" s="84">
        <v>4695</v>
      </c>
      <c r="AF18" s="84">
        <v>10320</v>
      </c>
      <c r="AG18" s="97">
        <v>358650</v>
      </c>
      <c r="AH18" s="84">
        <v>39030</v>
      </c>
      <c r="AI18" s="84">
        <v>397685</v>
      </c>
    </row>
    <row r="19" spans="2:45" s="38" customFormat="1" x14ac:dyDescent="0.2">
      <c r="B19" s="35">
        <v>2022</v>
      </c>
      <c r="C19" s="84">
        <v>15020</v>
      </c>
      <c r="D19" s="84">
        <v>105</v>
      </c>
      <c r="E19" s="85">
        <v>15120</v>
      </c>
      <c r="F19" s="84">
        <v>19255</v>
      </c>
      <c r="G19" s="84">
        <v>225</v>
      </c>
      <c r="H19" s="85">
        <v>19480</v>
      </c>
      <c r="I19" s="84">
        <v>51540</v>
      </c>
      <c r="J19" s="84">
        <v>1085</v>
      </c>
      <c r="K19" s="85">
        <v>52620</v>
      </c>
      <c r="L19" s="84">
        <v>53100</v>
      </c>
      <c r="M19" s="84">
        <v>1800</v>
      </c>
      <c r="N19" s="85">
        <v>54900</v>
      </c>
      <c r="O19" s="84">
        <v>49075</v>
      </c>
      <c r="P19" s="84">
        <v>2580</v>
      </c>
      <c r="Q19" s="85">
        <v>51655</v>
      </c>
      <c r="R19" s="84">
        <v>125270</v>
      </c>
      <c r="S19" s="84">
        <v>16485</v>
      </c>
      <c r="T19" s="85">
        <v>141755</v>
      </c>
      <c r="U19" s="84">
        <v>8405</v>
      </c>
      <c r="V19" s="84">
        <v>1435</v>
      </c>
      <c r="W19" s="85">
        <v>9840</v>
      </c>
      <c r="X19" s="84">
        <v>27900</v>
      </c>
      <c r="Y19" s="84">
        <v>2180</v>
      </c>
      <c r="Z19" s="85">
        <v>30080</v>
      </c>
      <c r="AA19" s="84">
        <v>18255</v>
      </c>
      <c r="AB19" s="84">
        <v>5050</v>
      </c>
      <c r="AC19" s="85">
        <v>23305</v>
      </c>
      <c r="AD19" s="84">
        <v>5775</v>
      </c>
      <c r="AE19" s="84">
        <v>4310</v>
      </c>
      <c r="AF19" s="84">
        <v>10090</v>
      </c>
      <c r="AG19" s="97">
        <v>343835</v>
      </c>
      <c r="AH19" s="84">
        <v>33685</v>
      </c>
      <c r="AI19" s="84">
        <v>377520</v>
      </c>
    </row>
    <row r="20" spans="2:45" s="38" customFormat="1" x14ac:dyDescent="0.2">
      <c r="B20" s="35">
        <v>2023</v>
      </c>
      <c r="C20" s="84">
        <v>18030</v>
      </c>
      <c r="D20" s="84">
        <v>165</v>
      </c>
      <c r="E20" s="85">
        <v>18200</v>
      </c>
      <c r="F20" s="84">
        <v>21060</v>
      </c>
      <c r="G20" s="84">
        <v>575</v>
      </c>
      <c r="H20" s="85">
        <v>21635</v>
      </c>
      <c r="I20" s="84">
        <v>47470</v>
      </c>
      <c r="J20" s="84">
        <v>1645</v>
      </c>
      <c r="K20" s="85">
        <v>49115</v>
      </c>
      <c r="L20" s="84">
        <v>66345</v>
      </c>
      <c r="M20" s="84">
        <v>2175</v>
      </c>
      <c r="N20" s="85">
        <v>68520</v>
      </c>
      <c r="O20" s="84">
        <v>42785</v>
      </c>
      <c r="P20" s="84">
        <v>3235</v>
      </c>
      <c r="Q20" s="85">
        <v>46025</v>
      </c>
      <c r="R20" s="84">
        <v>121110</v>
      </c>
      <c r="S20" s="84">
        <v>18900</v>
      </c>
      <c r="T20" s="85">
        <v>140010</v>
      </c>
      <c r="U20" s="84">
        <v>7790</v>
      </c>
      <c r="V20" s="84">
        <v>1945</v>
      </c>
      <c r="W20" s="85">
        <v>9735</v>
      </c>
      <c r="X20" s="84">
        <v>27595</v>
      </c>
      <c r="Y20" s="84">
        <v>2490</v>
      </c>
      <c r="Z20" s="85">
        <v>30090</v>
      </c>
      <c r="AA20" s="84">
        <v>17895</v>
      </c>
      <c r="AB20" s="84">
        <v>8795</v>
      </c>
      <c r="AC20" s="85">
        <v>26690</v>
      </c>
      <c r="AD20" s="84">
        <v>5775</v>
      </c>
      <c r="AE20" s="84">
        <v>4430</v>
      </c>
      <c r="AF20" s="84">
        <v>10205</v>
      </c>
      <c r="AG20" s="97">
        <v>347230</v>
      </c>
      <c r="AH20" s="84">
        <v>42605</v>
      </c>
      <c r="AI20" s="84">
        <v>389835</v>
      </c>
    </row>
    <row r="21" spans="2:45" x14ac:dyDescent="0.2">
      <c r="B21" s="35">
        <v>2024</v>
      </c>
      <c r="C21" s="86">
        <v>19140</v>
      </c>
      <c r="D21" s="86">
        <v>180</v>
      </c>
      <c r="E21" s="87">
        <v>19320</v>
      </c>
      <c r="F21" s="86">
        <v>23460</v>
      </c>
      <c r="G21" s="86">
        <v>505</v>
      </c>
      <c r="H21" s="87">
        <v>23960</v>
      </c>
      <c r="I21" s="86">
        <v>46010</v>
      </c>
      <c r="J21" s="86">
        <v>2145</v>
      </c>
      <c r="K21" s="87">
        <v>48155</v>
      </c>
      <c r="L21" s="86">
        <v>70525</v>
      </c>
      <c r="M21" s="86">
        <v>3210</v>
      </c>
      <c r="N21" s="87">
        <v>73735</v>
      </c>
      <c r="O21" s="86">
        <v>40365</v>
      </c>
      <c r="P21" s="86">
        <v>3690</v>
      </c>
      <c r="Q21" s="87">
        <v>44055</v>
      </c>
      <c r="R21" s="86">
        <v>120930</v>
      </c>
      <c r="S21" s="86">
        <v>20240</v>
      </c>
      <c r="T21" s="87">
        <v>141170</v>
      </c>
      <c r="U21" s="86">
        <v>7910</v>
      </c>
      <c r="V21" s="86">
        <v>2360</v>
      </c>
      <c r="W21" s="87">
        <v>10270</v>
      </c>
      <c r="X21" s="86">
        <v>28295</v>
      </c>
      <c r="Y21" s="86">
        <v>2370</v>
      </c>
      <c r="Z21" s="87">
        <v>30665</v>
      </c>
      <c r="AA21" s="86">
        <v>18395</v>
      </c>
      <c r="AB21" s="86">
        <v>14705</v>
      </c>
      <c r="AC21" s="87">
        <v>33100</v>
      </c>
      <c r="AD21" s="86">
        <v>5645</v>
      </c>
      <c r="AE21" s="86">
        <v>4610</v>
      </c>
      <c r="AF21" s="86">
        <v>10255</v>
      </c>
      <c r="AG21" s="98">
        <v>350640</v>
      </c>
      <c r="AH21" s="86">
        <v>51830</v>
      </c>
      <c r="AI21" s="86">
        <v>402470</v>
      </c>
    </row>
    <row r="22" spans="2:45" x14ac:dyDescent="0.2">
      <c r="B22" s="39"/>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5"/>
      <c r="AC22" s="75"/>
      <c r="AD22" s="75"/>
      <c r="AE22" s="75"/>
      <c r="AF22" s="75"/>
      <c r="AG22" s="96"/>
      <c r="AH22" s="96"/>
      <c r="AI22" s="96"/>
    </row>
    <row r="23" spans="2:45" x14ac:dyDescent="0.2">
      <c r="B23" s="40" t="s">
        <v>109</v>
      </c>
      <c r="C23" s="41"/>
      <c r="D23" s="41"/>
      <c r="E23" s="41"/>
      <c r="F23" s="41"/>
      <c r="G23" s="41"/>
      <c r="H23" s="41"/>
      <c r="I23" s="41"/>
      <c r="J23" s="41"/>
      <c r="K23" s="41"/>
      <c r="L23" s="41"/>
      <c r="M23" s="41"/>
      <c r="N23" s="41"/>
      <c r="O23" s="41"/>
      <c r="P23" s="41"/>
      <c r="Q23" s="41"/>
      <c r="R23" s="41"/>
      <c r="S23" s="41"/>
      <c r="T23" s="41"/>
      <c r="U23" s="41"/>
      <c r="V23" s="41"/>
      <c r="W23" s="41"/>
      <c r="X23" s="41"/>
      <c r="Y23" s="41"/>
      <c r="Z23" s="41"/>
      <c r="AA23" s="41"/>
      <c r="AB23" s="41"/>
      <c r="AC23" s="41"/>
      <c r="AD23" s="41"/>
      <c r="AE23" s="41"/>
      <c r="AF23" s="41"/>
      <c r="AG23" s="99"/>
      <c r="AH23" s="99"/>
      <c r="AI23" s="99"/>
    </row>
    <row r="24" spans="2:45" x14ac:dyDescent="0.2">
      <c r="B24" s="42" t="s">
        <v>35</v>
      </c>
      <c r="C24" s="43"/>
      <c r="D24" s="44"/>
      <c r="E24" s="44"/>
      <c r="F24" s="45"/>
      <c r="G24" s="44"/>
      <c r="H24" s="44"/>
      <c r="I24" s="43"/>
      <c r="J24" s="44"/>
      <c r="K24" s="44"/>
      <c r="L24" s="43"/>
      <c r="M24" s="44"/>
      <c r="N24" s="44"/>
      <c r="O24" s="43"/>
      <c r="P24" s="44"/>
      <c r="Q24" s="44"/>
      <c r="R24" s="43"/>
      <c r="S24" s="44"/>
      <c r="T24" s="44"/>
      <c r="U24" s="43"/>
      <c r="V24" s="44"/>
      <c r="W24" s="44"/>
      <c r="X24" s="43"/>
      <c r="Y24" s="44"/>
      <c r="Z24" s="44"/>
      <c r="AA24" s="43"/>
      <c r="AB24" s="44"/>
      <c r="AC24" s="44"/>
      <c r="AD24" s="43"/>
      <c r="AE24" s="44"/>
      <c r="AF24" s="44"/>
      <c r="AG24" s="45"/>
      <c r="AH24" s="102"/>
      <c r="AI24" s="102"/>
    </row>
    <row r="25" spans="2:45" x14ac:dyDescent="0.2">
      <c r="B25" s="35" t="s">
        <v>107</v>
      </c>
      <c r="C25" s="84">
        <v>120</v>
      </c>
      <c r="D25" s="84">
        <v>5</v>
      </c>
      <c r="E25" s="85">
        <v>125</v>
      </c>
      <c r="F25" s="84">
        <v>125</v>
      </c>
      <c r="G25" s="84">
        <v>5</v>
      </c>
      <c r="H25" s="85">
        <v>130</v>
      </c>
      <c r="I25" s="84">
        <v>255</v>
      </c>
      <c r="J25" s="84">
        <v>5</v>
      </c>
      <c r="K25" s="85">
        <v>260</v>
      </c>
      <c r="L25" s="84">
        <v>385</v>
      </c>
      <c r="M25" s="84">
        <v>5</v>
      </c>
      <c r="N25" s="85">
        <v>390</v>
      </c>
      <c r="O25" s="84">
        <v>295</v>
      </c>
      <c r="P25" s="84">
        <v>10</v>
      </c>
      <c r="Q25" s="85">
        <v>300</v>
      </c>
      <c r="R25" s="84">
        <v>1205</v>
      </c>
      <c r="S25" s="84">
        <v>100</v>
      </c>
      <c r="T25" s="85">
        <v>1305</v>
      </c>
      <c r="U25" s="84">
        <v>35</v>
      </c>
      <c r="V25" s="84">
        <v>5</v>
      </c>
      <c r="W25" s="85">
        <v>45</v>
      </c>
      <c r="X25" s="84">
        <v>285</v>
      </c>
      <c r="Y25" s="84">
        <v>10</v>
      </c>
      <c r="Z25" s="85">
        <v>295</v>
      </c>
      <c r="AA25" s="84">
        <v>130</v>
      </c>
      <c r="AB25" s="84">
        <v>20</v>
      </c>
      <c r="AC25" s="85">
        <v>150</v>
      </c>
      <c r="AD25" s="84">
        <v>55</v>
      </c>
      <c r="AE25" s="84">
        <v>45</v>
      </c>
      <c r="AF25" s="84">
        <v>105</v>
      </c>
      <c r="AG25" s="97">
        <v>2600</v>
      </c>
      <c r="AH25" s="84">
        <v>200</v>
      </c>
      <c r="AI25" s="84">
        <v>2800</v>
      </c>
    </row>
    <row r="26" spans="2:45" x14ac:dyDescent="0.2">
      <c r="B26" s="35" t="s">
        <v>14</v>
      </c>
      <c r="C26" s="84">
        <v>13365</v>
      </c>
      <c r="D26" s="84">
        <v>75</v>
      </c>
      <c r="E26" s="85">
        <v>13440</v>
      </c>
      <c r="F26" s="84">
        <v>13200</v>
      </c>
      <c r="G26" s="84">
        <v>160</v>
      </c>
      <c r="H26" s="85">
        <v>13355</v>
      </c>
      <c r="I26" s="84">
        <v>26815</v>
      </c>
      <c r="J26" s="84">
        <v>1040</v>
      </c>
      <c r="K26" s="85">
        <v>27855</v>
      </c>
      <c r="L26" s="84">
        <v>37090</v>
      </c>
      <c r="M26" s="84">
        <v>1750</v>
      </c>
      <c r="N26" s="85">
        <v>38835</v>
      </c>
      <c r="O26" s="84">
        <v>23985</v>
      </c>
      <c r="P26" s="84">
        <v>1720</v>
      </c>
      <c r="Q26" s="85">
        <v>25705</v>
      </c>
      <c r="R26" s="84">
        <v>75820</v>
      </c>
      <c r="S26" s="84">
        <v>10425</v>
      </c>
      <c r="T26" s="85">
        <v>86245</v>
      </c>
      <c r="U26" s="84">
        <v>5560</v>
      </c>
      <c r="V26" s="84">
        <v>1545</v>
      </c>
      <c r="W26" s="85">
        <v>7105</v>
      </c>
      <c r="X26" s="84">
        <v>15885</v>
      </c>
      <c r="Y26" s="84">
        <v>1045</v>
      </c>
      <c r="Z26" s="85">
        <v>16930</v>
      </c>
      <c r="AA26" s="84">
        <v>11895</v>
      </c>
      <c r="AB26" s="84">
        <v>7730</v>
      </c>
      <c r="AC26" s="85">
        <v>19630</v>
      </c>
      <c r="AD26" s="84">
        <v>3445</v>
      </c>
      <c r="AE26" s="84">
        <v>2460</v>
      </c>
      <c r="AF26" s="84">
        <v>5905</v>
      </c>
      <c r="AG26" s="97">
        <v>206880</v>
      </c>
      <c r="AH26" s="84">
        <v>26850</v>
      </c>
      <c r="AI26" s="84">
        <v>233735</v>
      </c>
    </row>
    <row r="27" spans="2:45" x14ac:dyDescent="0.2">
      <c r="B27" s="35" t="s">
        <v>60</v>
      </c>
      <c r="C27" s="84">
        <v>5650</v>
      </c>
      <c r="D27" s="84">
        <v>105</v>
      </c>
      <c r="E27" s="85">
        <v>5755</v>
      </c>
      <c r="F27" s="84">
        <v>10135</v>
      </c>
      <c r="G27" s="84">
        <v>345</v>
      </c>
      <c r="H27" s="85">
        <v>10480</v>
      </c>
      <c r="I27" s="84">
        <v>18940</v>
      </c>
      <c r="J27" s="84">
        <v>1095</v>
      </c>
      <c r="K27" s="85">
        <v>20040</v>
      </c>
      <c r="L27" s="84">
        <v>33050</v>
      </c>
      <c r="M27" s="84">
        <v>1460</v>
      </c>
      <c r="N27" s="85">
        <v>34510</v>
      </c>
      <c r="O27" s="84">
        <v>16090</v>
      </c>
      <c r="P27" s="84">
        <v>1965</v>
      </c>
      <c r="Q27" s="85">
        <v>18050</v>
      </c>
      <c r="R27" s="84">
        <v>43905</v>
      </c>
      <c r="S27" s="84">
        <v>9715</v>
      </c>
      <c r="T27" s="85">
        <v>53620</v>
      </c>
      <c r="U27" s="84">
        <v>2315</v>
      </c>
      <c r="V27" s="84">
        <v>810</v>
      </c>
      <c r="W27" s="85">
        <v>3125</v>
      </c>
      <c r="X27" s="84">
        <v>12125</v>
      </c>
      <c r="Y27" s="84">
        <v>1315</v>
      </c>
      <c r="Z27" s="85">
        <v>13440</v>
      </c>
      <c r="AA27" s="84">
        <v>6370</v>
      </c>
      <c r="AB27" s="84">
        <v>6955</v>
      </c>
      <c r="AC27" s="85">
        <v>13325</v>
      </c>
      <c r="AD27" s="84">
        <v>2145</v>
      </c>
      <c r="AE27" s="84">
        <v>2105</v>
      </c>
      <c r="AF27" s="84">
        <v>4250</v>
      </c>
      <c r="AG27" s="97">
        <v>141160</v>
      </c>
      <c r="AH27" s="84">
        <v>24775</v>
      </c>
      <c r="AI27" s="84">
        <v>165935</v>
      </c>
    </row>
    <row r="28" spans="2:45" x14ac:dyDescent="0.2">
      <c r="B28" s="42" t="s">
        <v>36</v>
      </c>
      <c r="C28" s="46"/>
      <c r="D28" s="47"/>
      <c r="E28" s="81"/>
      <c r="F28" s="46"/>
      <c r="G28" s="47"/>
      <c r="H28" s="81"/>
      <c r="I28" s="46"/>
      <c r="J28" s="47"/>
      <c r="K28" s="81"/>
      <c r="L28" s="46"/>
      <c r="M28" s="47"/>
      <c r="N28" s="81"/>
      <c r="O28" s="46"/>
      <c r="P28" s="47"/>
      <c r="Q28" s="81"/>
      <c r="R28" s="46"/>
      <c r="S28" s="47"/>
      <c r="T28" s="81"/>
      <c r="U28" s="46"/>
      <c r="V28" s="47"/>
      <c r="W28" s="81"/>
      <c r="X28" s="46"/>
      <c r="Y28" s="47"/>
      <c r="Z28" s="81"/>
      <c r="AA28" s="46"/>
      <c r="AB28" s="47"/>
      <c r="AC28" s="81"/>
      <c r="AD28" s="46"/>
      <c r="AE28" s="47"/>
      <c r="AF28" s="47"/>
      <c r="AG28" s="46"/>
      <c r="AH28" s="47"/>
      <c r="AI28" s="47"/>
    </row>
    <row r="29" spans="2:45" x14ac:dyDescent="0.2">
      <c r="B29" s="35" t="s">
        <v>4</v>
      </c>
      <c r="C29" s="84">
        <v>2315</v>
      </c>
      <c r="D29" s="84">
        <v>5</v>
      </c>
      <c r="E29" s="85">
        <v>2315</v>
      </c>
      <c r="F29" s="84">
        <v>7305</v>
      </c>
      <c r="G29" s="84">
        <v>60</v>
      </c>
      <c r="H29" s="85">
        <v>7365</v>
      </c>
      <c r="I29" s="84">
        <v>3800</v>
      </c>
      <c r="J29" s="84">
        <v>155</v>
      </c>
      <c r="K29" s="85">
        <v>3960</v>
      </c>
      <c r="L29" s="84">
        <v>1245</v>
      </c>
      <c r="M29" s="84">
        <v>30</v>
      </c>
      <c r="N29" s="85">
        <v>1275</v>
      </c>
      <c r="O29" s="84">
        <v>365</v>
      </c>
      <c r="P29" s="84">
        <v>5</v>
      </c>
      <c r="Q29" s="85">
        <v>375</v>
      </c>
      <c r="R29" s="84">
        <v>305</v>
      </c>
      <c r="S29" s="84">
        <v>25</v>
      </c>
      <c r="T29" s="85">
        <v>330</v>
      </c>
      <c r="U29" s="84">
        <v>0</v>
      </c>
      <c r="V29" s="84">
        <v>0</v>
      </c>
      <c r="W29" s="85">
        <v>0</v>
      </c>
      <c r="X29" s="84">
        <v>15</v>
      </c>
      <c r="Y29" s="84">
        <v>5</v>
      </c>
      <c r="Z29" s="85">
        <v>20</v>
      </c>
      <c r="AA29" s="84">
        <v>0</v>
      </c>
      <c r="AB29" s="84">
        <v>0</v>
      </c>
      <c r="AC29" s="85">
        <v>0</v>
      </c>
      <c r="AD29" s="84">
        <v>0</v>
      </c>
      <c r="AE29" s="84">
        <v>0</v>
      </c>
      <c r="AF29" s="84">
        <v>0</v>
      </c>
      <c r="AG29" s="97">
        <v>13630</v>
      </c>
      <c r="AH29" s="84">
        <v>275</v>
      </c>
      <c r="AI29" s="84">
        <v>13905</v>
      </c>
      <c r="AJ29" s="38"/>
      <c r="AK29" s="38"/>
      <c r="AL29" s="38"/>
      <c r="AM29" s="38"/>
      <c r="AN29" s="38"/>
      <c r="AO29" s="38"/>
      <c r="AP29" s="38"/>
      <c r="AQ29" s="38"/>
      <c r="AR29" s="38"/>
      <c r="AS29" s="38"/>
    </row>
    <row r="30" spans="2:45" x14ac:dyDescent="0.2">
      <c r="B30" s="35" t="s">
        <v>5</v>
      </c>
      <c r="C30" s="84">
        <v>735</v>
      </c>
      <c r="D30" s="84">
        <v>15</v>
      </c>
      <c r="E30" s="85">
        <v>750</v>
      </c>
      <c r="F30" s="84">
        <v>2505</v>
      </c>
      <c r="G30" s="84">
        <v>45</v>
      </c>
      <c r="H30" s="85">
        <v>2550</v>
      </c>
      <c r="I30" s="84">
        <v>7525</v>
      </c>
      <c r="J30" s="84">
        <v>765</v>
      </c>
      <c r="K30" s="85">
        <v>8295</v>
      </c>
      <c r="L30" s="84">
        <v>8070</v>
      </c>
      <c r="M30" s="84">
        <v>375</v>
      </c>
      <c r="N30" s="85">
        <v>8445</v>
      </c>
      <c r="O30" s="84">
        <v>3745</v>
      </c>
      <c r="P30" s="84">
        <v>325</v>
      </c>
      <c r="Q30" s="85">
        <v>4075</v>
      </c>
      <c r="R30" s="84">
        <v>23895</v>
      </c>
      <c r="S30" s="84">
        <v>2325</v>
      </c>
      <c r="T30" s="85">
        <v>26220</v>
      </c>
      <c r="U30" s="84">
        <v>5</v>
      </c>
      <c r="V30" s="84">
        <v>5</v>
      </c>
      <c r="W30" s="85">
        <v>10</v>
      </c>
      <c r="X30" s="84">
        <v>3540</v>
      </c>
      <c r="Y30" s="84">
        <v>110</v>
      </c>
      <c r="Z30" s="85">
        <v>3650</v>
      </c>
      <c r="AA30" s="84">
        <v>5</v>
      </c>
      <c r="AB30" s="84">
        <v>5</v>
      </c>
      <c r="AC30" s="85">
        <v>5</v>
      </c>
      <c r="AD30" s="84">
        <v>0</v>
      </c>
      <c r="AE30" s="84">
        <v>5</v>
      </c>
      <c r="AF30" s="84">
        <v>5</v>
      </c>
      <c r="AG30" s="97">
        <v>46725</v>
      </c>
      <c r="AH30" s="84">
        <v>3720</v>
      </c>
      <c r="AI30" s="84">
        <v>50445</v>
      </c>
      <c r="AJ30" s="38"/>
      <c r="AK30" s="38"/>
      <c r="AL30" s="38"/>
      <c r="AM30" s="38"/>
      <c r="AN30" s="38"/>
      <c r="AO30" s="38"/>
      <c r="AP30" s="38"/>
      <c r="AQ30" s="38"/>
      <c r="AR30" s="38"/>
      <c r="AS30" s="38"/>
    </row>
    <row r="31" spans="2:45" x14ac:dyDescent="0.2">
      <c r="B31" s="35" t="s">
        <v>6</v>
      </c>
      <c r="C31" s="84">
        <v>1680</v>
      </c>
      <c r="D31" s="84">
        <v>35</v>
      </c>
      <c r="E31" s="85">
        <v>1715</v>
      </c>
      <c r="F31" s="84">
        <v>2050</v>
      </c>
      <c r="G31" s="84">
        <v>70</v>
      </c>
      <c r="H31" s="85">
        <v>2115</v>
      </c>
      <c r="I31" s="84">
        <v>6870</v>
      </c>
      <c r="J31" s="84">
        <v>740</v>
      </c>
      <c r="K31" s="85">
        <v>7610</v>
      </c>
      <c r="L31" s="84">
        <v>15305</v>
      </c>
      <c r="M31" s="84">
        <v>990</v>
      </c>
      <c r="N31" s="85">
        <v>16290</v>
      </c>
      <c r="O31" s="84">
        <v>7990</v>
      </c>
      <c r="P31" s="84">
        <v>1635</v>
      </c>
      <c r="Q31" s="85">
        <v>9625</v>
      </c>
      <c r="R31" s="84">
        <v>61050</v>
      </c>
      <c r="S31" s="84">
        <v>14955</v>
      </c>
      <c r="T31" s="85">
        <v>76005</v>
      </c>
      <c r="U31" s="84">
        <v>925</v>
      </c>
      <c r="V31" s="84">
        <v>510</v>
      </c>
      <c r="W31" s="85">
        <v>1440</v>
      </c>
      <c r="X31" s="84">
        <v>10940</v>
      </c>
      <c r="Y31" s="84">
        <v>1070</v>
      </c>
      <c r="Z31" s="85">
        <v>12010</v>
      </c>
      <c r="AA31" s="84">
        <v>3775</v>
      </c>
      <c r="AB31" s="84">
        <v>3155</v>
      </c>
      <c r="AC31" s="85">
        <v>6930</v>
      </c>
      <c r="AD31" s="84">
        <v>370</v>
      </c>
      <c r="AE31" s="84">
        <v>135</v>
      </c>
      <c r="AF31" s="84">
        <v>505</v>
      </c>
      <c r="AG31" s="97">
        <v>104810</v>
      </c>
      <c r="AH31" s="84">
        <v>22445</v>
      </c>
      <c r="AI31" s="84">
        <v>127255</v>
      </c>
      <c r="AJ31" s="38"/>
      <c r="AK31" s="38"/>
      <c r="AL31" s="38"/>
      <c r="AM31" s="38"/>
      <c r="AN31" s="38"/>
      <c r="AO31" s="38"/>
      <c r="AP31" s="38"/>
      <c r="AQ31" s="38"/>
      <c r="AR31" s="38"/>
      <c r="AS31" s="38"/>
    </row>
    <row r="32" spans="2:45" x14ac:dyDescent="0.2">
      <c r="B32" s="35" t="s">
        <v>7</v>
      </c>
      <c r="C32" s="84">
        <v>6650</v>
      </c>
      <c r="D32" s="84">
        <v>75</v>
      </c>
      <c r="E32" s="85">
        <v>6730</v>
      </c>
      <c r="F32" s="84">
        <v>5375</v>
      </c>
      <c r="G32" s="84">
        <v>260</v>
      </c>
      <c r="H32" s="85">
        <v>5635</v>
      </c>
      <c r="I32" s="84">
        <v>14520</v>
      </c>
      <c r="J32" s="84">
        <v>390</v>
      </c>
      <c r="K32" s="85">
        <v>14905</v>
      </c>
      <c r="L32" s="84">
        <v>27770</v>
      </c>
      <c r="M32" s="84">
        <v>1450</v>
      </c>
      <c r="N32" s="85">
        <v>29225</v>
      </c>
      <c r="O32" s="84">
        <v>15965</v>
      </c>
      <c r="P32" s="84">
        <v>1435</v>
      </c>
      <c r="Q32" s="85">
        <v>17400</v>
      </c>
      <c r="R32" s="84">
        <v>25200</v>
      </c>
      <c r="S32" s="84">
        <v>2705</v>
      </c>
      <c r="T32" s="85">
        <v>27905</v>
      </c>
      <c r="U32" s="84">
        <v>3920</v>
      </c>
      <c r="V32" s="84">
        <v>1555</v>
      </c>
      <c r="W32" s="85">
        <v>5475</v>
      </c>
      <c r="X32" s="84">
        <v>8650</v>
      </c>
      <c r="Y32" s="84">
        <v>1045</v>
      </c>
      <c r="Z32" s="85">
        <v>9695</v>
      </c>
      <c r="AA32" s="84">
        <v>8955</v>
      </c>
      <c r="AB32" s="84">
        <v>9345</v>
      </c>
      <c r="AC32" s="85">
        <v>18300</v>
      </c>
      <c r="AD32" s="84">
        <v>3060</v>
      </c>
      <c r="AE32" s="84">
        <v>3750</v>
      </c>
      <c r="AF32" s="84">
        <v>6810</v>
      </c>
      <c r="AG32" s="97">
        <v>109585</v>
      </c>
      <c r="AH32" s="84">
        <v>21075</v>
      </c>
      <c r="AI32" s="84">
        <v>130660</v>
      </c>
      <c r="AJ32" s="38"/>
      <c r="AK32" s="38"/>
      <c r="AL32" s="38"/>
      <c r="AM32" s="38"/>
      <c r="AN32" s="38"/>
      <c r="AO32" s="38"/>
      <c r="AP32" s="38"/>
      <c r="AQ32" s="38"/>
      <c r="AR32" s="38"/>
      <c r="AS32" s="38"/>
    </row>
    <row r="33" spans="2:45" x14ac:dyDescent="0.2">
      <c r="B33" s="35" t="s">
        <v>61</v>
      </c>
      <c r="C33" s="84">
        <v>7760</v>
      </c>
      <c r="D33" s="84">
        <v>50</v>
      </c>
      <c r="E33" s="85">
        <v>7810</v>
      </c>
      <c r="F33" s="84">
        <v>6220</v>
      </c>
      <c r="G33" s="84">
        <v>70</v>
      </c>
      <c r="H33" s="85">
        <v>6290</v>
      </c>
      <c r="I33" s="84">
        <v>13295</v>
      </c>
      <c r="J33" s="84">
        <v>95</v>
      </c>
      <c r="K33" s="85">
        <v>13390</v>
      </c>
      <c r="L33" s="84">
        <v>18135</v>
      </c>
      <c r="M33" s="84">
        <v>365</v>
      </c>
      <c r="N33" s="85">
        <v>18500</v>
      </c>
      <c r="O33" s="84">
        <v>12295</v>
      </c>
      <c r="P33" s="84">
        <v>290</v>
      </c>
      <c r="Q33" s="85">
        <v>12585</v>
      </c>
      <c r="R33" s="84">
        <v>10480</v>
      </c>
      <c r="S33" s="84">
        <v>230</v>
      </c>
      <c r="T33" s="85">
        <v>10710</v>
      </c>
      <c r="U33" s="84">
        <v>3060</v>
      </c>
      <c r="V33" s="84">
        <v>290</v>
      </c>
      <c r="W33" s="85">
        <v>3345</v>
      </c>
      <c r="X33" s="84">
        <v>5150</v>
      </c>
      <c r="Y33" s="84">
        <v>140</v>
      </c>
      <c r="Z33" s="85">
        <v>5295</v>
      </c>
      <c r="AA33" s="84">
        <v>5660</v>
      </c>
      <c r="AB33" s="84">
        <v>2210</v>
      </c>
      <c r="AC33" s="85">
        <v>7870</v>
      </c>
      <c r="AD33" s="84">
        <v>2220</v>
      </c>
      <c r="AE33" s="84">
        <v>725</v>
      </c>
      <c r="AF33" s="84">
        <v>2940</v>
      </c>
      <c r="AG33" s="97">
        <v>75890</v>
      </c>
      <c r="AH33" s="84">
        <v>4315</v>
      </c>
      <c r="AI33" s="84">
        <v>80205</v>
      </c>
      <c r="AJ33" s="38"/>
      <c r="AK33" s="38"/>
      <c r="AL33" s="38"/>
      <c r="AM33" s="38"/>
      <c r="AN33" s="38"/>
      <c r="AO33" s="38"/>
      <c r="AP33" s="38"/>
      <c r="AQ33" s="38"/>
      <c r="AR33" s="38"/>
      <c r="AS33" s="38"/>
    </row>
    <row r="34" spans="2:45" x14ac:dyDescent="0.2">
      <c r="B34" s="42" t="s">
        <v>37</v>
      </c>
      <c r="C34" s="49"/>
      <c r="D34" s="49"/>
      <c r="E34" s="50"/>
      <c r="F34" s="49"/>
      <c r="G34" s="49"/>
      <c r="H34" s="50"/>
      <c r="I34" s="49"/>
      <c r="J34" s="49"/>
      <c r="K34" s="50"/>
      <c r="L34" s="49"/>
      <c r="M34" s="49"/>
      <c r="N34" s="50"/>
      <c r="O34" s="49"/>
      <c r="P34" s="49"/>
      <c r="Q34" s="50"/>
      <c r="R34" s="49"/>
      <c r="S34" s="49"/>
      <c r="T34" s="50"/>
      <c r="U34" s="49"/>
      <c r="V34" s="49"/>
      <c r="W34" s="50"/>
      <c r="X34" s="49"/>
      <c r="Y34" s="49"/>
      <c r="Z34" s="50"/>
      <c r="AA34" s="49"/>
      <c r="AB34" s="49"/>
      <c r="AC34" s="50"/>
      <c r="AD34" s="49"/>
      <c r="AE34" s="49"/>
      <c r="AF34" s="49"/>
      <c r="AG34" s="48"/>
      <c r="AH34" s="49"/>
      <c r="AI34" s="49"/>
    </row>
    <row r="35" spans="2:45" x14ac:dyDescent="0.2">
      <c r="B35" s="35" t="s">
        <v>38</v>
      </c>
      <c r="C35" s="84">
        <v>10290</v>
      </c>
      <c r="D35" s="84">
        <v>15</v>
      </c>
      <c r="E35" s="85">
        <v>10305</v>
      </c>
      <c r="F35" s="84">
        <v>11860</v>
      </c>
      <c r="G35" s="84">
        <v>10</v>
      </c>
      <c r="H35" s="85">
        <v>11870</v>
      </c>
      <c r="I35" s="84">
        <v>23270</v>
      </c>
      <c r="J35" s="84">
        <v>30</v>
      </c>
      <c r="K35" s="85">
        <v>23300</v>
      </c>
      <c r="L35" s="84">
        <v>39500</v>
      </c>
      <c r="M35" s="84">
        <v>80</v>
      </c>
      <c r="N35" s="85">
        <v>39585</v>
      </c>
      <c r="O35" s="84">
        <v>23820</v>
      </c>
      <c r="P35" s="84">
        <v>100</v>
      </c>
      <c r="Q35" s="85">
        <v>23920</v>
      </c>
      <c r="R35" s="84">
        <v>78240</v>
      </c>
      <c r="S35" s="84">
        <v>2115</v>
      </c>
      <c r="T35" s="85">
        <v>80355</v>
      </c>
      <c r="U35" s="84">
        <v>4570</v>
      </c>
      <c r="V35" s="84">
        <v>90</v>
      </c>
      <c r="W35" s="85">
        <v>4660</v>
      </c>
      <c r="X35" s="84">
        <v>17280</v>
      </c>
      <c r="Y35" s="84">
        <v>140</v>
      </c>
      <c r="Z35" s="85">
        <v>17420</v>
      </c>
      <c r="AA35" s="84">
        <v>10380</v>
      </c>
      <c r="AB35" s="84">
        <v>440</v>
      </c>
      <c r="AC35" s="85">
        <v>10820</v>
      </c>
      <c r="AD35" s="84">
        <v>3595</v>
      </c>
      <c r="AE35" s="84">
        <v>565</v>
      </c>
      <c r="AF35" s="84">
        <v>4160</v>
      </c>
      <c r="AG35" s="97">
        <v>208235</v>
      </c>
      <c r="AH35" s="84">
        <v>3540</v>
      </c>
      <c r="AI35" s="84">
        <v>211775</v>
      </c>
    </row>
    <row r="36" spans="2:45" x14ac:dyDescent="0.2">
      <c r="B36" s="35" t="s">
        <v>39</v>
      </c>
      <c r="C36" s="84">
        <v>9260</v>
      </c>
      <c r="D36" s="84">
        <v>5</v>
      </c>
      <c r="E36" s="85">
        <v>9265</v>
      </c>
      <c r="F36" s="84">
        <v>10735</v>
      </c>
      <c r="G36" s="84">
        <v>5</v>
      </c>
      <c r="H36" s="85">
        <v>10735</v>
      </c>
      <c r="I36" s="84">
        <v>15465</v>
      </c>
      <c r="J36" s="84">
        <v>5</v>
      </c>
      <c r="K36" s="85">
        <v>15470</v>
      </c>
      <c r="L36" s="84">
        <v>19310</v>
      </c>
      <c r="M36" s="84">
        <v>5</v>
      </c>
      <c r="N36" s="85">
        <v>19320</v>
      </c>
      <c r="O36" s="84">
        <v>9520</v>
      </c>
      <c r="P36" s="84">
        <v>5</v>
      </c>
      <c r="Q36" s="85">
        <v>9525</v>
      </c>
      <c r="R36" s="84">
        <v>18785</v>
      </c>
      <c r="S36" s="84">
        <v>10</v>
      </c>
      <c r="T36" s="85">
        <v>18795</v>
      </c>
      <c r="U36" s="84">
        <v>665</v>
      </c>
      <c r="V36" s="84">
        <v>0</v>
      </c>
      <c r="W36" s="85">
        <v>665</v>
      </c>
      <c r="X36" s="84">
        <v>2875</v>
      </c>
      <c r="Y36" s="84">
        <v>5</v>
      </c>
      <c r="Z36" s="85">
        <v>2875</v>
      </c>
      <c r="AA36" s="84">
        <v>2140</v>
      </c>
      <c r="AB36" s="84">
        <v>5</v>
      </c>
      <c r="AC36" s="85">
        <v>2140</v>
      </c>
      <c r="AD36" s="84">
        <v>880</v>
      </c>
      <c r="AE36" s="84">
        <v>5</v>
      </c>
      <c r="AF36" s="84">
        <v>880</v>
      </c>
      <c r="AG36" s="97">
        <v>78275</v>
      </c>
      <c r="AH36" s="84">
        <v>30</v>
      </c>
      <c r="AI36" s="84">
        <v>78305</v>
      </c>
    </row>
    <row r="37" spans="2:45" x14ac:dyDescent="0.2">
      <c r="B37" s="35" t="s">
        <v>40</v>
      </c>
      <c r="C37" s="84">
        <v>1495</v>
      </c>
      <c r="D37" s="84">
        <v>5</v>
      </c>
      <c r="E37" s="85">
        <v>1500</v>
      </c>
      <c r="F37" s="84">
        <v>2820</v>
      </c>
      <c r="G37" s="84">
        <v>20</v>
      </c>
      <c r="H37" s="85">
        <v>2840</v>
      </c>
      <c r="I37" s="84">
        <v>6045</v>
      </c>
      <c r="J37" s="84">
        <v>70</v>
      </c>
      <c r="K37" s="85">
        <v>6115</v>
      </c>
      <c r="L37" s="84">
        <v>7775</v>
      </c>
      <c r="M37" s="84">
        <v>175</v>
      </c>
      <c r="N37" s="85">
        <v>7945</v>
      </c>
      <c r="O37" s="84">
        <v>3745</v>
      </c>
      <c r="P37" s="84">
        <v>150</v>
      </c>
      <c r="Q37" s="85">
        <v>3895</v>
      </c>
      <c r="R37" s="84">
        <v>13175</v>
      </c>
      <c r="S37" s="84">
        <v>415</v>
      </c>
      <c r="T37" s="85">
        <v>13590</v>
      </c>
      <c r="U37" s="84">
        <v>505</v>
      </c>
      <c r="V37" s="84">
        <v>15</v>
      </c>
      <c r="W37" s="85">
        <v>520</v>
      </c>
      <c r="X37" s="84">
        <v>1880</v>
      </c>
      <c r="Y37" s="84">
        <v>80</v>
      </c>
      <c r="Z37" s="85">
        <v>1960</v>
      </c>
      <c r="AA37" s="84">
        <v>1200</v>
      </c>
      <c r="AB37" s="84">
        <v>145</v>
      </c>
      <c r="AC37" s="85">
        <v>1345</v>
      </c>
      <c r="AD37" s="84">
        <v>345</v>
      </c>
      <c r="AE37" s="84">
        <v>90</v>
      </c>
      <c r="AF37" s="84">
        <v>435</v>
      </c>
      <c r="AG37" s="97">
        <v>35980</v>
      </c>
      <c r="AH37" s="84">
        <v>1105</v>
      </c>
      <c r="AI37" s="84">
        <v>37090</v>
      </c>
    </row>
    <row r="38" spans="2:45" x14ac:dyDescent="0.2">
      <c r="B38" s="35" t="s">
        <v>9</v>
      </c>
      <c r="C38" s="84">
        <v>1980</v>
      </c>
      <c r="D38" s="84">
        <v>135</v>
      </c>
      <c r="E38" s="85">
        <v>2115</v>
      </c>
      <c r="F38" s="84">
        <v>2370</v>
      </c>
      <c r="G38" s="84">
        <v>420</v>
      </c>
      <c r="H38" s="85">
        <v>2790</v>
      </c>
      <c r="I38" s="84">
        <v>6870</v>
      </c>
      <c r="J38" s="84">
        <v>1920</v>
      </c>
      <c r="K38" s="85">
        <v>8795</v>
      </c>
      <c r="L38" s="84">
        <v>11650</v>
      </c>
      <c r="M38" s="84">
        <v>2720</v>
      </c>
      <c r="N38" s="85">
        <v>14370</v>
      </c>
      <c r="O38" s="84">
        <v>7115</v>
      </c>
      <c r="P38" s="84">
        <v>3225</v>
      </c>
      <c r="Q38" s="85">
        <v>10340</v>
      </c>
      <c r="R38" s="84">
        <v>27345</v>
      </c>
      <c r="S38" s="84">
        <v>16105</v>
      </c>
      <c r="T38" s="85">
        <v>43450</v>
      </c>
      <c r="U38" s="84">
        <v>2420</v>
      </c>
      <c r="V38" s="84">
        <v>2135</v>
      </c>
      <c r="W38" s="85">
        <v>4555</v>
      </c>
      <c r="X38" s="84">
        <v>8505</v>
      </c>
      <c r="Y38" s="84">
        <v>2005</v>
      </c>
      <c r="Z38" s="85">
        <v>10510</v>
      </c>
      <c r="AA38" s="84">
        <v>5690</v>
      </c>
      <c r="AB38" s="84">
        <v>13125</v>
      </c>
      <c r="AC38" s="85">
        <v>18815</v>
      </c>
      <c r="AD38" s="84">
        <v>1170</v>
      </c>
      <c r="AE38" s="84">
        <v>3045</v>
      </c>
      <c r="AF38" s="84">
        <v>4215</v>
      </c>
      <c r="AG38" s="97">
        <v>70290</v>
      </c>
      <c r="AH38" s="84">
        <v>42895</v>
      </c>
      <c r="AI38" s="84">
        <v>113185</v>
      </c>
    </row>
    <row r="39" spans="2:45" x14ac:dyDescent="0.2">
      <c r="B39" s="35" t="s">
        <v>10</v>
      </c>
      <c r="C39" s="84">
        <v>985</v>
      </c>
      <c r="D39" s="84">
        <v>20</v>
      </c>
      <c r="E39" s="85">
        <v>1005</v>
      </c>
      <c r="F39" s="84">
        <v>1120</v>
      </c>
      <c r="G39" s="84">
        <v>55</v>
      </c>
      <c r="H39" s="85">
        <v>1175</v>
      </c>
      <c r="I39" s="84">
        <v>2690</v>
      </c>
      <c r="J39" s="84">
        <v>100</v>
      </c>
      <c r="K39" s="85">
        <v>2785</v>
      </c>
      <c r="L39" s="84">
        <v>3800</v>
      </c>
      <c r="M39" s="84">
        <v>260</v>
      </c>
      <c r="N39" s="85">
        <v>4060</v>
      </c>
      <c r="O39" s="84">
        <v>2460</v>
      </c>
      <c r="P39" s="84">
        <v>200</v>
      </c>
      <c r="Q39" s="85">
        <v>2660</v>
      </c>
      <c r="R39" s="84">
        <v>7110</v>
      </c>
      <c r="S39" s="84">
        <v>1575</v>
      </c>
      <c r="T39" s="85">
        <v>8685</v>
      </c>
      <c r="U39" s="84">
        <v>570</v>
      </c>
      <c r="V39" s="84">
        <v>95</v>
      </c>
      <c r="W39" s="85">
        <v>665</v>
      </c>
      <c r="X39" s="84">
        <v>1660</v>
      </c>
      <c r="Y39" s="84">
        <v>135</v>
      </c>
      <c r="Z39" s="85">
        <v>1795</v>
      </c>
      <c r="AA39" s="84">
        <v>1255</v>
      </c>
      <c r="AB39" s="84">
        <v>765</v>
      </c>
      <c r="AC39" s="85">
        <v>2020</v>
      </c>
      <c r="AD39" s="84">
        <v>500</v>
      </c>
      <c r="AE39" s="84">
        <v>920</v>
      </c>
      <c r="AF39" s="84">
        <v>1420</v>
      </c>
      <c r="AG39" s="97">
        <v>20570</v>
      </c>
      <c r="AH39" s="84">
        <v>3990</v>
      </c>
      <c r="AI39" s="84">
        <v>24560</v>
      </c>
    </row>
    <row r="40" spans="2:45" x14ac:dyDescent="0.2">
      <c r="B40" s="42" t="s">
        <v>62</v>
      </c>
      <c r="C40" s="49"/>
      <c r="D40" s="49"/>
      <c r="E40" s="50"/>
      <c r="F40" s="49"/>
      <c r="G40" s="49"/>
      <c r="H40" s="50"/>
      <c r="I40" s="49"/>
      <c r="J40" s="49"/>
      <c r="K40" s="50"/>
      <c r="L40" s="49"/>
      <c r="M40" s="49"/>
      <c r="N40" s="50"/>
      <c r="O40" s="49"/>
      <c r="P40" s="49"/>
      <c r="Q40" s="50"/>
      <c r="R40" s="49"/>
      <c r="S40" s="49"/>
      <c r="T40" s="50"/>
      <c r="U40" s="49"/>
      <c r="V40" s="49"/>
      <c r="W40" s="50"/>
      <c r="X40" s="49"/>
      <c r="Y40" s="49"/>
      <c r="Z40" s="50"/>
      <c r="AA40" s="49"/>
      <c r="AB40" s="49"/>
      <c r="AC40" s="50"/>
      <c r="AD40" s="49"/>
      <c r="AE40" s="49"/>
      <c r="AF40" s="49"/>
      <c r="AG40" s="48"/>
      <c r="AH40" s="49"/>
      <c r="AI40" s="49"/>
    </row>
    <row r="41" spans="2:45" x14ac:dyDescent="0.2">
      <c r="B41" s="35" t="s">
        <v>63</v>
      </c>
      <c r="C41" s="84">
        <v>5170</v>
      </c>
      <c r="D41" s="84">
        <v>30</v>
      </c>
      <c r="E41" s="85">
        <v>5200</v>
      </c>
      <c r="F41" s="84">
        <v>5875</v>
      </c>
      <c r="G41" s="84">
        <v>45</v>
      </c>
      <c r="H41" s="85">
        <v>5920</v>
      </c>
      <c r="I41" s="84">
        <v>11985</v>
      </c>
      <c r="J41" s="84">
        <v>775</v>
      </c>
      <c r="K41" s="85">
        <v>12760</v>
      </c>
      <c r="L41" s="84">
        <v>14890</v>
      </c>
      <c r="M41" s="84">
        <v>1060</v>
      </c>
      <c r="N41" s="85">
        <v>15950</v>
      </c>
      <c r="O41" s="84">
        <v>13650</v>
      </c>
      <c r="P41" s="84">
        <v>1440</v>
      </c>
      <c r="Q41" s="85">
        <v>15090</v>
      </c>
      <c r="R41" s="84">
        <v>83835</v>
      </c>
      <c r="S41" s="84">
        <v>10145</v>
      </c>
      <c r="T41" s="85">
        <v>93980</v>
      </c>
      <c r="U41" s="84">
        <v>1735</v>
      </c>
      <c r="V41" s="84">
        <v>845</v>
      </c>
      <c r="W41" s="85">
        <v>2580</v>
      </c>
      <c r="X41" s="84">
        <v>14335</v>
      </c>
      <c r="Y41" s="84">
        <v>1255</v>
      </c>
      <c r="Z41" s="85">
        <v>15590</v>
      </c>
      <c r="AA41" s="84">
        <v>6135</v>
      </c>
      <c r="AB41" s="84">
        <v>5955</v>
      </c>
      <c r="AC41" s="85">
        <v>12090</v>
      </c>
      <c r="AD41" s="84">
        <v>2710</v>
      </c>
      <c r="AE41" s="84">
        <v>2850</v>
      </c>
      <c r="AF41" s="84">
        <v>5560</v>
      </c>
      <c r="AG41" s="97">
        <v>140085</v>
      </c>
      <c r="AH41" s="84">
        <v>22755</v>
      </c>
      <c r="AI41" s="84">
        <v>162840</v>
      </c>
    </row>
    <row r="42" spans="2:45" x14ac:dyDescent="0.2">
      <c r="B42" s="35" t="s">
        <v>64</v>
      </c>
      <c r="C42" s="84">
        <v>2250</v>
      </c>
      <c r="D42" s="84">
        <v>65</v>
      </c>
      <c r="E42" s="85">
        <v>2315</v>
      </c>
      <c r="F42" s="84">
        <v>4955</v>
      </c>
      <c r="G42" s="84">
        <v>205</v>
      </c>
      <c r="H42" s="85">
        <v>5165</v>
      </c>
      <c r="I42" s="84">
        <v>10960</v>
      </c>
      <c r="J42" s="84">
        <v>720</v>
      </c>
      <c r="K42" s="85">
        <v>11680</v>
      </c>
      <c r="L42" s="84">
        <v>12360</v>
      </c>
      <c r="M42" s="84">
        <v>1225</v>
      </c>
      <c r="N42" s="85">
        <v>13580</v>
      </c>
      <c r="O42" s="84">
        <v>4350</v>
      </c>
      <c r="P42" s="84">
        <v>915</v>
      </c>
      <c r="Q42" s="85">
        <v>5265</v>
      </c>
      <c r="R42" s="84">
        <v>8530</v>
      </c>
      <c r="S42" s="84">
        <v>4985</v>
      </c>
      <c r="T42" s="85">
        <v>13515</v>
      </c>
      <c r="U42" s="84">
        <v>660</v>
      </c>
      <c r="V42" s="84">
        <v>625</v>
      </c>
      <c r="W42" s="85">
        <v>1285</v>
      </c>
      <c r="X42" s="84">
        <v>1150</v>
      </c>
      <c r="Y42" s="84">
        <v>550</v>
      </c>
      <c r="Z42" s="85">
        <v>1700</v>
      </c>
      <c r="AA42" s="84">
        <v>1735</v>
      </c>
      <c r="AB42" s="84">
        <v>5175</v>
      </c>
      <c r="AC42" s="85">
        <v>6910</v>
      </c>
      <c r="AD42" s="84">
        <v>165</v>
      </c>
      <c r="AE42" s="84">
        <v>220</v>
      </c>
      <c r="AF42" s="84">
        <v>385</v>
      </c>
      <c r="AG42" s="97">
        <v>45895</v>
      </c>
      <c r="AH42" s="84">
        <v>14600</v>
      </c>
      <c r="AI42" s="84">
        <v>60490</v>
      </c>
    </row>
    <row r="43" spans="2:45" x14ac:dyDescent="0.2">
      <c r="B43" s="35" t="s">
        <v>65</v>
      </c>
      <c r="C43" s="84">
        <v>5325</v>
      </c>
      <c r="D43" s="84">
        <v>15</v>
      </c>
      <c r="E43" s="85">
        <v>5340</v>
      </c>
      <c r="F43" s="84">
        <v>7375</v>
      </c>
      <c r="G43" s="84">
        <v>65</v>
      </c>
      <c r="H43" s="85">
        <v>7435</v>
      </c>
      <c r="I43" s="84">
        <v>9045</v>
      </c>
      <c r="J43" s="84">
        <v>150</v>
      </c>
      <c r="K43" s="85">
        <v>9195</v>
      </c>
      <c r="L43" s="84">
        <v>18710</v>
      </c>
      <c r="M43" s="84">
        <v>250</v>
      </c>
      <c r="N43" s="85">
        <v>18960</v>
      </c>
      <c r="O43" s="84">
        <v>9845</v>
      </c>
      <c r="P43" s="84">
        <v>500</v>
      </c>
      <c r="Q43" s="85">
        <v>10345</v>
      </c>
      <c r="R43" s="84">
        <v>15385</v>
      </c>
      <c r="S43" s="84">
        <v>2405</v>
      </c>
      <c r="T43" s="85">
        <v>17790</v>
      </c>
      <c r="U43" s="84">
        <v>2460</v>
      </c>
      <c r="V43" s="84">
        <v>260</v>
      </c>
      <c r="W43" s="85">
        <v>2715</v>
      </c>
      <c r="X43" s="84">
        <v>6835</v>
      </c>
      <c r="Y43" s="84">
        <v>285</v>
      </c>
      <c r="Z43" s="85">
        <v>7120</v>
      </c>
      <c r="AA43" s="84">
        <v>5945</v>
      </c>
      <c r="AB43" s="84">
        <v>1075</v>
      </c>
      <c r="AC43" s="85">
        <v>7020</v>
      </c>
      <c r="AD43" s="84">
        <v>1830</v>
      </c>
      <c r="AE43" s="84">
        <v>500</v>
      </c>
      <c r="AF43" s="84">
        <v>2330</v>
      </c>
      <c r="AG43" s="97">
        <v>75490</v>
      </c>
      <c r="AH43" s="84">
        <v>5160</v>
      </c>
      <c r="AI43" s="84">
        <v>80645</v>
      </c>
    </row>
    <row r="44" spans="2:45" x14ac:dyDescent="0.2">
      <c r="B44" s="35" t="s">
        <v>66</v>
      </c>
      <c r="C44" s="84">
        <v>6395</v>
      </c>
      <c r="D44" s="84">
        <v>70</v>
      </c>
      <c r="E44" s="85">
        <v>6465</v>
      </c>
      <c r="F44" s="84">
        <v>5255</v>
      </c>
      <c r="G44" s="84">
        <v>190</v>
      </c>
      <c r="H44" s="85">
        <v>5445</v>
      </c>
      <c r="I44" s="84">
        <v>14020</v>
      </c>
      <c r="J44" s="84">
        <v>495</v>
      </c>
      <c r="K44" s="85">
        <v>14515</v>
      </c>
      <c r="L44" s="84">
        <v>24565</v>
      </c>
      <c r="M44" s="84">
        <v>680</v>
      </c>
      <c r="N44" s="85">
        <v>25245</v>
      </c>
      <c r="O44" s="84">
        <v>12520</v>
      </c>
      <c r="P44" s="84">
        <v>835</v>
      </c>
      <c r="Q44" s="85">
        <v>13355</v>
      </c>
      <c r="R44" s="84">
        <v>13180</v>
      </c>
      <c r="S44" s="84">
        <v>2705</v>
      </c>
      <c r="T44" s="85">
        <v>15885</v>
      </c>
      <c r="U44" s="84">
        <v>3060</v>
      </c>
      <c r="V44" s="84">
        <v>635</v>
      </c>
      <c r="W44" s="85">
        <v>3690</v>
      </c>
      <c r="X44" s="84">
        <v>5970</v>
      </c>
      <c r="Y44" s="84">
        <v>280</v>
      </c>
      <c r="Z44" s="85">
        <v>6250</v>
      </c>
      <c r="AA44" s="84">
        <v>4580</v>
      </c>
      <c r="AB44" s="84">
        <v>2500</v>
      </c>
      <c r="AC44" s="85">
        <v>7085</v>
      </c>
      <c r="AD44" s="84">
        <v>945</v>
      </c>
      <c r="AE44" s="84">
        <v>1040</v>
      </c>
      <c r="AF44" s="84">
        <v>1985</v>
      </c>
      <c r="AG44" s="97">
        <v>89175</v>
      </c>
      <c r="AH44" s="84">
        <v>9315</v>
      </c>
      <c r="AI44" s="84">
        <v>98490</v>
      </c>
    </row>
    <row r="45" spans="2:45" x14ac:dyDescent="0.2">
      <c r="B45" s="42" t="s">
        <v>41</v>
      </c>
      <c r="C45" s="49"/>
      <c r="D45" s="49"/>
      <c r="E45" s="50"/>
      <c r="F45" s="49"/>
      <c r="G45" s="49"/>
      <c r="H45" s="50"/>
      <c r="I45" s="49"/>
      <c r="J45" s="49"/>
      <c r="K45" s="50"/>
      <c r="L45" s="49"/>
      <c r="M45" s="49"/>
      <c r="N45" s="50"/>
      <c r="O45" s="49"/>
      <c r="P45" s="49"/>
      <c r="Q45" s="50"/>
      <c r="R45" s="49"/>
      <c r="S45" s="49"/>
      <c r="T45" s="50"/>
      <c r="U45" s="49"/>
      <c r="V45" s="49"/>
      <c r="W45" s="50"/>
      <c r="X45" s="49"/>
      <c r="Y45" s="49"/>
      <c r="Z45" s="50"/>
      <c r="AA45" s="49"/>
      <c r="AB45" s="49"/>
      <c r="AC45" s="50"/>
      <c r="AD45" s="49"/>
      <c r="AE45" s="49"/>
      <c r="AF45" s="49"/>
      <c r="AG45" s="48"/>
      <c r="AH45" s="49"/>
      <c r="AI45" s="49"/>
    </row>
    <row r="46" spans="2:45" x14ac:dyDescent="0.2">
      <c r="B46" s="51" t="s">
        <v>11</v>
      </c>
      <c r="C46" s="84">
        <v>0</v>
      </c>
      <c r="D46" s="84">
        <v>0</v>
      </c>
      <c r="E46" s="85">
        <v>0</v>
      </c>
      <c r="F46" s="84">
        <v>0</v>
      </c>
      <c r="G46" s="84">
        <v>0</v>
      </c>
      <c r="H46" s="85">
        <v>0</v>
      </c>
      <c r="I46" s="84">
        <v>95</v>
      </c>
      <c r="J46" s="84">
        <v>1360</v>
      </c>
      <c r="K46" s="85">
        <v>1455</v>
      </c>
      <c r="L46" s="84">
        <v>2475</v>
      </c>
      <c r="M46" s="84">
        <v>810</v>
      </c>
      <c r="N46" s="85">
        <v>3290</v>
      </c>
      <c r="O46" s="84">
        <v>3370</v>
      </c>
      <c r="P46" s="84">
        <v>260</v>
      </c>
      <c r="Q46" s="85">
        <v>3630</v>
      </c>
      <c r="R46" s="84">
        <v>94580</v>
      </c>
      <c r="S46" s="84">
        <v>15695</v>
      </c>
      <c r="T46" s="85">
        <v>110275</v>
      </c>
      <c r="U46" s="84">
        <v>3830</v>
      </c>
      <c r="V46" s="84">
        <v>515</v>
      </c>
      <c r="W46" s="85">
        <v>4345</v>
      </c>
      <c r="X46" s="84">
        <v>26105</v>
      </c>
      <c r="Y46" s="84">
        <v>1720</v>
      </c>
      <c r="Z46" s="85">
        <v>27825</v>
      </c>
      <c r="AA46" s="84">
        <v>16450</v>
      </c>
      <c r="AB46" s="84">
        <v>9810</v>
      </c>
      <c r="AC46" s="85">
        <v>26260</v>
      </c>
      <c r="AD46" s="84">
        <v>5450</v>
      </c>
      <c r="AE46" s="84">
        <v>4590</v>
      </c>
      <c r="AF46" s="84">
        <v>10040</v>
      </c>
      <c r="AG46" s="97">
        <v>148440</v>
      </c>
      <c r="AH46" s="84">
        <v>33510</v>
      </c>
      <c r="AI46" s="84">
        <v>181950</v>
      </c>
    </row>
    <row r="47" spans="2:45" x14ac:dyDescent="0.2">
      <c r="B47" s="51" t="s">
        <v>90</v>
      </c>
      <c r="C47" s="84">
        <v>5390</v>
      </c>
      <c r="D47" s="84">
        <v>50</v>
      </c>
      <c r="E47" s="85">
        <v>5440</v>
      </c>
      <c r="F47" s="84">
        <v>11330</v>
      </c>
      <c r="G47" s="84">
        <v>85</v>
      </c>
      <c r="H47" s="85">
        <v>11410</v>
      </c>
      <c r="I47" s="84">
        <v>22340</v>
      </c>
      <c r="J47" s="84">
        <v>345</v>
      </c>
      <c r="K47" s="85">
        <v>22685</v>
      </c>
      <c r="L47" s="84">
        <v>33910</v>
      </c>
      <c r="M47" s="84">
        <v>570</v>
      </c>
      <c r="N47" s="85">
        <v>34480</v>
      </c>
      <c r="O47" s="84">
        <v>20870</v>
      </c>
      <c r="P47" s="84">
        <v>1160</v>
      </c>
      <c r="Q47" s="85">
        <v>22030</v>
      </c>
      <c r="R47" s="84">
        <v>19560</v>
      </c>
      <c r="S47" s="84">
        <v>3595</v>
      </c>
      <c r="T47" s="85">
        <v>23155</v>
      </c>
      <c r="U47" s="84">
        <v>3000</v>
      </c>
      <c r="V47" s="84">
        <v>515</v>
      </c>
      <c r="W47" s="85">
        <v>3515</v>
      </c>
      <c r="X47" s="84">
        <v>1225</v>
      </c>
      <c r="Y47" s="84">
        <v>415</v>
      </c>
      <c r="Z47" s="85">
        <v>1640</v>
      </c>
      <c r="AA47" s="84">
        <v>760</v>
      </c>
      <c r="AB47" s="84">
        <v>2670</v>
      </c>
      <c r="AC47" s="85">
        <v>3430</v>
      </c>
      <c r="AD47" s="84">
        <v>40</v>
      </c>
      <c r="AE47" s="84">
        <v>5</v>
      </c>
      <c r="AF47" s="84">
        <v>40</v>
      </c>
      <c r="AG47" s="97">
        <v>112460</v>
      </c>
      <c r="AH47" s="84">
        <v>9160</v>
      </c>
      <c r="AI47" s="84">
        <v>121620</v>
      </c>
    </row>
    <row r="48" spans="2:45" x14ac:dyDescent="0.2">
      <c r="B48" s="51" t="s">
        <v>42</v>
      </c>
      <c r="C48" s="84">
        <v>10405</v>
      </c>
      <c r="D48" s="84">
        <v>10</v>
      </c>
      <c r="E48" s="85">
        <v>10415</v>
      </c>
      <c r="F48" s="84">
        <v>4995</v>
      </c>
      <c r="G48" s="84">
        <v>5</v>
      </c>
      <c r="H48" s="85">
        <v>5000</v>
      </c>
      <c r="I48" s="84">
        <v>9340</v>
      </c>
      <c r="J48" s="84">
        <v>5</v>
      </c>
      <c r="K48" s="85">
        <v>9345</v>
      </c>
      <c r="L48" s="84">
        <v>11025</v>
      </c>
      <c r="M48" s="84">
        <v>10</v>
      </c>
      <c r="N48" s="85">
        <v>11035</v>
      </c>
      <c r="O48" s="84">
        <v>4530</v>
      </c>
      <c r="P48" s="84">
        <v>5</v>
      </c>
      <c r="Q48" s="85">
        <v>4530</v>
      </c>
      <c r="R48" s="84">
        <v>1390</v>
      </c>
      <c r="S48" s="84">
        <v>5</v>
      </c>
      <c r="T48" s="85">
        <v>1390</v>
      </c>
      <c r="U48" s="84">
        <v>0</v>
      </c>
      <c r="V48" s="84">
        <v>0</v>
      </c>
      <c r="W48" s="85">
        <v>0</v>
      </c>
      <c r="X48" s="84">
        <v>265</v>
      </c>
      <c r="Y48" s="84">
        <v>0</v>
      </c>
      <c r="Z48" s="85">
        <v>265</v>
      </c>
      <c r="AA48" s="84">
        <v>250</v>
      </c>
      <c r="AB48" s="84">
        <v>0</v>
      </c>
      <c r="AC48" s="85">
        <v>250</v>
      </c>
      <c r="AD48" s="84">
        <v>160</v>
      </c>
      <c r="AE48" s="84">
        <v>15</v>
      </c>
      <c r="AF48" s="84">
        <v>180</v>
      </c>
      <c r="AG48" s="97">
        <v>35300</v>
      </c>
      <c r="AH48" s="84">
        <v>40</v>
      </c>
      <c r="AI48" s="84">
        <v>35345</v>
      </c>
    </row>
    <row r="49" spans="2:38" x14ac:dyDescent="0.2">
      <c r="B49" s="36" t="s">
        <v>12</v>
      </c>
      <c r="C49" s="84">
        <v>15735</v>
      </c>
      <c r="D49" s="84">
        <v>60</v>
      </c>
      <c r="E49" s="85">
        <v>15795</v>
      </c>
      <c r="F49" s="84">
        <v>16275</v>
      </c>
      <c r="G49" s="84">
        <v>85</v>
      </c>
      <c r="H49" s="85">
        <v>16365</v>
      </c>
      <c r="I49" s="84">
        <v>31650</v>
      </c>
      <c r="J49" s="84">
        <v>1710</v>
      </c>
      <c r="K49" s="85">
        <v>33360</v>
      </c>
      <c r="L49" s="84">
        <v>47210</v>
      </c>
      <c r="M49" s="84">
        <v>1390</v>
      </c>
      <c r="N49" s="85">
        <v>48600</v>
      </c>
      <c r="O49" s="84">
        <v>28660</v>
      </c>
      <c r="P49" s="84">
        <v>1425</v>
      </c>
      <c r="Q49" s="85">
        <v>30085</v>
      </c>
      <c r="R49" s="84">
        <v>115350</v>
      </c>
      <c r="S49" s="84">
        <v>19290</v>
      </c>
      <c r="T49" s="85">
        <v>134640</v>
      </c>
      <c r="U49" s="84">
        <v>6815</v>
      </c>
      <c r="V49" s="84">
        <v>1030</v>
      </c>
      <c r="W49" s="85">
        <v>7845</v>
      </c>
      <c r="X49" s="84">
        <v>27585</v>
      </c>
      <c r="Y49" s="84">
        <v>2135</v>
      </c>
      <c r="Z49" s="85">
        <v>29720</v>
      </c>
      <c r="AA49" s="84">
        <v>17450</v>
      </c>
      <c r="AB49" s="84">
        <v>12475</v>
      </c>
      <c r="AC49" s="85">
        <v>29925</v>
      </c>
      <c r="AD49" s="84">
        <v>5645</v>
      </c>
      <c r="AE49" s="84">
        <v>4610</v>
      </c>
      <c r="AF49" s="84">
        <v>10255</v>
      </c>
      <c r="AG49" s="97">
        <v>290910</v>
      </c>
      <c r="AH49" s="84">
        <v>42675</v>
      </c>
      <c r="AI49" s="84">
        <v>333590</v>
      </c>
    </row>
    <row r="50" spans="2:38" x14ac:dyDescent="0.2">
      <c r="B50" s="51" t="s">
        <v>13</v>
      </c>
      <c r="C50" s="84">
        <v>3425</v>
      </c>
      <c r="D50" s="84">
        <v>125</v>
      </c>
      <c r="E50" s="85">
        <v>3550</v>
      </c>
      <c r="F50" s="84">
        <v>7270</v>
      </c>
      <c r="G50" s="84">
        <v>420</v>
      </c>
      <c r="H50" s="85">
        <v>7690</v>
      </c>
      <c r="I50" s="84">
        <v>14665</v>
      </c>
      <c r="J50" s="84">
        <v>435</v>
      </c>
      <c r="K50" s="85">
        <v>15100</v>
      </c>
      <c r="L50" s="84">
        <v>24230</v>
      </c>
      <c r="M50" s="84">
        <v>1825</v>
      </c>
      <c r="N50" s="85">
        <v>26055</v>
      </c>
      <c r="O50" s="84">
        <v>11855</v>
      </c>
      <c r="P50" s="84">
        <v>2270</v>
      </c>
      <c r="Q50" s="85">
        <v>14125</v>
      </c>
      <c r="R50" s="84">
        <v>5620</v>
      </c>
      <c r="S50" s="84">
        <v>955</v>
      </c>
      <c r="T50" s="85">
        <v>6575</v>
      </c>
      <c r="U50" s="84">
        <v>1100</v>
      </c>
      <c r="V50" s="84">
        <v>1335</v>
      </c>
      <c r="W50" s="85">
        <v>2435</v>
      </c>
      <c r="X50" s="84">
        <v>715</v>
      </c>
      <c r="Y50" s="84">
        <v>240</v>
      </c>
      <c r="Z50" s="85">
        <v>955</v>
      </c>
      <c r="AA50" s="84">
        <v>955</v>
      </c>
      <c r="AB50" s="84">
        <v>2240</v>
      </c>
      <c r="AC50" s="85">
        <v>3195</v>
      </c>
      <c r="AD50" s="84">
        <v>0</v>
      </c>
      <c r="AE50" s="84">
        <v>0</v>
      </c>
      <c r="AF50" s="84">
        <v>0</v>
      </c>
      <c r="AG50" s="97">
        <v>64720</v>
      </c>
      <c r="AH50" s="84">
        <v>9340</v>
      </c>
      <c r="AI50" s="84">
        <v>74060</v>
      </c>
    </row>
    <row r="51" spans="2:38" x14ac:dyDescent="0.2">
      <c r="B51" s="42" t="s">
        <v>43</v>
      </c>
      <c r="C51" s="49"/>
      <c r="D51" s="49"/>
      <c r="E51" s="50"/>
      <c r="F51" s="49"/>
      <c r="G51" s="49"/>
      <c r="H51" s="50"/>
      <c r="I51" s="49"/>
      <c r="J51" s="49"/>
      <c r="K51" s="50"/>
      <c r="L51" s="49"/>
      <c r="M51" s="49"/>
      <c r="N51" s="50"/>
      <c r="O51" s="49"/>
      <c r="P51" s="49"/>
      <c r="Q51" s="50"/>
      <c r="R51" s="49"/>
      <c r="S51" s="49"/>
      <c r="T51" s="50"/>
      <c r="U51" s="49"/>
      <c r="V51" s="49"/>
      <c r="W51" s="50"/>
      <c r="X51" s="49"/>
      <c r="Y51" s="49"/>
      <c r="Z51" s="50"/>
      <c r="AA51" s="49"/>
      <c r="AB51" s="49"/>
      <c r="AC51" s="50"/>
      <c r="AD51" s="49"/>
      <c r="AE51" s="49"/>
      <c r="AF51" s="49"/>
      <c r="AG51" s="48"/>
      <c r="AH51" s="49"/>
      <c r="AI51" s="49"/>
    </row>
    <row r="52" spans="2:38" x14ac:dyDescent="0.2">
      <c r="B52" s="36" t="s">
        <v>16</v>
      </c>
      <c r="C52" s="84">
        <v>230</v>
      </c>
      <c r="D52" s="84">
        <v>0</v>
      </c>
      <c r="E52" s="85">
        <v>230</v>
      </c>
      <c r="F52" s="84">
        <v>180</v>
      </c>
      <c r="G52" s="84">
        <v>0</v>
      </c>
      <c r="H52" s="85">
        <v>180</v>
      </c>
      <c r="I52" s="84">
        <v>930</v>
      </c>
      <c r="J52" s="84">
        <v>1040</v>
      </c>
      <c r="K52" s="85">
        <v>1970</v>
      </c>
      <c r="L52" s="84">
        <v>3225</v>
      </c>
      <c r="M52" s="84">
        <v>320</v>
      </c>
      <c r="N52" s="85">
        <v>3540</v>
      </c>
      <c r="O52" s="84">
        <v>2185</v>
      </c>
      <c r="P52" s="84">
        <v>220</v>
      </c>
      <c r="Q52" s="85">
        <v>2405</v>
      </c>
      <c r="R52" s="84">
        <v>29935</v>
      </c>
      <c r="S52" s="84">
        <v>4790</v>
      </c>
      <c r="T52" s="85">
        <v>34725</v>
      </c>
      <c r="U52" s="84">
        <v>285</v>
      </c>
      <c r="V52" s="84">
        <v>165</v>
      </c>
      <c r="W52" s="85">
        <v>455</v>
      </c>
      <c r="X52" s="84">
        <v>4520</v>
      </c>
      <c r="Y52" s="84">
        <v>465</v>
      </c>
      <c r="Z52" s="85">
        <v>4985</v>
      </c>
      <c r="AA52" s="84">
        <v>1855</v>
      </c>
      <c r="AB52" s="84">
        <v>1450</v>
      </c>
      <c r="AC52" s="85">
        <v>3305</v>
      </c>
      <c r="AD52" s="84">
        <v>1095</v>
      </c>
      <c r="AE52" s="84">
        <v>930</v>
      </c>
      <c r="AF52" s="84">
        <v>2025</v>
      </c>
      <c r="AG52" s="97">
        <v>43640</v>
      </c>
      <c r="AH52" s="84">
        <v>9135</v>
      </c>
      <c r="AI52" s="84">
        <v>52770</v>
      </c>
      <c r="AJ52" s="38"/>
      <c r="AK52" s="37"/>
      <c r="AL52" s="38"/>
    </row>
    <row r="53" spans="2:38" x14ac:dyDescent="0.2">
      <c r="B53" s="36" t="s">
        <v>17</v>
      </c>
      <c r="C53" s="84">
        <v>45</v>
      </c>
      <c r="D53" s="84">
        <v>0</v>
      </c>
      <c r="E53" s="85">
        <v>45</v>
      </c>
      <c r="F53" s="84">
        <v>655</v>
      </c>
      <c r="G53" s="84">
        <v>0</v>
      </c>
      <c r="H53" s="85">
        <v>655</v>
      </c>
      <c r="I53" s="84">
        <v>130</v>
      </c>
      <c r="J53" s="84">
        <v>295</v>
      </c>
      <c r="K53" s="85">
        <v>425</v>
      </c>
      <c r="L53" s="84">
        <v>1245</v>
      </c>
      <c r="M53" s="84">
        <v>110</v>
      </c>
      <c r="N53" s="85">
        <v>1355</v>
      </c>
      <c r="O53" s="84">
        <v>3225</v>
      </c>
      <c r="P53" s="84">
        <v>275</v>
      </c>
      <c r="Q53" s="85">
        <v>3500</v>
      </c>
      <c r="R53" s="84">
        <v>15130</v>
      </c>
      <c r="S53" s="84">
        <v>5480</v>
      </c>
      <c r="T53" s="85">
        <v>20610</v>
      </c>
      <c r="U53" s="84">
        <v>515</v>
      </c>
      <c r="V53" s="84">
        <v>225</v>
      </c>
      <c r="W53" s="85">
        <v>735</v>
      </c>
      <c r="X53" s="84">
        <v>3925</v>
      </c>
      <c r="Y53" s="84">
        <v>480</v>
      </c>
      <c r="Z53" s="85">
        <v>4405</v>
      </c>
      <c r="AA53" s="84">
        <v>1910</v>
      </c>
      <c r="AB53" s="84">
        <v>3990</v>
      </c>
      <c r="AC53" s="85">
        <v>5900</v>
      </c>
      <c r="AD53" s="84">
        <v>215</v>
      </c>
      <c r="AE53" s="84">
        <v>360</v>
      </c>
      <c r="AF53" s="84">
        <v>575</v>
      </c>
      <c r="AG53" s="97">
        <v>26420</v>
      </c>
      <c r="AH53" s="84">
        <v>11065</v>
      </c>
      <c r="AI53" s="84">
        <v>37480</v>
      </c>
      <c r="AJ53" s="38"/>
      <c r="AK53" s="38"/>
      <c r="AL53" s="38"/>
    </row>
    <row r="54" spans="2:38" x14ac:dyDescent="0.2">
      <c r="B54" s="36" t="s">
        <v>18</v>
      </c>
      <c r="C54" s="84">
        <v>385</v>
      </c>
      <c r="D54" s="84">
        <v>45</v>
      </c>
      <c r="E54" s="85">
        <v>425</v>
      </c>
      <c r="F54" s="84">
        <v>2995</v>
      </c>
      <c r="G54" s="84">
        <v>15</v>
      </c>
      <c r="H54" s="85">
        <v>3010</v>
      </c>
      <c r="I54" s="84">
        <v>8215</v>
      </c>
      <c r="J54" s="84">
        <v>220</v>
      </c>
      <c r="K54" s="85">
        <v>8430</v>
      </c>
      <c r="L54" s="84">
        <v>11010</v>
      </c>
      <c r="M54" s="84">
        <v>45</v>
      </c>
      <c r="N54" s="85">
        <v>11055</v>
      </c>
      <c r="O54" s="84">
        <v>3065</v>
      </c>
      <c r="P54" s="84">
        <v>565</v>
      </c>
      <c r="Q54" s="85">
        <v>3635</v>
      </c>
      <c r="R54" s="84">
        <v>5210</v>
      </c>
      <c r="S54" s="84">
        <v>1475</v>
      </c>
      <c r="T54" s="85">
        <v>6680</v>
      </c>
      <c r="U54" s="84">
        <v>120</v>
      </c>
      <c r="V54" s="84">
        <v>165</v>
      </c>
      <c r="W54" s="85">
        <v>285</v>
      </c>
      <c r="X54" s="84">
        <v>9465</v>
      </c>
      <c r="Y54" s="84">
        <v>830</v>
      </c>
      <c r="Z54" s="85">
        <v>10290</v>
      </c>
      <c r="AA54" s="84">
        <v>910</v>
      </c>
      <c r="AB54" s="84">
        <v>2060</v>
      </c>
      <c r="AC54" s="85">
        <v>2970</v>
      </c>
      <c r="AD54" s="84">
        <v>580</v>
      </c>
      <c r="AE54" s="84">
        <v>1000</v>
      </c>
      <c r="AF54" s="84">
        <v>1580</v>
      </c>
      <c r="AG54" s="97">
        <v>40835</v>
      </c>
      <c r="AH54" s="84">
        <v>6280</v>
      </c>
      <c r="AI54" s="84">
        <v>47115</v>
      </c>
      <c r="AJ54" s="38"/>
      <c r="AK54" s="38"/>
      <c r="AL54" s="38"/>
    </row>
    <row r="55" spans="2:38" x14ac:dyDescent="0.2">
      <c r="B55" s="36" t="s">
        <v>19</v>
      </c>
      <c r="C55" s="84">
        <v>505</v>
      </c>
      <c r="D55" s="84">
        <v>25</v>
      </c>
      <c r="E55" s="85">
        <v>535</v>
      </c>
      <c r="F55" s="84">
        <v>1635</v>
      </c>
      <c r="G55" s="84">
        <v>10</v>
      </c>
      <c r="H55" s="85">
        <v>1645</v>
      </c>
      <c r="I55" s="84">
        <v>4135</v>
      </c>
      <c r="J55" s="84">
        <v>40</v>
      </c>
      <c r="K55" s="85">
        <v>4175</v>
      </c>
      <c r="L55" s="84">
        <v>10575</v>
      </c>
      <c r="M55" s="84">
        <v>55</v>
      </c>
      <c r="N55" s="85">
        <v>10630</v>
      </c>
      <c r="O55" s="84">
        <v>3250</v>
      </c>
      <c r="P55" s="84">
        <v>265</v>
      </c>
      <c r="Q55" s="85">
        <v>3515</v>
      </c>
      <c r="R55" s="84">
        <v>3485</v>
      </c>
      <c r="S55" s="84">
        <v>600</v>
      </c>
      <c r="T55" s="85">
        <v>4085</v>
      </c>
      <c r="U55" s="84">
        <v>85</v>
      </c>
      <c r="V55" s="84">
        <v>120</v>
      </c>
      <c r="W55" s="85">
        <v>205</v>
      </c>
      <c r="X55" s="84">
        <v>605</v>
      </c>
      <c r="Y55" s="84">
        <v>55</v>
      </c>
      <c r="Z55" s="85">
        <v>665</v>
      </c>
      <c r="AA55" s="84">
        <v>925</v>
      </c>
      <c r="AB55" s="84">
        <v>310</v>
      </c>
      <c r="AC55" s="85">
        <v>1235</v>
      </c>
      <c r="AD55" s="84">
        <v>70</v>
      </c>
      <c r="AE55" s="84">
        <v>100</v>
      </c>
      <c r="AF55" s="84">
        <v>170</v>
      </c>
      <c r="AG55" s="97">
        <v>24765</v>
      </c>
      <c r="AH55" s="84">
        <v>1570</v>
      </c>
      <c r="AI55" s="84">
        <v>26340</v>
      </c>
      <c r="AJ55" s="38"/>
      <c r="AK55" s="38"/>
      <c r="AL55" s="38"/>
    </row>
    <row r="56" spans="2:38" x14ac:dyDescent="0.2">
      <c r="B56" s="36" t="s">
        <v>20</v>
      </c>
      <c r="C56" s="84">
        <v>10</v>
      </c>
      <c r="D56" s="84">
        <v>0</v>
      </c>
      <c r="E56" s="85">
        <v>10</v>
      </c>
      <c r="F56" s="84">
        <v>2190</v>
      </c>
      <c r="G56" s="84">
        <v>215</v>
      </c>
      <c r="H56" s="85">
        <v>2405</v>
      </c>
      <c r="I56" s="84">
        <v>6330</v>
      </c>
      <c r="J56" s="84">
        <v>5</v>
      </c>
      <c r="K56" s="85">
        <v>6335</v>
      </c>
      <c r="L56" s="84">
        <v>1310</v>
      </c>
      <c r="M56" s="84">
        <v>30</v>
      </c>
      <c r="N56" s="85">
        <v>1340</v>
      </c>
      <c r="O56" s="84">
        <v>790</v>
      </c>
      <c r="P56" s="84">
        <v>60</v>
      </c>
      <c r="Q56" s="85">
        <v>850</v>
      </c>
      <c r="R56" s="84">
        <v>4520</v>
      </c>
      <c r="S56" s="84">
        <v>975</v>
      </c>
      <c r="T56" s="85">
        <v>5500</v>
      </c>
      <c r="U56" s="84">
        <v>85</v>
      </c>
      <c r="V56" s="84">
        <v>20</v>
      </c>
      <c r="W56" s="85">
        <v>105</v>
      </c>
      <c r="X56" s="84">
        <v>620</v>
      </c>
      <c r="Y56" s="84">
        <v>65</v>
      </c>
      <c r="Z56" s="85">
        <v>680</v>
      </c>
      <c r="AA56" s="84">
        <v>555</v>
      </c>
      <c r="AB56" s="84">
        <v>435</v>
      </c>
      <c r="AC56" s="85">
        <v>995</v>
      </c>
      <c r="AD56" s="84">
        <v>85</v>
      </c>
      <c r="AE56" s="84">
        <v>110</v>
      </c>
      <c r="AF56" s="84">
        <v>195</v>
      </c>
      <c r="AG56" s="97">
        <v>16065</v>
      </c>
      <c r="AH56" s="84">
        <v>1910</v>
      </c>
      <c r="AI56" s="84">
        <v>17975</v>
      </c>
      <c r="AJ56" s="38"/>
      <c r="AK56" s="38"/>
      <c r="AL56" s="38"/>
    </row>
    <row r="57" spans="2:38" x14ac:dyDescent="0.2">
      <c r="B57" s="36" t="s">
        <v>21</v>
      </c>
      <c r="C57" s="84">
        <v>510</v>
      </c>
      <c r="D57" s="84">
        <v>0</v>
      </c>
      <c r="E57" s="85">
        <v>510</v>
      </c>
      <c r="F57" s="84">
        <v>655</v>
      </c>
      <c r="G57" s="84">
        <v>0</v>
      </c>
      <c r="H57" s="85">
        <v>655</v>
      </c>
      <c r="I57" s="84">
        <v>6845</v>
      </c>
      <c r="J57" s="84">
        <v>95</v>
      </c>
      <c r="K57" s="85">
        <v>6940</v>
      </c>
      <c r="L57" s="84">
        <v>4760</v>
      </c>
      <c r="M57" s="84">
        <v>285</v>
      </c>
      <c r="N57" s="85">
        <v>5045</v>
      </c>
      <c r="O57" s="84">
        <v>4395</v>
      </c>
      <c r="P57" s="84">
        <v>710</v>
      </c>
      <c r="Q57" s="85">
        <v>5105</v>
      </c>
      <c r="R57" s="84">
        <v>29720</v>
      </c>
      <c r="S57" s="84">
        <v>2275</v>
      </c>
      <c r="T57" s="85">
        <v>31995</v>
      </c>
      <c r="U57" s="84">
        <v>1105</v>
      </c>
      <c r="V57" s="84">
        <v>35</v>
      </c>
      <c r="W57" s="85">
        <v>1135</v>
      </c>
      <c r="X57" s="84">
        <v>7420</v>
      </c>
      <c r="Y57" s="84">
        <v>230</v>
      </c>
      <c r="Z57" s="85">
        <v>7650</v>
      </c>
      <c r="AA57" s="84">
        <v>3000</v>
      </c>
      <c r="AB57" s="84">
        <v>775</v>
      </c>
      <c r="AC57" s="85">
        <v>3775</v>
      </c>
      <c r="AD57" s="84">
        <v>1115</v>
      </c>
      <c r="AE57" s="84">
        <v>420</v>
      </c>
      <c r="AF57" s="84">
        <v>1535</v>
      </c>
      <c r="AG57" s="97">
        <v>58225</v>
      </c>
      <c r="AH57" s="84">
        <v>4780</v>
      </c>
      <c r="AI57" s="84">
        <v>63005</v>
      </c>
      <c r="AJ57" s="38"/>
      <c r="AK57" s="38"/>
      <c r="AL57" s="38"/>
    </row>
    <row r="58" spans="2:38" x14ac:dyDescent="0.2">
      <c r="B58" s="36" t="s">
        <v>22</v>
      </c>
      <c r="C58" s="84">
        <v>280</v>
      </c>
      <c r="D58" s="84">
        <v>0</v>
      </c>
      <c r="E58" s="85">
        <v>280</v>
      </c>
      <c r="F58" s="84">
        <v>325</v>
      </c>
      <c r="G58" s="84">
        <v>5</v>
      </c>
      <c r="H58" s="85">
        <v>325</v>
      </c>
      <c r="I58" s="84">
        <v>385</v>
      </c>
      <c r="J58" s="84">
        <v>5</v>
      </c>
      <c r="K58" s="85">
        <v>390</v>
      </c>
      <c r="L58" s="84">
        <v>2915</v>
      </c>
      <c r="M58" s="84">
        <v>5</v>
      </c>
      <c r="N58" s="85">
        <v>2915</v>
      </c>
      <c r="O58" s="84">
        <v>2105</v>
      </c>
      <c r="P58" s="84">
        <v>15</v>
      </c>
      <c r="Q58" s="85">
        <v>2120</v>
      </c>
      <c r="R58" s="84">
        <v>10995</v>
      </c>
      <c r="S58" s="84">
        <v>1050</v>
      </c>
      <c r="T58" s="85">
        <v>12050</v>
      </c>
      <c r="U58" s="84">
        <v>2135</v>
      </c>
      <c r="V58" s="84">
        <v>1405</v>
      </c>
      <c r="W58" s="85">
        <v>3540</v>
      </c>
      <c r="X58" s="84">
        <v>2410</v>
      </c>
      <c r="Y58" s="84">
        <v>140</v>
      </c>
      <c r="Z58" s="85">
        <v>2545</v>
      </c>
      <c r="AA58" s="84">
        <v>2130</v>
      </c>
      <c r="AB58" s="84">
        <v>855</v>
      </c>
      <c r="AC58" s="85">
        <v>2985</v>
      </c>
      <c r="AD58" s="84">
        <v>465</v>
      </c>
      <c r="AE58" s="84">
        <v>350</v>
      </c>
      <c r="AF58" s="84">
        <v>815</v>
      </c>
      <c r="AG58" s="97">
        <v>23650</v>
      </c>
      <c r="AH58" s="84">
        <v>3790</v>
      </c>
      <c r="AI58" s="84">
        <v>27445</v>
      </c>
      <c r="AJ58" s="38"/>
      <c r="AK58" s="38"/>
      <c r="AL58" s="38"/>
    </row>
    <row r="59" spans="2:38" x14ac:dyDescent="0.2">
      <c r="B59" s="36" t="s">
        <v>23</v>
      </c>
      <c r="C59" s="84">
        <v>555</v>
      </c>
      <c r="D59" s="84">
        <v>0</v>
      </c>
      <c r="E59" s="85">
        <v>555</v>
      </c>
      <c r="F59" s="84">
        <v>2945</v>
      </c>
      <c r="G59" s="84">
        <v>5</v>
      </c>
      <c r="H59" s="85">
        <v>2945</v>
      </c>
      <c r="I59" s="84">
        <v>8085</v>
      </c>
      <c r="J59" s="84">
        <v>515</v>
      </c>
      <c r="K59" s="85">
        <v>8605</v>
      </c>
      <c r="L59" s="84">
        <v>15525</v>
      </c>
      <c r="M59" s="84">
        <v>175</v>
      </c>
      <c r="N59" s="85">
        <v>15700</v>
      </c>
      <c r="O59" s="84">
        <v>11790</v>
      </c>
      <c r="P59" s="84">
        <v>420</v>
      </c>
      <c r="Q59" s="85">
        <v>12210</v>
      </c>
      <c r="R59" s="84">
        <v>31125</v>
      </c>
      <c r="S59" s="84">
        <v>7785</v>
      </c>
      <c r="T59" s="85">
        <v>38910</v>
      </c>
      <c r="U59" s="84">
        <v>1770</v>
      </c>
      <c r="V59" s="84">
        <v>420</v>
      </c>
      <c r="W59" s="85">
        <v>2195</v>
      </c>
      <c r="X59" s="84">
        <v>2500</v>
      </c>
      <c r="Y59" s="84">
        <v>730</v>
      </c>
      <c r="Z59" s="85">
        <v>3225</v>
      </c>
      <c r="AA59" s="84">
        <v>4200</v>
      </c>
      <c r="AB59" s="84">
        <v>7830</v>
      </c>
      <c r="AC59" s="85">
        <v>12030</v>
      </c>
      <c r="AD59" s="84">
        <v>335</v>
      </c>
      <c r="AE59" s="84">
        <v>495</v>
      </c>
      <c r="AF59" s="84">
        <v>835</v>
      </c>
      <c r="AG59" s="97">
        <v>76240</v>
      </c>
      <c r="AH59" s="84">
        <v>17985</v>
      </c>
      <c r="AI59" s="84">
        <v>94225</v>
      </c>
      <c r="AJ59" s="38"/>
      <c r="AK59" s="38"/>
      <c r="AL59" s="38"/>
    </row>
    <row r="60" spans="2:38" x14ac:dyDescent="0.2">
      <c r="B60" s="36" t="s">
        <v>24</v>
      </c>
      <c r="C60" s="84">
        <v>15390</v>
      </c>
      <c r="D60" s="84">
        <v>115</v>
      </c>
      <c r="E60" s="85">
        <v>15505</v>
      </c>
      <c r="F60" s="84">
        <v>8900</v>
      </c>
      <c r="G60" s="84">
        <v>245</v>
      </c>
      <c r="H60" s="85">
        <v>9145</v>
      </c>
      <c r="I60" s="84">
        <v>12770</v>
      </c>
      <c r="J60" s="84">
        <v>1715</v>
      </c>
      <c r="K60" s="85">
        <v>14485</v>
      </c>
      <c r="L60" s="84">
        <v>17405</v>
      </c>
      <c r="M60" s="84">
        <v>2510</v>
      </c>
      <c r="N60" s="85">
        <v>19920</v>
      </c>
      <c r="O60" s="84">
        <v>10255</v>
      </c>
      <c r="P60" s="84">
        <v>1375</v>
      </c>
      <c r="Q60" s="85">
        <v>11635</v>
      </c>
      <c r="R60" s="84">
        <v>59025</v>
      </c>
      <c r="S60" s="84">
        <v>8650</v>
      </c>
      <c r="T60" s="85">
        <v>67675</v>
      </c>
      <c r="U60" s="84">
        <v>2195</v>
      </c>
      <c r="V60" s="84">
        <v>225</v>
      </c>
      <c r="W60" s="85">
        <v>2420</v>
      </c>
      <c r="X60" s="84">
        <v>5805</v>
      </c>
      <c r="Y60" s="84">
        <v>280</v>
      </c>
      <c r="Z60" s="85">
        <v>6085</v>
      </c>
      <c r="AA60" s="84">
        <v>4625</v>
      </c>
      <c r="AB60" s="84">
        <v>1930</v>
      </c>
      <c r="AC60" s="85">
        <v>6555</v>
      </c>
      <c r="AD60" s="84">
        <v>1400</v>
      </c>
      <c r="AE60" s="84">
        <v>715</v>
      </c>
      <c r="AF60" s="84">
        <v>2115</v>
      </c>
      <c r="AG60" s="97">
        <v>126175</v>
      </c>
      <c r="AH60" s="84">
        <v>17275</v>
      </c>
      <c r="AI60" s="84">
        <v>143450</v>
      </c>
      <c r="AJ60" s="38"/>
      <c r="AK60" s="38"/>
      <c r="AL60" s="38"/>
    </row>
    <row r="61" spans="2:38" x14ac:dyDescent="0.2">
      <c r="B61" s="36" t="s">
        <v>25</v>
      </c>
      <c r="C61" s="84">
        <v>310</v>
      </c>
      <c r="D61" s="84">
        <v>0</v>
      </c>
      <c r="E61" s="85">
        <v>310</v>
      </c>
      <c r="F61" s="84">
        <v>1305</v>
      </c>
      <c r="G61" s="84">
        <v>5</v>
      </c>
      <c r="H61" s="85">
        <v>1305</v>
      </c>
      <c r="I61" s="84">
        <v>1420</v>
      </c>
      <c r="J61" s="84">
        <v>5</v>
      </c>
      <c r="K61" s="85">
        <v>1425</v>
      </c>
      <c r="L61" s="84">
        <v>2760</v>
      </c>
      <c r="M61" s="84">
        <v>45</v>
      </c>
      <c r="N61" s="85">
        <v>2805</v>
      </c>
      <c r="O61" s="84">
        <v>3500</v>
      </c>
      <c r="P61" s="84">
        <v>115</v>
      </c>
      <c r="Q61" s="85">
        <v>3615</v>
      </c>
      <c r="R61" s="84">
        <v>18440</v>
      </c>
      <c r="S61" s="84">
        <v>3770</v>
      </c>
      <c r="T61" s="85">
        <v>22210</v>
      </c>
      <c r="U61" s="84">
        <v>190</v>
      </c>
      <c r="V61" s="84">
        <v>15</v>
      </c>
      <c r="W61" s="85">
        <v>205</v>
      </c>
      <c r="X61" s="84">
        <v>2485</v>
      </c>
      <c r="Y61" s="84">
        <v>145</v>
      </c>
      <c r="Z61" s="85">
        <v>2630</v>
      </c>
      <c r="AA61" s="84">
        <v>1005</v>
      </c>
      <c r="AB61" s="84">
        <v>410</v>
      </c>
      <c r="AC61" s="85">
        <v>1415</v>
      </c>
      <c r="AD61" s="84">
        <v>330</v>
      </c>
      <c r="AE61" s="84">
        <v>180</v>
      </c>
      <c r="AF61" s="84">
        <v>510</v>
      </c>
      <c r="AG61" s="97">
        <v>31370</v>
      </c>
      <c r="AH61" s="84">
        <v>4655</v>
      </c>
      <c r="AI61" s="84">
        <v>36025</v>
      </c>
      <c r="AJ61" s="38"/>
      <c r="AK61" s="38"/>
      <c r="AL61" s="38"/>
    </row>
    <row r="62" spans="2:38" x14ac:dyDescent="0.2">
      <c r="B62" s="36" t="s">
        <v>26</v>
      </c>
      <c r="C62" s="84">
        <v>375</v>
      </c>
      <c r="D62" s="84">
        <v>0</v>
      </c>
      <c r="E62" s="85">
        <v>375</v>
      </c>
      <c r="F62" s="84">
        <v>2465</v>
      </c>
      <c r="G62" s="84">
        <v>15</v>
      </c>
      <c r="H62" s="85">
        <v>2480</v>
      </c>
      <c r="I62" s="84">
        <v>2600</v>
      </c>
      <c r="J62" s="84">
        <v>40</v>
      </c>
      <c r="K62" s="85">
        <v>2640</v>
      </c>
      <c r="L62" s="84">
        <v>4100</v>
      </c>
      <c r="M62" s="84">
        <v>170</v>
      </c>
      <c r="N62" s="85">
        <v>4270</v>
      </c>
      <c r="O62" s="84">
        <v>960</v>
      </c>
      <c r="P62" s="84">
        <v>205</v>
      </c>
      <c r="Q62" s="85">
        <v>1165</v>
      </c>
      <c r="R62" s="84">
        <v>250</v>
      </c>
      <c r="S62" s="84">
        <v>90</v>
      </c>
      <c r="T62" s="85">
        <v>340</v>
      </c>
      <c r="U62" s="84">
        <v>5</v>
      </c>
      <c r="V62" s="84">
        <v>0</v>
      </c>
      <c r="W62" s="85">
        <v>5</v>
      </c>
      <c r="X62" s="84">
        <v>5</v>
      </c>
      <c r="Y62" s="84">
        <v>25</v>
      </c>
      <c r="Z62" s="85">
        <v>30</v>
      </c>
      <c r="AA62" s="84">
        <v>5</v>
      </c>
      <c r="AB62" s="84">
        <v>90</v>
      </c>
      <c r="AC62" s="85">
        <v>95</v>
      </c>
      <c r="AD62" s="84">
        <v>0</v>
      </c>
      <c r="AE62" s="84">
        <v>0</v>
      </c>
      <c r="AF62" s="84">
        <v>0</v>
      </c>
      <c r="AG62" s="97">
        <v>9825</v>
      </c>
      <c r="AH62" s="84">
        <v>590</v>
      </c>
      <c r="AI62" s="84">
        <v>10415</v>
      </c>
      <c r="AJ62" s="38"/>
      <c r="AK62" s="38"/>
      <c r="AL62" s="38"/>
    </row>
    <row r="63" spans="2:38" x14ac:dyDescent="0.2">
      <c r="B63" s="36" t="s">
        <v>27</v>
      </c>
      <c r="C63" s="84">
        <v>3070</v>
      </c>
      <c r="D63" s="84">
        <v>0</v>
      </c>
      <c r="E63" s="85">
        <v>3070</v>
      </c>
      <c r="F63" s="84">
        <v>5080</v>
      </c>
      <c r="G63" s="84">
        <v>5</v>
      </c>
      <c r="H63" s="85">
        <v>5085</v>
      </c>
      <c r="I63" s="84">
        <v>2445</v>
      </c>
      <c r="J63" s="84">
        <v>20</v>
      </c>
      <c r="K63" s="85">
        <v>2465</v>
      </c>
      <c r="L63" s="84">
        <v>4150</v>
      </c>
      <c r="M63" s="84">
        <v>160</v>
      </c>
      <c r="N63" s="85">
        <v>4310</v>
      </c>
      <c r="O63" s="84">
        <v>295</v>
      </c>
      <c r="P63" s="84">
        <v>95</v>
      </c>
      <c r="Q63" s="85">
        <v>390</v>
      </c>
      <c r="R63" s="84">
        <v>735</v>
      </c>
      <c r="S63" s="84">
        <v>395</v>
      </c>
      <c r="T63" s="85">
        <v>1130</v>
      </c>
      <c r="U63" s="84">
        <v>45</v>
      </c>
      <c r="V63" s="84">
        <v>0</v>
      </c>
      <c r="W63" s="85">
        <v>45</v>
      </c>
      <c r="X63" s="84">
        <v>125</v>
      </c>
      <c r="Y63" s="84">
        <v>55</v>
      </c>
      <c r="Z63" s="85">
        <v>185</v>
      </c>
      <c r="AA63" s="84">
        <v>310</v>
      </c>
      <c r="AB63" s="84">
        <v>615</v>
      </c>
      <c r="AC63" s="85">
        <v>925</v>
      </c>
      <c r="AD63" s="84">
        <v>5</v>
      </c>
      <c r="AE63" s="84">
        <v>0</v>
      </c>
      <c r="AF63" s="84">
        <v>5</v>
      </c>
      <c r="AG63" s="97">
        <v>15270</v>
      </c>
      <c r="AH63" s="84">
        <v>1335</v>
      </c>
      <c r="AI63" s="84">
        <v>16605</v>
      </c>
      <c r="AJ63" s="38"/>
      <c r="AK63" s="38"/>
      <c r="AL63" s="38"/>
    </row>
    <row r="64" spans="2:38" x14ac:dyDescent="0.2">
      <c r="B64" s="52"/>
      <c r="C64" s="53"/>
      <c r="D64" s="54"/>
      <c r="E64" s="55"/>
      <c r="F64" s="53"/>
      <c r="G64" s="54"/>
      <c r="H64" s="55"/>
      <c r="I64" s="53"/>
      <c r="J64" s="54"/>
      <c r="K64" s="55"/>
      <c r="L64" s="53"/>
      <c r="M64" s="54"/>
      <c r="N64" s="55"/>
      <c r="O64" s="53"/>
      <c r="P64" s="54"/>
      <c r="Q64" s="55"/>
      <c r="R64" s="53"/>
      <c r="S64" s="54"/>
      <c r="T64" s="55"/>
      <c r="U64" s="53"/>
      <c r="V64" s="54"/>
      <c r="W64" s="55"/>
      <c r="X64" s="53"/>
      <c r="Y64" s="54"/>
      <c r="Z64" s="55"/>
      <c r="AA64" s="53"/>
      <c r="AB64" s="54"/>
      <c r="AC64" s="55"/>
      <c r="AD64" s="53"/>
      <c r="AE64" s="54"/>
      <c r="AF64" s="54"/>
      <c r="AG64" s="53"/>
      <c r="AH64" s="54"/>
      <c r="AI64" s="54"/>
    </row>
    <row r="67" spans="1:37" x14ac:dyDescent="0.2">
      <c r="A67" s="56"/>
      <c r="B67" s="57" t="s">
        <v>44</v>
      </c>
    </row>
    <row r="68" spans="1:37" s="29" customFormat="1" x14ac:dyDescent="0.2">
      <c r="A68" s="58">
        <v>1</v>
      </c>
      <c r="B68" s="58" t="s">
        <v>67</v>
      </c>
      <c r="AJ68" s="30"/>
      <c r="AK68" s="30"/>
    </row>
    <row r="69" spans="1:37" s="29" customFormat="1" x14ac:dyDescent="0.2">
      <c r="A69" s="58">
        <v>2</v>
      </c>
      <c r="B69" s="58" t="s">
        <v>68</v>
      </c>
      <c r="AJ69" s="30"/>
      <c r="AK69" s="30"/>
    </row>
    <row r="70" spans="1:37" s="29" customFormat="1" x14ac:dyDescent="0.2">
      <c r="A70" s="58">
        <v>3</v>
      </c>
      <c r="B70" s="58" t="s">
        <v>46</v>
      </c>
      <c r="AJ70" s="30"/>
      <c r="AK70" s="30"/>
    </row>
    <row r="71" spans="1:37" s="29" customFormat="1" x14ac:dyDescent="0.2">
      <c r="A71" s="58">
        <v>4</v>
      </c>
      <c r="B71" s="58" t="s">
        <v>69</v>
      </c>
      <c r="AJ71" s="30"/>
      <c r="AK71" s="30"/>
    </row>
    <row r="72" spans="1:37" s="29" customFormat="1" x14ac:dyDescent="0.2">
      <c r="A72" s="58">
        <v>5</v>
      </c>
      <c r="B72" s="118" t="s">
        <v>100</v>
      </c>
      <c r="AJ72" s="30"/>
      <c r="AK72" s="30"/>
    </row>
    <row r="73" spans="1:37" s="29" customFormat="1" x14ac:dyDescent="0.2">
      <c r="A73" s="58">
        <v>6</v>
      </c>
      <c r="B73" s="57" t="s">
        <v>47</v>
      </c>
      <c r="AJ73" s="30"/>
      <c r="AK73" s="30"/>
    </row>
    <row r="74" spans="1:37" s="29" customFormat="1" x14ac:dyDescent="0.2">
      <c r="A74" s="58">
        <v>7</v>
      </c>
      <c r="B74" s="119" t="s">
        <v>101</v>
      </c>
      <c r="AJ74" s="30"/>
      <c r="AK74" s="30"/>
    </row>
    <row r="75" spans="1:37" s="29" customFormat="1" x14ac:dyDescent="0.2">
      <c r="A75" s="58">
        <v>8</v>
      </c>
      <c r="B75" s="120" t="s">
        <v>102</v>
      </c>
      <c r="AJ75" s="30"/>
      <c r="AK75" s="30"/>
    </row>
    <row r="76" spans="1:37" s="29" customFormat="1" x14ac:dyDescent="0.2">
      <c r="A76" s="58">
        <v>9</v>
      </c>
      <c r="B76" s="120" t="s">
        <v>103</v>
      </c>
      <c r="AJ76" s="30"/>
      <c r="AK76" s="30"/>
    </row>
    <row r="77" spans="1:37" s="29" customFormat="1" x14ac:dyDescent="0.2">
      <c r="A77" s="58">
        <v>10</v>
      </c>
      <c r="B77" s="57" t="s">
        <v>49</v>
      </c>
      <c r="AJ77" s="30"/>
      <c r="AK77" s="30"/>
    </row>
    <row r="78" spans="1:37" s="29" customFormat="1" x14ac:dyDescent="0.2">
      <c r="A78" s="58">
        <v>11</v>
      </c>
      <c r="B78" s="57" t="s">
        <v>48</v>
      </c>
      <c r="AJ78" s="30"/>
      <c r="AK78" s="30"/>
    </row>
    <row r="79" spans="1:37" s="29" customFormat="1" x14ac:dyDescent="0.2">
      <c r="A79" s="58">
        <v>12</v>
      </c>
      <c r="B79" s="59" t="s">
        <v>104</v>
      </c>
      <c r="AJ79" s="30"/>
      <c r="AK79" s="30"/>
    </row>
    <row r="80" spans="1:37" s="29" customFormat="1" x14ac:dyDescent="0.2">
      <c r="A80" s="58">
        <v>13</v>
      </c>
      <c r="B80" s="59" t="s">
        <v>89</v>
      </c>
    </row>
    <row r="81" spans="1:37" s="29" customFormat="1" x14ac:dyDescent="0.2">
      <c r="A81" s="58">
        <v>14</v>
      </c>
      <c r="B81" s="59" t="s">
        <v>70</v>
      </c>
      <c r="AJ81" s="30"/>
      <c r="AK81" s="30"/>
    </row>
    <row r="82" spans="1:37" s="29" customFormat="1" x14ac:dyDescent="0.2">
      <c r="A82" s="58">
        <v>15</v>
      </c>
      <c r="B82" s="57" t="s">
        <v>50</v>
      </c>
      <c r="AJ82" s="30"/>
      <c r="AK82" s="30"/>
    </row>
    <row r="83" spans="1:37" s="29" customFormat="1" x14ac:dyDescent="0.2">
      <c r="A83" s="58">
        <v>16</v>
      </c>
      <c r="B83" s="121" t="s">
        <v>105</v>
      </c>
      <c r="AJ83" s="30"/>
      <c r="AK83" s="30"/>
    </row>
  </sheetData>
  <mergeCells count="13">
    <mergeCell ref="B3:B5"/>
    <mergeCell ref="C3:E3"/>
    <mergeCell ref="F3:H3"/>
    <mergeCell ref="I3:K3"/>
    <mergeCell ref="L3:N3"/>
    <mergeCell ref="C5:AI5"/>
    <mergeCell ref="R3:T3"/>
    <mergeCell ref="U3:W3"/>
    <mergeCell ref="X3:Z3"/>
    <mergeCell ref="AA3:AC3"/>
    <mergeCell ref="AD3:AF3"/>
    <mergeCell ref="AG3:AI3"/>
    <mergeCell ref="O3:Q3"/>
  </mergeCells>
  <pageMargins left="0.75" right="0.52" top="0.5" bottom="0.5" header="0.5" footer="0.5"/>
  <pageSetup paperSize="9"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I85"/>
  <sheetViews>
    <sheetView zoomScale="80" zoomScaleNormal="80" workbookViewId="0">
      <pane xSplit="2" ySplit="5" topLeftCell="C6" activePane="bottomRight" state="frozen"/>
      <selection sqref="A1:AB1"/>
      <selection pane="topRight" sqref="A1:AB1"/>
      <selection pane="bottomLeft" sqref="A1:AB1"/>
      <selection pane="bottomRight" activeCell="B2" sqref="B2"/>
    </sheetView>
  </sheetViews>
  <sheetFormatPr defaultColWidth="7.5703125" defaultRowHeight="12.75" x14ac:dyDescent="0.2"/>
  <cols>
    <col min="1" max="1" width="3.28515625" style="30" customWidth="1"/>
    <col min="2" max="2" width="40.7109375" style="60" customWidth="1"/>
    <col min="3" max="35" width="11.7109375" style="29" customWidth="1"/>
    <col min="36" max="16384" width="7.5703125" style="30"/>
  </cols>
  <sheetData>
    <row r="1" spans="2:35" ht="15" customHeight="1" x14ac:dyDescent="0.25">
      <c r="B1" s="27" t="s">
        <v>71</v>
      </c>
      <c r="E1" s="28"/>
      <c r="G1" s="28"/>
      <c r="H1" s="28"/>
    </row>
    <row r="2" spans="2:35" ht="15" customHeight="1" x14ac:dyDescent="0.2"/>
    <row r="3" spans="2:35" ht="15" customHeight="1" x14ac:dyDescent="0.2">
      <c r="B3" s="125" t="s">
        <v>59</v>
      </c>
      <c r="C3" s="128" t="s">
        <v>3</v>
      </c>
      <c r="D3" s="129"/>
      <c r="E3" s="130"/>
      <c r="F3" s="128" t="s">
        <v>30</v>
      </c>
      <c r="G3" s="129"/>
      <c r="H3" s="130"/>
      <c r="I3" s="128" t="s">
        <v>2</v>
      </c>
      <c r="J3" s="129"/>
      <c r="K3" s="130"/>
      <c r="L3" s="128" t="s">
        <v>31</v>
      </c>
      <c r="M3" s="129"/>
      <c r="N3" s="130"/>
      <c r="O3" s="128" t="s">
        <v>32</v>
      </c>
      <c r="P3" s="129"/>
      <c r="Q3" s="130"/>
      <c r="R3" s="128" t="s">
        <v>92</v>
      </c>
      <c r="S3" s="129"/>
      <c r="T3" s="130"/>
      <c r="U3" s="128" t="s">
        <v>93</v>
      </c>
      <c r="V3" s="129"/>
      <c r="W3" s="130"/>
      <c r="X3" s="128" t="s">
        <v>94</v>
      </c>
      <c r="Y3" s="129"/>
      <c r="Z3" s="130"/>
      <c r="AA3" s="128" t="s">
        <v>97</v>
      </c>
      <c r="AB3" s="129"/>
      <c r="AC3" s="130"/>
      <c r="AD3" s="128" t="s">
        <v>96</v>
      </c>
      <c r="AE3" s="129"/>
      <c r="AF3" s="129"/>
      <c r="AG3" s="128" t="s">
        <v>33</v>
      </c>
      <c r="AH3" s="129"/>
      <c r="AI3" s="129"/>
    </row>
    <row r="4" spans="2:35" ht="15" customHeight="1" x14ac:dyDescent="0.2">
      <c r="B4" s="126"/>
      <c r="C4" s="31" t="s">
        <v>1</v>
      </c>
      <c r="D4" s="32" t="s">
        <v>0</v>
      </c>
      <c r="E4" s="33" t="s">
        <v>34</v>
      </c>
      <c r="F4" s="31" t="s">
        <v>1</v>
      </c>
      <c r="G4" s="32" t="s">
        <v>0</v>
      </c>
      <c r="H4" s="33" t="s">
        <v>34</v>
      </c>
      <c r="I4" s="31" t="s">
        <v>1</v>
      </c>
      <c r="J4" s="32" t="s">
        <v>0</v>
      </c>
      <c r="K4" s="33" t="s">
        <v>34</v>
      </c>
      <c r="L4" s="31" t="s">
        <v>1</v>
      </c>
      <c r="M4" s="32" t="s">
        <v>0</v>
      </c>
      <c r="N4" s="33" t="s">
        <v>34</v>
      </c>
      <c r="O4" s="31" t="s">
        <v>1</v>
      </c>
      <c r="P4" s="32" t="s">
        <v>0</v>
      </c>
      <c r="Q4" s="33" t="s">
        <v>34</v>
      </c>
      <c r="R4" s="31" t="s">
        <v>1</v>
      </c>
      <c r="S4" s="32" t="s">
        <v>0</v>
      </c>
      <c r="T4" s="33" t="s">
        <v>34</v>
      </c>
      <c r="U4" s="31" t="s">
        <v>1</v>
      </c>
      <c r="V4" s="32" t="s">
        <v>0</v>
      </c>
      <c r="W4" s="33" t="s">
        <v>34</v>
      </c>
      <c r="X4" s="31" t="s">
        <v>1</v>
      </c>
      <c r="Y4" s="32" t="s">
        <v>0</v>
      </c>
      <c r="Z4" s="33" t="s">
        <v>34</v>
      </c>
      <c r="AA4" s="31" t="s">
        <v>1</v>
      </c>
      <c r="AB4" s="32" t="s">
        <v>0</v>
      </c>
      <c r="AC4" s="33" t="s">
        <v>34</v>
      </c>
      <c r="AD4" s="31" t="s">
        <v>1</v>
      </c>
      <c r="AE4" s="32" t="s">
        <v>0</v>
      </c>
      <c r="AF4" s="34" t="s">
        <v>34</v>
      </c>
      <c r="AG4" s="31" t="s">
        <v>1</v>
      </c>
      <c r="AH4" s="32" t="s">
        <v>0</v>
      </c>
      <c r="AI4" s="34" t="s">
        <v>34</v>
      </c>
    </row>
    <row r="5" spans="2:35" ht="15" customHeight="1" x14ac:dyDescent="0.2">
      <c r="B5" s="127"/>
      <c r="C5" s="134"/>
      <c r="D5" s="135"/>
      <c r="E5" s="135"/>
      <c r="F5" s="135"/>
      <c r="G5" s="135"/>
      <c r="H5" s="135"/>
      <c r="I5" s="135"/>
      <c r="J5" s="135"/>
      <c r="K5" s="135"/>
      <c r="L5" s="135"/>
      <c r="M5" s="135"/>
      <c r="N5" s="135"/>
      <c r="O5" s="135"/>
      <c r="P5" s="135"/>
      <c r="Q5" s="135"/>
      <c r="R5" s="135"/>
      <c r="S5" s="135"/>
      <c r="T5" s="135"/>
      <c r="U5" s="135"/>
      <c r="V5" s="135"/>
      <c r="W5" s="135"/>
      <c r="X5" s="135"/>
      <c r="Y5" s="135"/>
      <c r="Z5" s="135"/>
      <c r="AA5" s="135"/>
      <c r="AB5" s="135"/>
      <c r="AC5" s="135"/>
      <c r="AD5" s="135"/>
      <c r="AE5" s="135"/>
      <c r="AF5" s="135"/>
      <c r="AG5" s="136"/>
      <c r="AH5" s="136"/>
      <c r="AI5" s="136"/>
    </row>
    <row r="6" spans="2:35" x14ac:dyDescent="0.2">
      <c r="B6" s="35">
        <v>2009</v>
      </c>
      <c r="C6" s="82">
        <v>3265</v>
      </c>
      <c r="D6" s="82">
        <v>125</v>
      </c>
      <c r="E6" s="83">
        <v>3390</v>
      </c>
      <c r="F6" s="82">
        <v>21500</v>
      </c>
      <c r="G6" s="82">
        <v>435</v>
      </c>
      <c r="H6" s="83">
        <v>21935</v>
      </c>
      <c r="I6" s="82">
        <v>30230</v>
      </c>
      <c r="J6" s="82">
        <v>1415</v>
      </c>
      <c r="K6" s="83">
        <v>31645</v>
      </c>
      <c r="L6" s="82">
        <v>32630</v>
      </c>
      <c r="M6" s="82">
        <v>2875</v>
      </c>
      <c r="N6" s="83">
        <v>35510</v>
      </c>
      <c r="O6" s="82">
        <v>33100</v>
      </c>
      <c r="P6" s="82">
        <v>6645</v>
      </c>
      <c r="Q6" s="83">
        <v>39740</v>
      </c>
      <c r="R6" s="82">
        <v>99190</v>
      </c>
      <c r="S6" s="82">
        <v>11705</v>
      </c>
      <c r="T6" s="83">
        <v>110895</v>
      </c>
      <c r="U6" s="82">
        <v>6005</v>
      </c>
      <c r="V6" s="82">
        <v>1265</v>
      </c>
      <c r="W6" s="83">
        <v>7270</v>
      </c>
      <c r="X6" s="82">
        <v>14725</v>
      </c>
      <c r="Y6" s="82">
        <v>1855</v>
      </c>
      <c r="Z6" s="83">
        <v>16575</v>
      </c>
      <c r="AA6" s="82">
        <v>6035</v>
      </c>
      <c r="AB6" s="82">
        <v>1315</v>
      </c>
      <c r="AC6" s="83">
        <v>7350</v>
      </c>
      <c r="AD6" s="82">
        <v>3950</v>
      </c>
      <c r="AE6" s="82">
        <v>2045</v>
      </c>
      <c r="AF6" s="82">
        <v>5995</v>
      </c>
      <c r="AG6" s="97">
        <v>250635</v>
      </c>
      <c r="AH6" s="84">
        <v>29675</v>
      </c>
      <c r="AI6" s="84">
        <v>280310</v>
      </c>
    </row>
    <row r="7" spans="2:35" x14ac:dyDescent="0.2">
      <c r="B7" s="35">
        <v>2010</v>
      </c>
      <c r="C7" s="84">
        <v>3755</v>
      </c>
      <c r="D7" s="84">
        <v>150</v>
      </c>
      <c r="E7" s="85">
        <v>3905</v>
      </c>
      <c r="F7" s="84">
        <v>19790</v>
      </c>
      <c r="G7" s="84">
        <v>360</v>
      </c>
      <c r="H7" s="85">
        <v>20150</v>
      </c>
      <c r="I7" s="84">
        <v>29610</v>
      </c>
      <c r="J7" s="84">
        <v>1335</v>
      </c>
      <c r="K7" s="85">
        <v>30945</v>
      </c>
      <c r="L7" s="84">
        <v>31740</v>
      </c>
      <c r="M7" s="84">
        <v>2655</v>
      </c>
      <c r="N7" s="85">
        <v>34395</v>
      </c>
      <c r="O7" s="84">
        <v>33290</v>
      </c>
      <c r="P7" s="84">
        <v>6900</v>
      </c>
      <c r="Q7" s="85">
        <v>40190</v>
      </c>
      <c r="R7" s="84">
        <v>104090</v>
      </c>
      <c r="S7" s="84">
        <v>12235</v>
      </c>
      <c r="T7" s="85">
        <v>116330</v>
      </c>
      <c r="U7" s="84">
        <v>6310</v>
      </c>
      <c r="V7" s="84">
        <v>1270</v>
      </c>
      <c r="W7" s="85">
        <v>7580</v>
      </c>
      <c r="X7" s="84">
        <v>15620</v>
      </c>
      <c r="Y7" s="84">
        <v>2030</v>
      </c>
      <c r="Z7" s="85">
        <v>17650</v>
      </c>
      <c r="AA7" s="84">
        <v>6390</v>
      </c>
      <c r="AB7" s="84">
        <v>1385</v>
      </c>
      <c r="AC7" s="85">
        <v>7775</v>
      </c>
      <c r="AD7" s="84">
        <v>3920</v>
      </c>
      <c r="AE7" s="84">
        <v>2315</v>
      </c>
      <c r="AF7" s="84">
        <v>6235</v>
      </c>
      <c r="AG7" s="97">
        <v>254515</v>
      </c>
      <c r="AH7" s="84">
        <v>30640</v>
      </c>
      <c r="AI7" s="84">
        <v>285155</v>
      </c>
    </row>
    <row r="8" spans="2:35" x14ac:dyDescent="0.2">
      <c r="B8" s="35">
        <v>2011</v>
      </c>
      <c r="C8" s="84">
        <v>3880</v>
      </c>
      <c r="D8" s="84">
        <v>210</v>
      </c>
      <c r="E8" s="85">
        <v>4090</v>
      </c>
      <c r="F8" s="84">
        <v>19250</v>
      </c>
      <c r="G8" s="84">
        <v>425</v>
      </c>
      <c r="H8" s="85">
        <v>19675</v>
      </c>
      <c r="I8" s="84">
        <v>26730</v>
      </c>
      <c r="J8" s="84">
        <v>1305</v>
      </c>
      <c r="K8" s="85">
        <v>28040</v>
      </c>
      <c r="L8" s="84">
        <v>29735</v>
      </c>
      <c r="M8" s="84">
        <v>2475</v>
      </c>
      <c r="N8" s="85">
        <v>32210</v>
      </c>
      <c r="O8" s="84">
        <v>29920</v>
      </c>
      <c r="P8" s="84">
        <v>7995</v>
      </c>
      <c r="Q8" s="85">
        <v>37910</v>
      </c>
      <c r="R8" s="84">
        <v>105285</v>
      </c>
      <c r="S8" s="84">
        <v>12705</v>
      </c>
      <c r="T8" s="85">
        <v>117990</v>
      </c>
      <c r="U8" s="84">
        <v>5475</v>
      </c>
      <c r="V8" s="84">
        <v>1280</v>
      </c>
      <c r="W8" s="85">
        <v>6755</v>
      </c>
      <c r="X8" s="84">
        <v>14910</v>
      </c>
      <c r="Y8" s="84">
        <v>2030</v>
      </c>
      <c r="Z8" s="85">
        <v>16940</v>
      </c>
      <c r="AA8" s="84">
        <v>6535</v>
      </c>
      <c r="AB8" s="84">
        <v>1350</v>
      </c>
      <c r="AC8" s="85">
        <v>7885</v>
      </c>
      <c r="AD8" s="84">
        <v>3870</v>
      </c>
      <c r="AE8" s="84">
        <v>2600</v>
      </c>
      <c r="AF8" s="84">
        <v>6470</v>
      </c>
      <c r="AG8" s="97">
        <v>245595</v>
      </c>
      <c r="AH8" s="84">
        <v>32380</v>
      </c>
      <c r="AI8" s="84">
        <v>277975</v>
      </c>
    </row>
    <row r="9" spans="2:35" x14ac:dyDescent="0.2">
      <c r="B9" s="35">
        <v>2012</v>
      </c>
      <c r="C9" s="84">
        <v>3810</v>
      </c>
      <c r="D9" s="84">
        <v>205</v>
      </c>
      <c r="E9" s="85">
        <v>4015</v>
      </c>
      <c r="F9" s="84">
        <v>18355</v>
      </c>
      <c r="G9" s="84">
        <v>345</v>
      </c>
      <c r="H9" s="85">
        <v>18700</v>
      </c>
      <c r="I9" s="84">
        <v>26875</v>
      </c>
      <c r="J9" s="84">
        <v>1155</v>
      </c>
      <c r="K9" s="85">
        <v>28030</v>
      </c>
      <c r="L9" s="84">
        <v>30000</v>
      </c>
      <c r="M9" s="84">
        <v>2295</v>
      </c>
      <c r="N9" s="85">
        <v>32295</v>
      </c>
      <c r="O9" s="84">
        <v>28440</v>
      </c>
      <c r="P9" s="84">
        <v>7755</v>
      </c>
      <c r="Q9" s="85">
        <v>36195</v>
      </c>
      <c r="R9" s="84">
        <v>107840</v>
      </c>
      <c r="S9" s="84">
        <v>13120</v>
      </c>
      <c r="T9" s="85">
        <v>120960</v>
      </c>
      <c r="U9" s="84">
        <v>5255</v>
      </c>
      <c r="V9" s="84">
        <v>1350</v>
      </c>
      <c r="W9" s="85">
        <v>6605</v>
      </c>
      <c r="X9" s="84">
        <v>14755</v>
      </c>
      <c r="Y9" s="84">
        <v>1995</v>
      </c>
      <c r="Z9" s="85">
        <v>16750</v>
      </c>
      <c r="AA9" s="84">
        <v>6605</v>
      </c>
      <c r="AB9" s="84">
        <v>1680</v>
      </c>
      <c r="AC9" s="85">
        <v>8285</v>
      </c>
      <c r="AD9" s="84">
        <v>3780</v>
      </c>
      <c r="AE9" s="84">
        <v>2775</v>
      </c>
      <c r="AF9" s="84">
        <v>6555</v>
      </c>
      <c r="AG9" s="97">
        <v>245710</v>
      </c>
      <c r="AH9" s="84">
        <v>32680</v>
      </c>
      <c r="AI9" s="84">
        <v>278390</v>
      </c>
    </row>
    <row r="10" spans="2:35" x14ac:dyDescent="0.2">
      <c r="B10" s="35">
        <v>2013</v>
      </c>
      <c r="C10" s="84">
        <v>5850</v>
      </c>
      <c r="D10" s="84">
        <v>130</v>
      </c>
      <c r="E10" s="85">
        <v>5980</v>
      </c>
      <c r="F10" s="84">
        <v>19275</v>
      </c>
      <c r="G10" s="84">
        <v>370</v>
      </c>
      <c r="H10" s="85">
        <v>19645</v>
      </c>
      <c r="I10" s="84">
        <v>27230</v>
      </c>
      <c r="J10" s="84">
        <v>1180</v>
      </c>
      <c r="K10" s="85">
        <v>28410</v>
      </c>
      <c r="L10" s="84">
        <v>28875</v>
      </c>
      <c r="M10" s="84">
        <v>2295</v>
      </c>
      <c r="N10" s="85">
        <v>31165</v>
      </c>
      <c r="O10" s="84">
        <v>26840</v>
      </c>
      <c r="P10" s="84">
        <v>7285</v>
      </c>
      <c r="Q10" s="85">
        <v>34120</v>
      </c>
      <c r="R10" s="84">
        <v>106620</v>
      </c>
      <c r="S10" s="84">
        <v>13180</v>
      </c>
      <c r="T10" s="85">
        <v>119800</v>
      </c>
      <c r="U10" s="84">
        <v>4795</v>
      </c>
      <c r="V10" s="84">
        <v>1530</v>
      </c>
      <c r="W10" s="85">
        <v>6325</v>
      </c>
      <c r="X10" s="84">
        <v>15050</v>
      </c>
      <c r="Y10" s="84">
        <v>2160</v>
      </c>
      <c r="Z10" s="85">
        <v>17215</v>
      </c>
      <c r="AA10" s="84">
        <v>6565</v>
      </c>
      <c r="AB10" s="84">
        <v>2005</v>
      </c>
      <c r="AC10" s="85">
        <v>8570</v>
      </c>
      <c r="AD10" s="84">
        <v>3715</v>
      </c>
      <c r="AE10" s="84">
        <v>2955</v>
      </c>
      <c r="AF10" s="84">
        <v>6670</v>
      </c>
      <c r="AG10" s="97">
        <v>244820</v>
      </c>
      <c r="AH10" s="84">
        <v>33075</v>
      </c>
      <c r="AI10" s="84">
        <v>277895</v>
      </c>
    </row>
    <row r="11" spans="2:35" x14ac:dyDescent="0.2">
      <c r="B11" s="35">
        <v>2014</v>
      </c>
      <c r="C11" s="84">
        <v>5730</v>
      </c>
      <c r="D11" s="84">
        <v>150</v>
      </c>
      <c r="E11" s="85">
        <v>5880</v>
      </c>
      <c r="F11" s="84">
        <v>16745</v>
      </c>
      <c r="G11" s="84">
        <v>445</v>
      </c>
      <c r="H11" s="85">
        <v>17195</v>
      </c>
      <c r="I11" s="84">
        <v>27755</v>
      </c>
      <c r="J11" s="84">
        <v>1430</v>
      </c>
      <c r="K11" s="85">
        <v>29180</v>
      </c>
      <c r="L11" s="84">
        <v>27690</v>
      </c>
      <c r="M11" s="84">
        <v>2265</v>
      </c>
      <c r="N11" s="85">
        <v>29955</v>
      </c>
      <c r="O11" s="84">
        <v>25745</v>
      </c>
      <c r="P11" s="84">
        <v>9110</v>
      </c>
      <c r="Q11" s="85">
        <v>34855</v>
      </c>
      <c r="R11" s="84">
        <v>105640</v>
      </c>
      <c r="S11" s="84">
        <v>13255</v>
      </c>
      <c r="T11" s="85">
        <v>118895</v>
      </c>
      <c r="U11" s="84">
        <v>4465</v>
      </c>
      <c r="V11" s="84">
        <v>1950</v>
      </c>
      <c r="W11" s="85">
        <v>6410</v>
      </c>
      <c r="X11" s="84">
        <v>15225</v>
      </c>
      <c r="Y11" s="84">
        <v>2330</v>
      </c>
      <c r="Z11" s="85">
        <v>17555</v>
      </c>
      <c r="AA11" s="84">
        <v>7050</v>
      </c>
      <c r="AB11" s="84">
        <v>2440</v>
      </c>
      <c r="AC11" s="85">
        <v>9490</v>
      </c>
      <c r="AD11" s="84">
        <v>3705</v>
      </c>
      <c r="AE11" s="84">
        <v>3165</v>
      </c>
      <c r="AF11" s="84">
        <v>6870</v>
      </c>
      <c r="AG11" s="97">
        <v>239740</v>
      </c>
      <c r="AH11" s="84">
        <v>36540</v>
      </c>
      <c r="AI11" s="84">
        <v>276280</v>
      </c>
    </row>
    <row r="12" spans="2:35" x14ac:dyDescent="0.2">
      <c r="B12" s="35">
        <v>2015</v>
      </c>
      <c r="C12" s="84">
        <v>5015</v>
      </c>
      <c r="D12" s="84">
        <v>90</v>
      </c>
      <c r="E12" s="85">
        <v>5105</v>
      </c>
      <c r="F12" s="84">
        <v>15785</v>
      </c>
      <c r="G12" s="84">
        <v>470</v>
      </c>
      <c r="H12" s="85">
        <v>16255</v>
      </c>
      <c r="I12" s="84">
        <v>25890</v>
      </c>
      <c r="J12" s="84">
        <v>1370</v>
      </c>
      <c r="K12" s="85">
        <v>27260</v>
      </c>
      <c r="L12" s="84">
        <v>27565</v>
      </c>
      <c r="M12" s="84">
        <v>2845</v>
      </c>
      <c r="N12" s="85">
        <v>30410</v>
      </c>
      <c r="O12" s="84">
        <v>24345</v>
      </c>
      <c r="P12" s="84">
        <v>11880</v>
      </c>
      <c r="Q12" s="85">
        <v>36225</v>
      </c>
      <c r="R12" s="84">
        <v>103745</v>
      </c>
      <c r="S12" s="84">
        <v>13605</v>
      </c>
      <c r="T12" s="85">
        <v>117350</v>
      </c>
      <c r="U12" s="84">
        <v>4265</v>
      </c>
      <c r="V12" s="84">
        <v>3010</v>
      </c>
      <c r="W12" s="85">
        <v>7275</v>
      </c>
      <c r="X12" s="84">
        <v>15630</v>
      </c>
      <c r="Y12" s="84">
        <v>3270</v>
      </c>
      <c r="Z12" s="85">
        <v>18900</v>
      </c>
      <c r="AA12" s="84">
        <v>7550</v>
      </c>
      <c r="AB12" s="84">
        <v>2855</v>
      </c>
      <c r="AC12" s="85">
        <v>10405</v>
      </c>
      <c r="AD12" s="84">
        <v>3700</v>
      </c>
      <c r="AE12" s="84">
        <v>3350</v>
      </c>
      <c r="AF12" s="84">
        <v>7050</v>
      </c>
      <c r="AG12" s="97">
        <v>233485</v>
      </c>
      <c r="AH12" s="84">
        <v>42750</v>
      </c>
      <c r="AI12" s="84">
        <v>276235</v>
      </c>
    </row>
    <row r="13" spans="2:35" x14ac:dyDescent="0.2">
      <c r="B13" s="35">
        <v>2016</v>
      </c>
      <c r="C13" s="84">
        <v>4285</v>
      </c>
      <c r="D13" s="84">
        <v>130</v>
      </c>
      <c r="E13" s="85">
        <v>4415</v>
      </c>
      <c r="F13" s="84">
        <v>14855</v>
      </c>
      <c r="G13" s="84">
        <v>430</v>
      </c>
      <c r="H13" s="85">
        <v>15285</v>
      </c>
      <c r="I13" s="84">
        <v>24190</v>
      </c>
      <c r="J13" s="84">
        <v>1115</v>
      </c>
      <c r="K13" s="85">
        <v>25305</v>
      </c>
      <c r="L13" s="84">
        <v>28505</v>
      </c>
      <c r="M13" s="84">
        <v>2690</v>
      </c>
      <c r="N13" s="85">
        <v>31195</v>
      </c>
      <c r="O13" s="84">
        <v>23935</v>
      </c>
      <c r="P13" s="84">
        <v>11935</v>
      </c>
      <c r="Q13" s="85">
        <v>35870</v>
      </c>
      <c r="R13" s="84">
        <v>103045</v>
      </c>
      <c r="S13" s="84">
        <v>13870</v>
      </c>
      <c r="T13" s="85">
        <v>116915</v>
      </c>
      <c r="U13" s="84">
        <v>4080</v>
      </c>
      <c r="V13" s="84">
        <v>3500</v>
      </c>
      <c r="W13" s="85">
        <v>7585</v>
      </c>
      <c r="X13" s="84">
        <v>16420</v>
      </c>
      <c r="Y13" s="84">
        <v>3590</v>
      </c>
      <c r="Z13" s="85">
        <v>20010</v>
      </c>
      <c r="AA13" s="84">
        <v>7745</v>
      </c>
      <c r="AB13" s="84">
        <v>3130</v>
      </c>
      <c r="AC13" s="85">
        <v>10880</v>
      </c>
      <c r="AD13" s="84">
        <v>3730</v>
      </c>
      <c r="AE13" s="84">
        <v>3615</v>
      </c>
      <c r="AF13" s="84">
        <v>7350</v>
      </c>
      <c r="AG13" s="97">
        <v>230795</v>
      </c>
      <c r="AH13" s="84">
        <v>44010</v>
      </c>
      <c r="AI13" s="84">
        <v>274805</v>
      </c>
    </row>
    <row r="14" spans="2:35" x14ac:dyDescent="0.2">
      <c r="B14" s="35">
        <v>2017</v>
      </c>
      <c r="C14" s="84">
        <v>5345</v>
      </c>
      <c r="D14" s="84">
        <v>210</v>
      </c>
      <c r="E14" s="85">
        <v>5555</v>
      </c>
      <c r="F14" s="84">
        <v>11540</v>
      </c>
      <c r="G14" s="84">
        <v>455</v>
      </c>
      <c r="H14" s="85">
        <v>11995</v>
      </c>
      <c r="I14" s="84">
        <v>24505</v>
      </c>
      <c r="J14" s="84">
        <v>1195</v>
      </c>
      <c r="K14" s="85">
        <v>25705</v>
      </c>
      <c r="L14" s="84">
        <v>25545</v>
      </c>
      <c r="M14" s="84">
        <v>2535</v>
      </c>
      <c r="N14" s="85">
        <v>28080</v>
      </c>
      <c r="O14" s="84">
        <v>22800</v>
      </c>
      <c r="P14" s="84">
        <v>9715</v>
      </c>
      <c r="Q14" s="85">
        <v>32515</v>
      </c>
      <c r="R14" s="84">
        <v>101365</v>
      </c>
      <c r="S14" s="84">
        <v>14260</v>
      </c>
      <c r="T14" s="85">
        <v>115625</v>
      </c>
      <c r="U14" s="84">
        <v>3965</v>
      </c>
      <c r="V14" s="84">
        <v>3685</v>
      </c>
      <c r="W14" s="85">
        <v>7650</v>
      </c>
      <c r="X14" s="84">
        <v>16595</v>
      </c>
      <c r="Y14" s="84">
        <v>3695</v>
      </c>
      <c r="Z14" s="85">
        <v>20295</v>
      </c>
      <c r="AA14" s="84">
        <v>7895</v>
      </c>
      <c r="AB14" s="84">
        <v>3555</v>
      </c>
      <c r="AC14" s="85">
        <v>11450</v>
      </c>
      <c r="AD14" s="84">
        <v>3755</v>
      </c>
      <c r="AE14" s="84">
        <v>3820</v>
      </c>
      <c r="AF14" s="84">
        <v>7575</v>
      </c>
      <c r="AG14" s="97">
        <v>223310</v>
      </c>
      <c r="AH14" s="84">
        <v>43130</v>
      </c>
      <c r="AI14" s="84">
        <v>266440</v>
      </c>
    </row>
    <row r="15" spans="2:35" x14ac:dyDescent="0.2">
      <c r="B15" s="35">
        <v>2018</v>
      </c>
      <c r="C15" s="84">
        <v>5595</v>
      </c>
      <c r="D15" s="84">
        <v>350</v>
      </c>
      <c r="E15" s="85">
        <v>5945</v>
      </c>
      <c r="F15" s="84">
        <v>10060</v>
      </c>
      <c r="G15" s="84">
        <v>380</v>
      </c>
      <c r="H15" s="85">
        <v>10440</v>
      </c>
      <c r="I15" s="84">
        <v>24325</v>
      </c>
      <c r="J15" s="84">
        <v>1205</v>
      </c>
      <c r="K15" s="85">
        <v>25530</v>
      </c>
      <c r="L15" s="84">
        <v>23135</v>
      </c>
      <c r="M15" s="84">
        <v>2535</v>
      </c>
      <c r="N15" s="85">
        <v>25670</v>
      </c>
      <c r="O15" s="84">
        <v>23150</v>
      </c>
      <c r="P15" s="84">
        <v>7015</v>
      </c>
      <c r="Q15" s="85">
        <v>30165</v>
      </c>
      <c r="R15" s="84">
        <v>101000</v>
      </c>
      <c r="S15" s="84">
        <v>14820</v>
      </c>
      <c r="T15" s="85">
        <v>115820</v>
      </c>
      <c r="U15" s="84">
        <v>4195</v>
      </c>
      <c r="V15" s="84">
        <v>4005</v>
      </c>
      <c r="W15" s="85">
        <v>8200</v>
      </c>
      <c r="X15" s="84">
        <v>17235</v>
      </c>
      <c r="Y15" s="84">
        <v>3920</v>
      </c>
      <c r="Z15" s="85">
        <v>21155</v>
      </c>
      <c r="AA15" s="84">
        <v>8115</v>
      </c>
      <c r="AB15" s="84">
        <v>4425</v>
      </c>
      <c r="AC15" s="85">
        <v>12540</v>
      </c>
      <c r="AD15" s="84">
        <v>3760</v>
      </c>
      <c r="AE15" s="84">
        <v>3985</v>
      </c>
      <c r="AF15" s="84">
        <v>7745</v>
      </c>
      <c r="AG15" s="97">
        <v>220565</v>
      </c>
      <c r="AH15" s="84">
        <v>42645</v>
      </c>
      <c r="AI15" s="84">
        <v>263210</v>
      </c>
    </row>
    <row r="16" spans="2:35" x14ac:dyDescent="0.2">
      <c r="B16" s="35">
        <v>2019</v>
      </c>
      <c r="C16" s="84">
        <v>5030</v>
      </c>
      <c r="D16" s="84">
        <v>120</v>
      </c>
      <c r="E16" s="85">
        <v>5150</v>
      </c>
      <c r="F16" s="84">
        <v>8905</v>
      </c>
      <c r="G16" s="84">
        <v>360</v>
      </c>
      <c r="H16" s="85">
        <v>9265</v>
      </c>
      <c r="I16" s="84">
        <v>23115</v>
      </c>
      <c r="J16" s="84">
        <v>1085</v>
      </c>
      <c r="K16" s="85">
        <v>24200</v>
      </c>
      <c r="L16" s="84">
        <v>22475</v>
      </c>
      <c r="M16" s="84">
        <v>2410</v>
      </c>
      <c r="N16" s="85">
        <v>24885</v>
      </c>
      <c r="O16" s="84">
        <v>21960</v>
      </c>
      <c r="P16" s="84">
        <v>5580</v>
      </c>
      <c r="Q16" s="85">
        <v>27540</v>
      </c>
      <c r="R16" s="84">
        <v>100875</v>
      </c>
      <c r="S16" s="84">
        <v>16125</v>
      </c>
      <c r="T16" s="85">
        <v>117005</v>
      </c>
      <c r="U16" s="84">
        <v>4160</v>
      </c>
      <c r="V16" s="84">
        <v>3665</v>
      </c>
      <c r="W16" s="85">
        <v>7825</v>
      </c>
      <c r="X16" s="84">
        <v>17040</v>
      </c>
      <c r="Y16" s="84">
        <v>4130</v>
      </c>
      <c r="Z16" s="85">
        <v>21170</v>
      </c>
      <c r="AA16" s="84">
        <v>8345</v>
      </c>
      <c r="AB16" s="84">
        <v>5535</v>
      </c>
      <c r="AC16" s="85">
        <v>13880</v>
      </c>
      <c r="AD16" s="84">
        <v>3760</v>
      </c>
      <c r="AE16" s="84">
        <v>4110</v>
      </c>
      <c r="AF16" s="84">
        <v>7875</v>
      </c>
      <c r="AG16" s="97">
        <v>215670</v>
      </c>
      <c r="AH16" s="84">
        <v>43120</v>
      </c>
      <c r="AI16" s="84">
        <v>258790</v>
      </c>
    </row>
    <row r="17" spans="2:35" x14ac:dyDescent="0.2">
      <c r="B17" s="35">
        <v>2020</v>
      </c>
      <c r="C17" s="84">
        <v>3970</v>
      </c>
      <c r="D17" s="84">
        <v>50</v>
      </c>
      <c r="E17" s="85">
        <v>4020</v>
      </c>
      <c r="F17" s="84">
        <v>7275</v>
      </c>
      <c r="G17" s="84">
        <v>130</v>
      </c>
      <c r="H17" s="85">
        <v>7405</v>
      </c>
      <c r="I17" s="84">
        <v>21740</v>
      </c>
      <c r="J17" s="84">
        <v>800</v>
      </c>
      <c r="K17" s="85">
        <v>22540</v>
      </c>
      <c r="L17" s="84">
        <v>22395</v>
      </c>
      <c r="M17" s="84">
        <v>1720</v>
      </c>
      <c r="N17" s="85">
        <v>24115</v>
      </c>
      <c r="O17" s="84">
        <v>21475</v>
      </c>
      <c r="P17" s="84">
        <v>4315</v>
      </c>
      <c r="Q17" s="85">
        <v>25785</v>
      </c>
      <c r="R17" s="84">
        <v>101730</v>
      </c>
      <c r="S17" s="84">
        <v>14345</v>
      </c>
      <c r="T17" s="85">
        <v>116075</v>
      </c>
      <c r="U17" s="84">
        <v>4505</v>
      </c>
      <c r="V17" s="84">
        <v>3765</v>
      </c>
      <c r="W17" s="85">
        <v>8275</v>
      </c>
      <c r="X17" s="84">
        <v>17380</v>
      </c>
      <c r="Y17" s="84">
        <v>3245</v>
      </c>
      <c r="Z17" s="85">
        <v>20620</v>
      </c>
      <c r="AA17" s="84">
        <v>8730</v>
      </c>
      <c r="AB17" s="84">
        <v>5700</v>
      </c>
      <c r="AC17" s="85">
        <v>14430</v>
      </c>
      <c r="AD17" s="84">
        <v>3650</v>
      </c>
      <c r="AE17" s="84">
        <v>3945</v>
      </c>
      <c r="AF17" s="84">
        <v>7590</v>
      </c>
      <c r="AG17" s="97">
        <v>212845</v>
      </c>
      <c r="AH17" s="84">
        <v>38010</v>
      </c>
      <c r="AI17" s="84">
        <v>250860</v>
      </c>
    </row>
    <row r="18" spans="2:35" x14ac:dyDescent="0.2">
      <c r="B18" s="35">
        <v>2021</v>
      </c>
      <c r="C18" s="84">
        <v>5195</v>
      </c>
      <c r="D18" s="84">
        <v>15</v>
      </c>
      <c r="E18" s="85">
        <v>5210</v>
      </c>
      <c r="F18" s="84">
        <v>8370</v>
      </c>
      <c r="G18" s="84">
        <v>45</v>
      </c>
      <c r="H18" s="85">
        <v>8415</v>
      </c>
      <c r="I18" s="84">
        <v>24980</v>
      </c>
      <c r="J18" s="84">
        <v>550</v>
      </c>
      <c r="K18" s="85">
        <v>25530</v>
      </c>
      <c r="L18" s="84">
        <v>24410</v>
      </c>
      <c r="M18" s="84">
        <v>1030</v>
      </c>
      <c r="N18" s="85">
        <v>25440</v>
      </c>
      <c r="O18" s="84">
        <v>25750</v>
      </c>
      <c r="P18" s="84">
        <v>2895</v>
      </c>
      <c r="Q18" s="85">
        <v>28645</v>
      </c>
      <c r="R18" s="84">
        <v>106230</v>
      </c>
      <c r="S18" s="84">
        <v>13350</v>
      </c>
      <c r="T18" s="85">
        <v>119580</v>
      </c>
      <c r="U18" s="84">
        <v>5130</v>
      </c>
      <c r="V18" s="84">
        <v>1260</v>
      </c>
      <c r="W18" s="85">
        <v>6390</v>
      </c>
      <c r="X18" s="84">
        <v>18875</v>
      </c>
      <c r="Y18" s="84">
        <v>1805</v>
      </c>
      <c r="Z18" s="85">
        <v>20680</v>
      </c>
      <c r="AA18" s="84">
        <v>10645</v>
      </c>
      <c r="AB18" s="84">
        <v>3590</v>
      </c>
      <c r="AC18" s="85">
        <v>14235</v>
      </c>
      <c r="AD18" s="84">
        <v>3930</v>
      </c>
      <c r="AE18" s="84">
        <v>3705</v>
      </c>
      <c r="AF18" s="84">
        <v>7635</v>
      </c>
      <c r="AG18" s="97">
        <v>233510</v>
      </c>
      <c r="AH18" s="84">
        <v>28250</v>
      </c>
      <c r="AI18" s="84">
        <v>261760</v>
      </c>
    </row>
    <row r="19" spans="2:35" x14ac:dyDescent="0.2">
      <c r="B19" s="35">
        <v>2022</v>
      </c>
      <c r="C19" s="84">
        <v>4645</v>
      </c>
      <c r="D19" s="84">
        <v>20</v>
      </c>
      <c r="E19" s="85">
        <v>4665</v>
      </c>
      <c r="F19" s="84">
        <v>6885</v>
      </c>
      <c r="G19" s="84">
        <v>60</v>
      </c>
      <c r="H19" s="85">
        <v>6940</v>
      </c>
      <c r="I19" s="84">
        <v>20940</v>
      </c>
      <c r="J19" s="84">
        <v>535</v>
      </c>
      <c r="K19" s="85">
        <v>21475</v>
      </c>
      <c r="L19" s="84">
        <v>22240</v>
      </c>
      <c r="M19" s="84">
        <v>680</v>
      </c>
      <c r="N19" s="85">
        <v>22920</v>
      </c>
      <c r="O19" s="84">
        <v>25030</v>
      </c>
      <c r="P19" s="84">
        <v>1285</v>
      </c>
      <c r="Q19" s="85">
        <v>26315</v>
      </c>
      <c r="R19" s="84">
        <v>102060</v>
      </c>
      <c r="S19" s="84">
        <v>12380</v>
      </c>
      <c r="T19" s="85">
        <v>114435</v>
      </c>
      <c r="U19" s="84">
        <v>4060</v>
      </c>
      <c r="V19" s="84">
        <v>730</v>
      </c>
      <c r="W19" s="85">
        <v>4790</v>
      </c>
      <c r="X19" s="84">
        <v>18280</v>
      </c>
      <c r="Y19" s="84">
        <v>1440</v>
      </c>
      <c r="Z19" s="85">
        <v>19720</v>
      </c>
      <c r="AA19" s="84">
        <v>10175</v>
      </c>
      <c r="AB19" s="84">
        <v>2805</v>
      </c>
      <c r="AC19" s="85">
        <v>12985</v>
      </c>
      <c r="AD19" s="84">
        <v>4125</v>
      </c>
      <c r="AE19" s="84">
        <v>3325</v>
      </c>
      <c r="AF19" s="84">
        <v>7450</v>
      </c>
      <c r="AG19" s="97">
        <v>218445</v>
      </c>
      <c r="AH19" s="84">
        <v>23255</v>
      </c>
      <c r="AI19" s="84">
        <v>241695</v>
      </c>
    </row>
    <row r="20" spans="2:35" x14ac:dyDescent="0.2">
      <c r="B20" s="35">
        <v>2023</v>
      </c>
      <c r="C20" s="84">
        <v>6595</v>
      </c>
      <c r="D20" s="84">
        <v>45</v>
      </c>
      <c r="E20" s="85">
        <v>6635</v>
      </c>
      <c r="F20" s="84">
        <v>7555</v>
      </c>
      <c r="G20" s="84">
        <v>180</v>
      </c>
      <c r="H20" s="85">
        <v>7735</v>
      </c>
      <c r="I20" s="84">
        <v>18960</v>
      </c>
      <c r="J20" s="84">
        <v>875</v>
      </c>
      <c r="K20" s="85">
        <v>19835</v>
      </c>
      <c r="L20" s="84">
        <v>25075</v>
      </c>
      <c r="M20" s="84">
        <v>1030</v>
      </c>
      <c r="N20" s="85">
        <v>26105</v>
      </c>
      <c r="O20" s="84">
        <v>21245</v>
      </c>
      <c r="P20" s="84">
        <v>1845</v>
      </c>
      <c r="Q20" s="85">
        <v>23090</v>
      </c>
      <c r="R20" s="84">
        <v>98470</v>
      </c>
      <c r="S20" s="84">
        <v>13635</v>
      </c>
      <c r="T20" s="85">
        <v>112105</v>
      </c>
      <c r="U20" s="84">
        <v>3525</v>
      </c>
      <c r="V20" s="84">
        <v>1265</v>
      </c>
      <c r="W20" s="85">
        <v>4795</v>
      </c>
      <c r="X20" s="84">
        <v>18160</v>
      </c>
      <c r="Y20" s="84">
        <v>1830</v>
      </c>
      <c r="Z20" s="85">
        <v>19995</v>
      </c>
      <c r="AA20" s="84">
        <v>9815</v>
      </c>
      <c r="AB20" s="84">
        <v>6445</v>
      </c>
      <c r="AC20" s="85">
        <v>16260</v>
      </c>
      <c r="AD20" s="84">
        <v>4075</v>
      </c>
      <c r="AE20" s="84">
        <v>3275</v>
      </c>
      <c r="AF20" s="84">
        <v>7355</v>
      </c>
      <c r="AG20" s="97">
        <v>213475</v>
      </c>
      <c r="AH20" s="84">
        <v>30430</v>
      </c>
      <c r="AI20" s="84">
        <v>243905</v>
      </c>
    </row>
    <row r="21" spans="2:35" x14ac:dyDescent="0.2">
      <c r="B21" s="35">
        <v>2024</v>
      </c>
      <c r="C21" s="86">
        <v>6530</v>
      </c>
      <c r="D21" s="86">
        <v>55</v>
      </c>
      <c r="E21" s="87">
        <v>6585</v>
      </c>
      <c r="F21" s="86">
        <v>8635</v>
      </c>
      <c r="G21" s="86">
        <v>155</v>
      </c>
      <c r="H21" s="87">
        <v>8790</v>
      </c>
      <c r="I21" s="86">
        <v>20050</v>
      </c>
      <c r="J21" s="86">
        <v>1135</v>
      </c>
      <c r="K21" s="87">
        <v>21190</v>
      </c>
      <c r="L21" s="86">
        <v>27065</v>
      </c>
      <c r="M21" s="86">
        <v>1695</v>
      </c>
      <c r="N21" s="87">
        <v>28760</v>
      </c>
      <c r="O21" s="86">
        <v>20660</v>
      </c>
      <c r="P21" s="86">
        <v>2350</v>
      </c>
      <c r="Q21" s="87">
        <v>23005</v>
      </c>
      <c r="R21" s="86">
        <v>98940</v>
      </c>
      <c r="S21" s="86">
        <v>14480</v>
      </c>
      <c r="T21" s="87">
        <v>113420</v>
      </c>
      <c r="U21" s="86">
        <v>3595</v>
      </c>
      <c r="V21" s="86">
        <v>1490</v>
      </c>
      <c r="W21" s="87">
        <v>5085</v>
      </c>
      <c r="X21" s="86">
        <v>18885</v>
      </c>
      <c r="Y21" s="86">
        <v>1650</v>
      </c>
      <c r="Z21" s="87">
        <v>20535</v>
      </c>
      <c r="AA21" s="86">
        <v>10520</v>
      </c>
      <c r="AB21" s="86">
        <v>10055</v>
      </c>
      <c r="AC21" s="87">
        <v>20580</v>
      </c>
      <c r="AD21" s="86">
        <v>3890</v>
      </c>
      <c r="AE21" s="86">
        <v>3555</v>
      </c>
      <c r="AF21" s="86">
        <v>7445</v>
      </c>
      <c r="AG21" s="98">
        <v>218765</v>
      </c>
      <c r="AH21" s="86">
        <v>36620</v>
      </c>
      <c r="AI21" s="86">
        <v>255390</v>
      </c>
    </row>
    <row r="22" spans="2:35" x14ac:dyDescent="0.2">
      <c r="B22" s="61"/>
      <c r="C22" s="37"/>
      <c r="D22" s="37"/>
      <c r="E22" s="37"/>
      <c r="F22" s="37"/>
      <c r="G22" s="37"/>
      <c r="H22" s="37"/>
      <c r="I22" s="37"/>
      <c r="J22" s="37"/>
      <c r="K22" s="37"/>
      <c r="L22" s="37"/>
      <c r="M22" s="37"/>
      <c r="N22" s="37"/>
      <c r="O22" s="37"/>
      <c r="P22" s="37"/>
      <c r="Q22" s="37"/>
      <c r="R22" s="37"/>
      <c r="S22" s="37"/>
      <c r="T22" s="37"/>
      <c r="U22" s="37"/>
      <c r="V22" s="37"/>
      <c r="W22" s="37"/>
      <c r="X22" s="37"/>
      <c r="Y22" s="37"/>
      <c r="Z22" s="37"/>
      <c r="AA22" s="37"/>
      <c r="AB22" s="37"/>
      <c r="AC22" s="37"/>
      <c r="AD22" s="37"/>
      <c r="AE22" s="37"/>
      <c r="AF22" s="37"/>
      <c r="AG22" s="37"/>
      <c r="AH22" s="37"/>
      <c r="AI22" s="37"/>
    </row>
    <row r="23" spans="2:35" x14ac:dyDescent="0.2">
      <c r="B23" s="40" t="s">
        <v>110</v>
      </c>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6"/>
      <c r="AC23" s="76"/>
      <c r="AD23" s="76"/>
      <c r="AE23" s="76"/>
      <c r="AF23" s="76"/>
      <c r="AG23" s="37"/>
      <c r="AH23" s="37"/>
      <c r="AI23" s="37"/>
    </row>
    <row r="24" spans="2:35" x14ac:dyDescent="0.2">
      <c r="B24" s="42" t="s">
        <v>35</v>
      </c>
      <c r="C24" s="48"/>
      <c r="D24" s="49"/>
      <c r="E24" s="50"/>
      <c r="F24" s="48"/>
      <c r="G24" s="49"/>
      <c r="H24" s="50"/>
      <c r="I24" s="48"/>
      <c r="J24" s="49"/>
      <c r="K24" s="50"/>
      <c r="L24" s="48"/>
      <c r="M24" s="49"/>
      <c r="N24" s="50"/>
      <c r="O24" s="48"/>
      <c r="P24" s="49"/>
      <c r="Q24" s="50"/>
      <c r="R24" s="48"/>
      <c r="S24" s="49"/>
      <c r="T24" s="50"/>
      <c r="U24" s="48"/>
      <c r="V24" s="49"/>
      <c r="W24" s="50"/>
      <c r="X24" s="48"/>
      <c r="Y24" s="49"/>
      <c r="Z24" s="50"/>
      <c r="AA24" s="48"/>
      <c r="AB24" s="49"/>
      <c r="AC24" s="50"/>
      <c r="AD24" s="48"/>
      <c r="AE24" s="49"/>
      <c r="AF24" s="49"/>
      <c r="AG24" s="100"/>
      <c r="AH24" s="101"/>
      <c r="AI24" s="101"/>
    </row>
    <row r="25" spans="2:35" x14ac:dyDescent="0.2">
      <c r="B25" s="35" t="s">
        <v>107</v>
      </c>
      <c r="C25" s="84">
        <v>45</v>
      </c>
      <c r="D25" s="84">
        <v>0</v>
      </c>
      <c r="E25" s="85">
        <v>45</v>
      </c>
      <c r="F25" s="84">
        <v>50</v>
      </c>
      <c r="G25" s="84">
        <v>0</v>
      </c>
      <c r="H25" s="85">
        <v>50</v>
      </c>
      <c r="I25" s="84">
        <v>125</v>
      </c>
      <c r="J25" s="84">
        <v>5</v>
      </c>
      <c r="K25" s="85">
        <v>125</v>
      </c>
      <c r="L25" s="84">
        <v>200</v>
      </c>
      <c r="M25" s="84">
        <v>5</v>
      </c>
      <c r="N25" s="85">
        <v>200</v>
      </c>
      <c r="O25" s="84">
        <v>190</v>
      </c>
      <c r="P25" s="84">
        <v>5</v>
      </c>
      <c r="Q25" s="85">
        <v>195</v>
      </c>
      <c r="R25" s="84">
        <v>995</v>
      </c>
      <c r="S25" s="84">
        <v>60</v>
      </c>
      <c r="T25" s="85">
        <v>1055</v>
      </c>
      <c r="U25" s="84">
        <v>20</v>
      </c>
      <c r="V25" s="84">
        <v>5</v>
      </c>
      <c r="W25" s="85">
        <v>25</v>
      </c>
      <c r="X25" s="84">
        <v>230</v>
      </c>
      <c r="Y25" s="84">
        <v>10</v>
      </c>
      <c r="Z25" s="85">
        <v>240</v>
      </c>
      <c r="AA25" s="84">
        <v>80</v>
      </c>
      <c r="AB25" s="84">
        <v>15</v>
      </c>
      <c r="AC25" s="85">
        <v>95</v>
      </c>
      <c r="AD25" s="84">
        <v>40</v>
      </c>
      <c r="AE25" s="84">
        <v>40</v>
      </c>
      <c r="AF25" s="84">
        <v>80</v>
      </c>
      <c r="AG25" s="97">
        <v>1970</v>
      </c>
      <c r="AH25" s="84">
        <v>140</v>
      </c>
      <c r="AI25" s="84">
        <v>2110</v>
      </c>
    </row>
    <row r="26" spans="2:35" x14ac:dyDescent="0.2">
      <c r="B26" s="35" t="s">
        <v>14</v>
      </c>
      <c r="C26" s="84">
        <v>4480</v>
      </c>
      <c r="D26" s="84">
        <v>30</v>
      </c>
      <c r="E26" s="85">
        <v>4510</v>
      </c>
      <c r="F26" s="84">
        <v>4970</v>
      </c>
      <c r="G26" s="84">
        <v>45</v>
      </c>
      <c r="H26" s="85">
        <v>5015</v>
      </c>
      <c r="I26" s="84">
        <v>10690</v>
      </c>
      <c r="J26" s="84">
        <v>570</v>
      </c>
      <c r="K26" s="85">
        <v>11260</v>
      </c>
      <c r="L26" s="84">
        <v>15095</v>
      </c>
      <c r="M26" s="84">
        <v>945</v>
      </c>
      <c r="N26" s="85">
        <v>16040</v>
      </c>
      <c r="O26" s="84">
        <v>12305</v>
      </c>
      <c r="P26" s="84">
        <v>1045</v>
      </c>
      <c r="Q26" s="85">
        <v>13355</v>
      </c>
      <c r="R26" s="84">
        <v>62260</v>
      </c>
      <c r="S26" s="84">
        <v>7410</v>
      </c>
      <c r="T26" s="85">
        <v>69675</v>
      </c>
      <c r="U26" s="84">
        <v>2540</v>
      </c>
      <c r="V26" s="84">
        <v>980</v>
      </c>
      <c r="W26" s="85">
        <v>3520</v>
      </c>
      <c r="X26" s="84">
        <v>9185</v>
      </c>
      <c r="Y26" s="84">
        <v>715</v>
      </c>
      <c r="Z26" s="85">
        <v>9900</v>
      </c>
      <c r="AA26" s="84">
        <v>6765</v>
      </c>
      <c r="AB26" s="84">
        <v>5315</v>
      </c>
      <c r="AC26" s="85">
        <v>12080</v>
      </c>
      <c r="AD26" s="84">
        <v>2360</v>
      </c>
      <c r="AE26" s="84">
        <v>1915</v>
      </c>
      <c r="AF26" s="84">
        <v>4275</v>
      </c>
      <c r="AG26" s="97">
        <v>130655</v>
      </c>
      <c r="AH26" s="84">
        <v>18970</v>
      </c>
      <c r="AI26" s="84">
        <v>149625</v>
      </c>
    </row>
    <row r="27" spans="2:35" x14ac:dyDescent="0.2">
      <c r="B27" s="35" t="s">
        <v>15</v>
      </c>
      <c r="C27" s="84">
        <v>2005</v>
      </c>
      <c r="D27" s="84">
        <v>25</v>
      </c>
      <c r="E27" s="85">
        <v>2030</v>
      </c>
      <c r="F27" s="84">
        <v>3615</v>
      </c>
      <c r="G27" s="84">
        <v>105</v>
      </c>
      <c r="H27" s="85">
        <v>3720</v>
      </c>
      <c r="I27" s="84">
        <v>9240</v>
      </c>
      <c r="J27" s="84">
        <v>565</v>
      </c>
      <c r="K27" s="85">
        <v>9805</v>
      </c>
      <c r="L27" s="84">
        <v>11770</v>
      </c>
      <c r="M27" s="84">
        <v>750</v>
      </c>
      <c r="N27" s="85">
        <v>12520</v>
      </c>
      <c r="O27" s="84">
        <v>8160</v>
      </c>
      <c r="P27" s="84">
        <v>1300</v>
      </c>
      <c r="Q27" s="85">
        <v>9460</v>
      </c>
      <c r="R27" s="84">
        <v>35685</v>
      </c>
      <c r="S27" s="84">
        <v>7005</v>
      </c>
      <c r="T27" s="85">
        <v>42690</v>
      </c>
      <c r="U27" s="84">
        <v>1035</v>
      </c>
      <c r="V27" s="84">
        <v>505</v>
      </c>
      <c r="W27" s="85">
        <v>1540</v>
      </c>
      <c r="X27" s="84">
        <v>9470</v>
      </c>
      <c r="Y27" s="84">
        <v>925</v>
      </c>
      <c r="Z27" s="85">
        <v>10395</v>
      </c>
      <c r="AA27" s="84">
        <v>3675</v>
      </c>
      <c r="AB27" s="84">
        <v>4730</v>
      </c>
      <c r="AC27" s="85">
        <v>8400</v>
      </c>
      <c r="AD27" s="84">
        <v>1490</v>
      </c>
      <c r="AE27" s="84">
        <v>1600</v>
      </c>
      <c r="AF27" s="84">
        <v>3090</v>
      </c>
      <c r="AG27" s="97">
        <v>86140</v>
      </c>
      <c r="AH27" s="84">
        <v>17510</v>
      </c>
      <c r="AI27" s="84">
        <v>103650</v>
      </c>
    </row>
    <row r="28" spans="2:35" x14ac:dyDescent="0.2">
      <c r="B28" s="42" t="s">
        <v>36</v>
      </c>
      <c r="C28" s="48"/>
      <c r="D28" s="49"/>
      <c r="E28" s="50"/>
      <c r="F28" s="48"/>
      <c r="G28" s="49"/>
      <c r="H28" s="50"/>
      <c r="I28" s="48"/>
      <c r="J28" s="49"/>
      <c r="K28" s="50"/>
      <c r="L28" s="48"/>
      <c r="M28" s="49"/>
      <c r="N28" s="50"/>
      <c r="O28" s="48"/>
      <c r="P28" s="49"/>
      <c r="Q28" s="50"/>
      <c r="R28" s="48"/>
      <c r="S28" s="49"/>
      <c r="T28" s="50"/>
      <c r="U28" s="48"/>
      <c r="V28" s="49"/>
      <c r="W28" s="50"/>
      <c r="X28" s="48"/>
      <c r="Y28" s="49"/>
      <c r="Z28" s="50"/>
      <c r="AA28" s="48"/>
      <c r="AB28" s="49"/>
      <c r="AC28" s="50"/>
      <c r="AD28" s="48"/>
      <c r="AE28" s="49"/>
      <c r="AF28" s="49"/>
      <c r="AG28" s="48"/>
      <c r="AH28" s="49"/>
      <c r="AI28" s="49"/>
    </row>
    <row r="29" spans="2:35" x14ac:dyDescent="0.2">
      <c r="B29" s="35" t="s">
        <v>4</v>
      </c>
      <c r="C29" s="84">
        <v>945</v>
      </c>
      <c r="D29" s="84">
        <v>0</v>
      </c>
      <c r="E29" s="85">
        <v>945</v>
      </c>
      <c r="F29" s="84">
        <v>2445</v>
      </c>
      <c r="G29" s="84">
        <v>15</v>
      </c>
      <c r="H29" s="85">
        <v>2460</v>
      </c>
      <c r="I29" s="84">
        <v>2135</v>
      </c>
      <c r="J29" s="84">
        <v>75</v>
      </c>
      <c r="K29" s="85">
        <v>2210</v>
      </c>
      <c r="L29" s="84">
        <v>600</v>
      </c>
      <c r="M29" s="84">
        <v>15</v>
      </c>
      <c r="N29" s="85">
        <v>615</v>
      </c>
      <c r="O29" s="84">
        <v>200</v>
      </c>
      <c r="P29" s="84">
        <v>5</v>
      </c>
      <c r="Q29" s="85">
        <v>205</v>
      </c>
      <c r="R29" s="84">
        <v>145</v>
      </c>
      <c r="S29" s="84">
        <v>15</v>
      </c>
      <c r="T29" s="85">
        <v>155</v>
      </c>
      <c r="U29" s="84">
        <v>0</v>
      </c>
      <c r="V29" s="84">
        <v>0</v>
      </c>
      <c r="W29" s="85">
        <v>0</v>
      </c>
      <c r="X29" s="84">
        <v>15</v>
      </c>
      <c r="Y29" s="84">
        <v>5</v>
      </c>
      <c r="Z29" s="85">
        <v>15</v>
      </c>
      <c r="AA29" s="84">
        <v>0</v>
      </c>
      <c r="AB29" s="84">
        <v>0</v>
      </c>
      <c r="AC29" s="85">
        <v>0</v>
      </c>
      <c r="AD29" s="84">
        <v>0</v>
      </c>
      <c r="AE29" s="84">
        <v>0</v>
      </c>
      <c r="AF29" s="84">
        <v>0</v>
      </c>
      <c r="AG29" s="97">
        <v>6485</v>
      </c>
      <c r="AH29" s="84">
        <v>125</v>
      </c>
      <c r="AI29" s="84">
        <v>6610</v>
      </c>
    </row>
    <row r="30" spans="2:35" x14ac:dyDescent="0.2">
      <c r="B30" s="35" t="s">
        <v>5</v>
      </c>
      <c r="C30" s="84">
        <v>305</v>
      </c>
      <c r="D30" s="84">
        <v>5</v>
      </c>
      <c r="E30" s="85">
        <v>310</v>
      </c>
      <c r="F30" s="84">
        <v>920</v>
      </c>
      <c r="G30" s="84">
        <v>15</v>
      </c>
      <c r="H30" s="85">
        <v>935</v>
      </c>
      <c r="I30" s="84">
        <v>4535</v>
      </c>
      <c r="J30" s="84">
        <v>470</v>
      </c>
      <c r="K30" s="85">
        <v>5005</v>
      </c>
      <c r="L30" s="84">
        <v>4225</v>
      </c>
      <c r="M30" s="84">
        <v>210</v>
      </c>
      <c r="N30" s="85">
        <v>4435</v>
      </c>
      <c r="O30" s="84">
        <v>2900</v>
      </c>
      <c r="P30" s="84">
        <v>200</v>
      </c>
      <c r="Q30" s="85">
        <v>3100</v>
      </c>
      <c r="R30" s="84">
        <v>22845</v>
      </c>
      <c r="S30" s="84">
        <v>1430</v>
      </c>
      <c r="T30" s="85">
        <v>24280</v>
      </c>
      <c r="U30" s="84">
        <v>5</v>
      </c>
      <c r="V30" s="84">
        <v>5</v>
      </c>
      <c r="W30" s="85">
        <v>5</v>
      </c>
      <c r="X30" s="84">
        <v>3450</v>
      </c>
      <c r="Y30" s="84">
        <v>95</v>
      </c>
      <c r="Z30" s="85">
        <v>3545</v>
      </c>
      <c r="AA30" s="84">
        <v>0</v>
      </c>
      <c r="AB30" s="84">
        <v>0</v>
      </c>
      <c r="AC30" s="85">
        <v>0</v>
      </c>
      <c r="AD30" s="84">
        <v>0</v>
      </c>
      <c r="AE30" s="84">
        <v>0</v>
      </c>
      <c r="AF30" s="84">
        <v>0</v>
      </c>
      <c r="AG30" s="97">
        <v>39180</v>
      </c>
      <c r="AH30" s="84">
        <v>2435</v>
      </c>
      <c r="AI30" s="84">
        <v>41615</v>
      </c>
    </row>
    <row r="31" spans="2:35" x14ac:dyDescent="0.2">
      <c r="B31" s="35" t="s">
        <v>6</v>
      </c>
      <c r="C31" s="84">
        <v>605</v>
      </c>
      <c r="D31" s="84">
        <v>10</v>
      </c>
      <c r="E31" s="85">
        <v>615</v>
      </c>
      <c r="F31" s="84">
        <v>805</v>
      </c>
      <c r="G31" s="84">
        <v>25</v>
      </c>
      <c r="H31" s="85">
        <v>830</v>
      </c>
      <c r="I31" s="84">
        <v>3300</v>
      </c>
      <c r="J31" s="84">
        <v>390</v>
      </c>
      <c r="K31" s="85">
        <v>3690</v>
      </c>
      <c r="L31" s="84">
        <v>5925</v>
      </c>
      <c r="M31" s="84">
        <v>540</v>
      </c>
      <c r="N31" s="85">
        <v>6465</v>
      </c>
      <c r="O31" s="84">
        <v>4835</v>
      </c>
      <c r="P31" s="84">
        <v>1105</v>
      </c>
      <c r="Q31" s="85">
        <v>5935</v>
      </c>
      <c r="R31" s="84">
        <v>53325</v>
      </c>
      <c r="S31" s="84">
        <v>11115</v>
      </c>
      <c r="T31" s="85">
        <v>64440</v>
      </c>
      <c r="U31" s="84">
        <v>605</v>
      </c>
      <c r="V31" s="84">
        <v>330</v>
      </c>
      <c r="W31" s="85">
        <v>935</v>
      </c>
      <c r="X31" s="84">
        <v>9435</v>
      </c>
      <c r="Y31" s="84">
        <v>860</v>
      </c>
      <c r="Z31" s="85">
        <v>10295</v>
      </c>
      <c r="AA31" s="84">
        <v>2800</v>
      </c>
      <c r="AB31" s="84">
        <v>2270</v>
      </c>
      <c r="AC31" s="85">
        <v>5070</v>
      </c>
      <c r="AD31" s="84">
        <v>305</v>
      </c>
      <c r="AE31" s="84">
        <v>75</v>
      </c>
      <c r="AF31" s="84">
        <v>380</v>
      </c>
      <c r="AG31" s="97">
        <v>81930</v>
      </c>
      <c r="AH31" s="84">
        <v>16725</v>
      </c>
      <c r="AI31" s="84">
        <v>98655</v>
      </c>
    </row>
    <row r="32" spans="2:35" x14ac:dyDescent="0.2">
      <c r="B32" s="35" t="s">
        <v>7</v>
      </c>
      <c r="C32" s="84">
        <v>2080</v>
      </c>
      <c r="D32" s="84">
        <v>25</v>
      </c>
      <c r="E32" s="85">
        <v>2105</v>
      </c>
      <c r="F32" s="84">
        <v>2035</v>
      </c>
      <c r="G32" s="84">
        <v>80</v>
      </c>
      <c r="H32" s="85">
        <v>2115</v>
      </c>
      <c r="I32" s="84">
        <v>5425</v>
      </c>
      <c r="J32" s="84">
        <v>165</v>
      </c>
      <c r="K32" s="85">
        <v>5590</v>
      </c>
      <c r="L32" s="84">
        <v>9590</v>
      </c>
      <c r="M32" s="84">
        <v>740</v>
      </c>
      <c r="N32" s="85">
        <v>10325</v>
      </c>
      <c r="O32" s="84">
        <v>7340</v>
      </c>
      <c r="P32" s="84">
        <v>875</v>
      </c>
      <c r="Q32" s="85">
        <v>8215</v>
      </c>
      <c r="R32" s="84">
        <v>17035</v>
      </c>
      <c r="S32" s="84">
        <v>1780</v>
      </c>
      <c r="T32" s="85">
        <v>18810</v>
      </c>
      <c r="U32" s="84">
        <v>1805</v>
      </c>
      <c r="V32" s="84">
        <v>970</v>
      </c>
      <c r="W32" s="85">
        <v>2775</v>
      </c>
      <c r="X32" s="84">
        <v>3920</v>
      </c>
      <c r="Y32" s="84">
        <v>615</v>
      </c>
      <c r="Z32" s="85">
        <v>4540</v>
      </c>
      <c r="AA32" s="84">
        <v>4920</v>
      </c>
      <c r="AB32" s="84">
        <v>6305</v>
      </c>
      <c r="AC32" s="85">
        <v>11225</v>
      </c>
      <c r="AD32" s="84">
        <v>2220</v>
      </c>
      <c r="AE32" s="84">
        <v>2940</v>
      </c>
      <c r="AF32" s="84">
        <v>5165</v>
      </c>
      <c r="AG32" s="97">
        <v>56370</v>
      </c>
      <c r="AH32" s="84">
        <v>14495</v>
      </c>
      <c r="AI32" s="84">
        <v>70865</v>
      </c>
    </row>
    <row r="33" spans="2:35" x14ac:dyDescent="0.2">
      <c r="B33" s="35" t="s">
        <v>61</v>
      </c>
      <c r="C33" s="84">
        <v>2590</v>
      </c>
      <c r="D33" s="84">
        <v>15</v>
      </c>
      <c r="E33" s="85">
        <v>2605</v>
      </c>
      <c r="F33" s="84">
        <v>2425</v>
      </c>
      <c r="G33" s="84">
        <v>20</v>
      </c>
      <c r="H33" s="85">
        <v>2445</v>
      </c>
      <c r="I33" s="84">
        <v>4660</v>
      </c>
      <c r="J33" s="84">
        <v>40</v>
      </c>
      <c r="K33" s="85">
        <v>4695</v>
      </c>
      <c r="L33" s="84">
        <v>6730</v>
      </c>
      <c r="M33" s="84">
        <v>190</v>
      </c>
      <c r="N33" s="85">
        <v>6920</v>
      </c>
      <c r="O33" s="84">
        <v>5385</v>
      </c>
      <c r="P33" s="84">
        <v>165</v>
      </c>
      <c r="Q33" s="85">
        <v>5550</v>
      </c>
      <c r="R33" s="84">
        <v>5595</v>
      </c>
      <c r="S33" s="84">
        <v>140</v>
      </c>
      <c r="T33" s="85">
        <v>5735</v>
      </c>
      <c r="U33" s="84">
        <v>1180</v>
      </c>
      <c r="V33" s="84">
        <v>190</v>
      </c>
      <c r="W33" s="85">
        <v>1370</v>
      </c>
      <c r="X33" s="84">
        <v>2065</v>
      </c>
      <c r="Y33" s="84">
        <v>75</v>
      </c>
      <c r="Z33" s="85">
        <v>2140</v>
      </c>
      <c r="AA33" s="84">
        <v>2805</v>
      </c>
      <c r="AB33" s="84">
        <v>1480</v>
      </c>
      <c r="AC33" s="85">
        <v>4285</v>
      </c>
      <c r="AD33" s="84">
        <v>1365</v>
      </c>
      <c r="AE33" s="84">
        <v>535</v>
      </c>
      <c r="AF33" s="84">
        <v>1900</v>
      </c>
      <c r="AG33" s="97">
        <v>34800</v>
      </c>
      <c r="AH33" s="84">
        <v>2845</v>
      </c>
      <c r="AI33" s="84">
        <v>37640</v>
      </c>
    </row>
    <row r="34" spans="2:35" s="38" customFormat="1" x14ac:dyDescent="0.2">
      <c r="B34" s="42" t="s">
        <v>37</v>
      </c>
      <c r="C34" s="49"/>
      <c r="D34" s="49"/>
      <c r="E34" s="50"/>
      <c r="F34" s="49"/>
      <c r="G34" s="49"/>
      <c r="H34" s="50"/>
      <c r="I34" s="49"/>
      <c r="J34" s="49"/>
      <c r="K34" s="50"/>
      <c r="L34" s="49"/>
      <c r="M34" s="49"/>
      <c r="N34" s="50"/>
      <c r="O34" s="49"/>
      <c r="P34" s="49"/>
      <c r="Q34" s="50"/>
      <c r="R34" s="49"/>
      <c r="S34" s="49"/>
      <c r="T34" s="50"/>
      <c r="U34" s="49"/>
      <c r="V34" s="49"/>
      <c r="W34" s="50"/>
      <c r="X34" s="49"/>
      <c r="Y34" s="49"/>
      <c r="Z34" s="50"/>
      <c r="AA34" s="49"/>
      <c r="AB34" s="49"/>
      <c r="AC34" s="50"/>
      <c r="AD34" s="49"/>
      <c r="AE34" s="49"/>
      <c r="AF34" s="49"/>
      <c r="AG34" s="48"/>
      <c r="AH34" s="49"/>
      <c r="AI34" s="49"/>
    </row>
    <row r="35" spans="2:35" s="38" customFormat="1" x14ac:dyDescent="0.2">
      <c r="B35" s="36" t="s">
        <v>38</v>
      </c>
      <c r="C35" s="84">
        <v>3195</v>
      </c>
      <c r="D35" s="84">
        <v>5</v>
      </c>
      <c r="E35" s="85">
        <v>3200</v>
      </c>
      <c r="F35" s="84">
        <v>4115</v>
      </c>
      <c r="G35" s="84">
        <v>5</v>
      </c>
      <c r="H35" s="85">
        <v>4120</v>
      </c>
      <c r="I35" s="84">
        <v>9610</v>
      </c>
      <c r="J35" s="84">
        <v>10</v>
      </c>
      <c r="K35" s="85">
        <v>9620</v>
      </c>
      <c r="L35" s="84">
        <v>14065</v>
      </c>
      <c r="M35" s="84">
        <v>40</v>
      </c>
      <c r="N35" s="85">
        <v>14105</v>
      </c>
      <c r="O35" s="84">
        <v>11760</v>
      </c>
      <c r="P35" s="84">
        <v>60</v>
      </c>
      <c r="Q35" s="85">
        <v>11820</v>
      </c>
      <c r="R35" s="84">
        <v>64335</v>
      </c>
      <c r="S35" s="84">
        <v>1205</v>
      </c>
      <c r="T35" s="85">
        <v>65540</v>
      </c>
      <c r="U35" s="84">
        <v>2070</v>
      </c>
      <c r="V35" s="84">
        <v>70</v>
      </c>
      <c r="W35" s="85">
        <v>2140</v>
      </c>
      <c r="X35" s="84">
        <v>11900</v>
      </c>
      <c r="Y35" s="84">
        <v>105</v>
      </c>
      <c r="Z35" s="85">
        <v>12005</v>
      </c>
      <c r="AA35" s="84">
        <v>5815</v>
      </c>
      <c r="AB35" s="84">
        <v>300</v>
      </c>
      <c r="AC35" s="85">
        <v>6115</v>
      </c>
      <c r="AD35" s="84">
        <v>2505</v>
      </c>
      <c r="AE35" s="84">
        <v>455</v>
      </c>
      <c r="AF35" s="84">
        <v>2955</v>
      </c>
      <c r="AG35" s="97">
        <v>129365</v>
      </c>
      <c r="AH35" s="84">
        <v>2250</v>
      </c>
      <c r="AI35" s="84">
        <v>131620</v>
      </c>
    </row>
    <row r="36" spans="2:35" s="38" customFormat="1" x14ac:dyDescent="0.2">
      <c r="B36" s="36" t="s">
        <v>39</v>
      </c>
      <c r="C36" s="84">
        <v>3195</v>
      </c>
      <c r="D36" s="84">
        <v>5</v>
      </c>
      <c r="E36" s="85">
        <v>3200</v>
      </c>
      <c r="F36" s="84">
        <v>4235</v>
      </c>
      <c r="G36" s="84">
        <v>5</v>
      </c>
      <c r="H36" s="85">
        <v>4235</v>
      </c>
      <c r="I36" s="84">
        <v>6985</v>
      </c>
      <c r="J36" s="84">
        <v>5</v>
      </c>
      <c r="K36" s="85">
        <v>6990</v>
      </c>
      <c r="L36" s="84">
        <v>8335</v>
      </c>
      <c r="M36" s="84">
        <v>5</v>
      </c>
      <c r="N36" s="85">
        <v>8335</v>
      </c>
      <c r="O36" s="84">
        <v>5885</v>
      </c>
      <c r="P36" s="84">
        <v>0</v>
      </c>
      <c r="Q36" s="85">
        <v>5885</v>
      </c>
      <c r="R36" s="84">
        <v>15205</v>
      </c>
      <c r="S36" s="84">
        <v>10</v>
      </c>
      <c r="T36" s="85">
        <v>15215</v>
      </c>
      <c r="U36" s="84">
        <v>330</v>
      </c>
      <c r="V36" s="84">
        <v>0</v>
      </c>
      <c r="W36" s="85">
        <v>330</v>
      </c>
      <c r="X36" s="84">
        <v>1830</v>
      </c>
      <c r="Y36" s="84">
        <v>0</v>
      </c>
      <c r="Z36" s="85">
        <v>1830</v>
      </c>
      <c r="AA36" s="84">
        <v>1210</v>
      </c>
      <c r="AB36" s="84">
        <v>0</v>
      </c>
      <c r="AC36" s="85">
        <v>1210</v>
      </c>
      <c r="AD36" s="84">
        <v>615</v>
      </c>
      <c r="AE36" s="84">
        <v>5</v>
      </c>
      <c r="AF36" s="84">
        <v>615</v>
      </c>
      <c r="AG36" s="97">
        <v>47820</v>
      </c>
      <c r="AH36" s="84">
        <v>20</v>
      </c>
      <c r="AI36" s="84">
        <v>47840</v>
      </c>
    </row>
    <row r="37" spans="2:35" s="38" customFormat="1" x14ac:dyDescent="0.2">
      <c r="B37" s="36" t="s">
        <v>40</v>
      </c>
      <c r="C37" s="84">
        <v>525</v>
      </c>
      <c r="D37" s="84">
        <v>5</v>
      </c>
      <c r="E37" s="85">
        <v>525</v>
      </c>
      <c r="F37" s="84">
        <v>1035</v>
      </c>
      <c r="G37" s="84">
        <v>5</v>
      </c>
      <c r="H37" s="85">
        <v>1040</v>
      </c>
      <c r="I37" s="84">
        <v>2920</v>
      </c>
      <c r="J37" s="84">
        <v>30</v>
      </c>
      <c r="K37" s="85">
        <v>2950</v>
      </c>
      <c r="L37" s="84">
        <v>3440</v>
      </c>
      <c r="M37" s="84">
        <v>85</v>
      </c>
      <c r="N37" s="85">
        <v>3525</v>
      </c>
      <c r="O37" s="84">
        <v>2055</v>
      </c>
      <c r="P37" s="84">
        <v>95</v>
      </c>
      <c r="Q37" s="85">
        <v>2150</v>
      </c>
      <c r="R37" s="84">
        <v>10520</v>
      </c>
      <c r="S37" s="84">
        <v>340</v>
      </c>
      <c r="T37" s="85">
        <v>10855</v>
      </c>
      <c r="U37" s="84">
        <v>270</v>
      </c>
      <c r="V37" s="84">
        <v>10</v>
      </c>
      <c r="W37" s="85">
        <v>280</v>
      </c>
      <c r="X37" s="84">
        <v>1095</v>
      </c>
      <c r="Y37" s="84">
        <v>60</v>
      </c>
      <c r="Z37" s="85">
        <v>1155</v>
      </c>
      <c r="AA37" s="84">
        <v>655</v>
      </c>
      <c r="AB37" s="84">
        <v>100</v>
      </c>
      <c r="AC37" s="85">
        <v>760</v>
      </c>
      <c r="AD37" s="84">
        <v>240</v>
      </c>
      <c r="AE37" s="84">
        <v>70</v>
      </c>
      <c r="AF37" s="84">
        <v>305</v>
      </c>
      <c r="AG37" s="97">
        <v>22750</v>
      </c>
      <c r="AH37" s="84">
        <v>800</v>
      </c>
      <c r="AI37" s="84">
        <v>23550</v>
      </c>
    </row>
    <row r="38" spans="2:35" s="38" customFormat="1" x14ac:dyDescent="0.2">
      <c r="B38" s="36" t="s">
        <v>9</v>
      </c>
      <c r="C38" s="84">
        <v>830</v>
      </c>
      <c r="D38" s="84">
        <v>40</v>
      </c>
      <c r="E38" s="85">
        <v>870</v>
      </c>
      <c r="F38" s="84">
        <v>885</v>
      </c>
      <c r="G38" s="84">
        <v>130</v>
      </c>
      <c r="H38" s="85">
        <v>1015</v>
      </c>
      <c r="I38" s="84">
        <v>3055</v>
      </c>
      <c r="J38" s="84">
        <v>1050</v>
      </c>
      <c r="K38" s="85">
        <v>4100</v>
      </c>
      <c r="L38" s="84">
        <v>4510</v>
      </c>
      <c r="M38" s="84">
        <v>1435</v>
      </c>
      <c r="N38" s="85">
        <v>5945</v>
      </c>
      <c r="O38" s="84">
        <v>3310</v>
      </c>
      <c r="P38" s="84">
        <v>2060</v>
      </c>
      <c r="Q38" s="85">
        <v>5370</v>
      </c>
      <c r="R38" s="84">
        <v>23070</v>
      </c>
      <c r="S38" s="84">
        <v>11945</v>
      </c>
      <c r="T38" s="85">
        <v>35015</v>
      </c>
      <c r="U38" s="84">
        <v>1105</v>
      </c>
      <c r="V38" s="84">
        <v>1325</v>
      </c>
      <c r="W38" s="85">
        <v>2430</v>
      </c>
      <c r="X38" s="84">
        <v>5730</v>
      </c>
      <c r="Y38" s="84">
        <v>1390</v>
      </c>
      <c r="Z38" s="85">
        <v>7120</v>
      </c>
      <c r="AA38" s="84">
        <v>3440</v>
      </c>
      <c r="AB38" s="84">
        <v>8995</v>
      </c>
      <c r="AC38" s="85">
        <v>12435</v>
      </c>
      <c r="AD38" s="84">
        <v>805</v>
      </c>
      <c r="AE38" s="84">
        <v>2335</v>
      </c>
      <c r="AF38" s="84">
        <v>3140</v>
      </c>
      <c r="AG38" s="97">
        <v>46735</v>
      </c>
      <c r="AH38" s="84">
        <v>30705</v>
      </c>
      <c r="AI38" s="84">
        <v>77440</v>
      </c>
    </row>
    <row r="39" spans="2:35" s="38" customFormat="1" x14ac:dyDescent="0.2">
      <c r="B39" s="36" t="s">
        <v>10</v>
      </c>
      <c r="C39" s="84">
        <v>385</v>
      </c>
      <c r="D39" s="84">
        <v>10</v>
      </c>
      <c r="E39" s="85">
        <v>390</v>
      </c>
      <c r="F39" s="84">
        <v>425</v>
      </c>
      <c r="G39" s="84">
        <v>15</v>
      </c>
      <c r="H39" s="85">
        <v>440</v>
      </c>
      <c r="I39" s="84">
        <v>1225</v>
      </c>
      <c r="J39" s="84">
        <v>40</v>
      </c>
      <c r="K39" s="85">
        <v>1265</v>
      </c>
      <c r="L39" s="84">
        <v>1470</v>
      </c>
      <c r="M39" s="84">
        <v>145</v>
      </c>
      <c r="N39" s="85">
        <v>1615</v>
      </c>
      <c r="O39" s="84">
        <v>1180</v>
      </c>
      <c r="P39" s="84">
        <v>120</v>
      </c>
      <c r="Q39" s="85">
        <v>1300</v>
      </c>
      <c r="R39" s="84">
        <v>5640</v>
      </c>
      <c r="S39" s="84">
        <v>1005</v>
      </c>
      <c r="T39" s="85">
        <v>6645</v>
      </c>
      <c r="U39" s="84">
        <v>245</v>
      </c>
      <c r="V39" s="84">
        <v>70</v>
      </c>
      <c r="W39" s="85">
        <v>310</v>
      </c>
      <c r="X39" s="84">
        <v>1055</v>
      </c>
      <c r="Y39" s="84">
        <v>90</v>
      </c>
      <c r="Z39" s="85">
        <v>1145</v>
      </c>
      <c r="AA39" s="84">
        <v>710</v>
      </c>
      <c r="AB39" s="84">
        <v>520</v>
      </c>
      <c r="AC39" s="85">
        <v>1230</v>
      </c>
      <c r="AD39" s="84">
        <v>330</v>
      </c>
      <c r="AE39" s="84">
        <v>710</v>
      </c>
      <c r="AF39" s="84">
        <v>1045</v>
      </c>
      <c r="AG39" s="97">
        <v>12655</v>
      </c>
      <c r="AH39" s="84">
        <v>2725</v>
      </c>
      <c r="AI39" s="84">
        <v>15380</v>
      </c>
    </row>
    <row r="40" spans="2:35" s="38" customFormat="1" x14ac:dyDescent="0.2">
      <c r="B40" s="42" t="s">
        <v>72</v>
      </c>
      <c r="C40" s="49"/>
      <c r="D40" s="49"/>
      <c r="E40" s="50"/>
      <c r="F40" s="49"/>
      <c r="G40" s="49"/>
      <c r="H40" s="50"/>
      <c r="I40" s="49"/>
      <c r="J40" s="49"/>
      <c r="K40" s="50"/>
      <c r="L40" s="49"/>
      <c r="M40" s="49"/>
      <c r="N40" s="50"/>
      <c r="O40" s="49"/>
      <c r="P40" s="49"/>
      <c r="Q40" s="50"/>
      <c r="R40" s="49"/>
      <c r="S40" s="49"/>
      <c r="T40" s="50"/>
      <c r="U40" s="49"/>
      <c r="V40" s="49"/>
      <c r="W40" s="50"/>
      <c r="X40" s="49"/>
      <c r="Y40" s="49"/>
      <c r="Z40" s="50"/>
      <c r="AA40" s="49"/>
      <c r="AB40" s="49"/>
      <c r="AC40" s="50"/>
      <c r="AD40" s="49"/>
      <c r="AE40" s="49"/>
      <c r="AF40" s="49"/>
      <c r="AG40" s="48"/>
      <c r="AH40" s="49"/>
      <c r="AI40" s="49"/>
    </row>
    <row r="41" spans="2:35" x14ac:dyDescent="0.2">
      <c r="B41" s="35" t="s">
        <v>73</v>
      </c>
      <c r="C41" s="84">
        <v>2585</v>
      </c>
      <c r="D41" s="84">
        <v>20</v>
      </c>
      <c r="E41" s="85">
        <v>2605</v>
      </c>
      <c r="F41" s="84">
        <v>2960</v>
      </c>
      <c r="G41" s="84">
        <v>25</v>
      </c>
      <c r="H41" s="85">
        <v>2980</v>
      </c>
      <c r="I41" s="84">
        <v>8325</v>
      </c>
      <c r="J41" s="84">
        <v>580</v>
      </c>
      <c r="K41" s="85">
        <v>8905</v>
      </c>
      <c r="L41" s="84">
        <v>10700</v>
      </c>
      <c r="M41" s="84">
        <v>755</v>
      </c>
      <c r="N41" s="85">
        <v>11455</v>
      </c>
      <c r="O41" s="84">
        <v>11905</v>
      </c>
      <c r="P41" s="84">
        <v>1275</v>
      </c>
      <c r="Q41" s="85">
        <v>13185</v>
      </c>
      <c r="R41" s="84">
        <v>83920</v>
      </c>
      <c r="S41" s="84">
        <v>9855</v>
      </c>
      <c r="T41" s="85">
        <v>93770</v>
      </c>
      <c r="U41" s="84">
        <v>1720</v>
      </c>
      <c r="V41" s="84">
        <v>825</v>
      </c>
      <c r="W41" s="85">
        <v>2545</v>
      </c>
      <c r="X41" s="84">
        <v>13915</v>
      </c>
      <c r="Y41" s="84">
        <v>1145</v>
      </c>
      <c r="Z41" s="85">
        <v>15060</v>
      </c>
      <c r="AA41" s="84">
        <v>5910</v>
      </c>
      <c r="AB41" s="84">
        <v>6180</v>
      </c>
      <c r="AC41" s="85">
        <v>12090</v>
      </c>
      <c r="AD41" s="84">
        <v>2565</v>
      </c>
      <c r="AE41" s="84">
        <v>2775</v>
      </c>
      <c r="AF41" s="84">
        <v>5340</v>
      </c>
      <c r="AG41" s="97">
        <v>144505</v>
      </c>
      <c r="AH41" s="84">
        <v>23430</v>
      </c>
      <c r="AI41" s="84">
        <v>167930</v>
      </c>
    </row>
    <row r="42" spans="2:35" x14ac:dyDescent="0.2">
      <c r="B42" s="35" t="s">
        <v>74</v>
      </c>
      <c r="C42" s="84">
        <v>890</v>
      </c>
      <c r="D42" s="84">
        <v>15</v>
      </c>
      <c r="E42" s="85">
        <v>905</v>
      </c>
      <c r="F42" s="84">
        <v>2170</v>
      </c>
      <c r="G42" s="84">
        <v>70</v>
      </c>
      <c r="H42" s="85">
        <v>2240</v>
      </c>
      <c r="I42" s="84">
        <v>5160</v>
      </c>
      <c r="J42" s="84">
        <v>295</v>
      </c>
      <c r="K42" s="85">
        <v>5455</v>
      </c>
      <c r="L42" s="84">
        <v>4945</v>
      </c>
      <c r="M42" s="84">
        <v>530</v>
      </c>
      <c r="N42" s="85">
        <v>5480</v>
      </c>
      <c r="O42" s="84">
        <v>2090</v>
      </c>
      <c r="P42" s="84">
        <v>455</v>
      </c>
      <c r="Q42" s="85">
        <v>2550</v>
      </c>
      <c r="R42" s="84">
        <v>4210</v>
      </c>
      <c r="S42" s="84">
        <v>2510</v>
      </c>
      <c r="T42" s="85">
        <v>6725</v>
      </c>
      <c r="U42" s="84">
        <v>350</v>
      </c>
      <c r="V42" s="84">
        <v>315</v>
      </c>
      <c r="W42" s="85">
        <v>665</v>
      </c>
      <c r="X42" s="84">
        <v>545</v>
      </c>
      <c r="Y42" s="84">
        <v>260</v>
      </c>
      <c r="Z42" s="85">
        <v>805</v>
      </c>
      <c r="AA42" s="84">
        <v>780</v>
      </c>
      <c r="AB42" s="84">
        <v>2460</v>
      </c>
      <c r="AC42" s="85">
        <v>3240</v>
      </c>
      <c r="AD42" s="84">
        <v>110</v>
      </c>
      <c r="AE42" s="84">
        <v>140</v>
      </c>
      <c r="AF42" s="84">
        <v>245</v>
      </c>
      <c r="AG42" s="97">
        <v>21250</v>
      </c>
      <c r="AH42" s="84">
        <v>7055</v>
      </c>
      <c r="AI42" s="84">
        <v>28305</v>
      </c>
    </row>
    <row r="43" spans="2:35" x14ac:dyDescent="0.2">
      <c r="B43" s="35" t="s">
        <v>75</v>
      </c>
      <c r="C43" s="84">
        <v>1810</v>
      </c>
      <c r="D43" s="84">
        <v>5</v>
      </c>
      <c r="E43" s="85">
        <v>1815</v>
      </c>
      <c r="F43" s="84">
        <v>2195</v>
      </c>
      <c r="G43" s="84">
        <v>15</v>
      </c>
      <c r="H43" s="85">
        <v>2215</v>
      </c>
      <c r="I43" s="84">
        <v>3290</v>
      </c>
      <c r="J43" s="84">
        <v>55</v>
      </c>
      <c r="K43" s="85">
        <v>3345</v>
      </c>
      <c r="L43" s="84">
        <v>6410</v>
      </c>
      <c r="M43" s="84">
        <v>120</v>
      </c>
      <c r="N43" s="85">
        <v>6530</v>
      </c>
      <c r="O43" s="84">
        <v>3965</v>
      </c>
      <c r="P43" s="84">
        <v>285</v>
      </c>
      <c r="Q43" s="85">
        <v>4250</v>
      </c>
      <c r="R43" s="84">
        <v>7940</v>
      </c>
      <c r="S43" s="84">
        <v>1310</v>
      </c>
      <c r="T43" s="85">
        <v>9250</v>
      </c>
      <c r="U43" s="84">
        <v>955</v>
      </c>
      <c r="V43" s="84">
        <v>160</v>
      </c>
      <c r="W43" s="85">
        <v>1115</v>
      </c>
      <c r="X43" s="84">
        <v>3065</v>
      </c>
      <c r="Y43" s="84">
        <v>155</v>
      </c>
      <c r="Z43" s="85">
        <v>3220</v>
      </c>
      <c r="AA43" s="84">
        <v>2800</v>
      </c>
      <c r="AB43" s="84">
        <v>660</v>
      </c>
      <c r="AC43" s="85">
        <v>3460</v>
      </c>
      <c r="AD43" s="84">
        <v>950</v>
      </c>
      <c r="AE43" s="84">
        <v>310</v>
      </c>
      <c r="AF43" s="84">
        <v>1260</v>
      </c>
      <c r="AG43" s="97">
        <v>33380</v>
      </c>
      <c r="AH43" s="84">
        <v>3085</v>
      </c>
      <c r="AI43" s="84">
        <v>36465</v>
      </c>
    </row>
    <row r="44" spans="2:35" x14ac:dyDescent="0.2">
      <c r="B44" s="35" t="s">
        <v>76</v>
      </c>
      <c r="C44" s="84">
        <v>1245</v>
      </c>
      <c r="D44" s="84">
        <v>15</v>
      </c>
      <c r="E44" s="85">
        <v>1255</v>
      </c>
      <c r="F44" s="84">
        <v>1310</v>
      </c>
      <c r="G44" s="84">
        <v>45</v>
      </c>
      <c r="H44" s="85">
        <v>1355</v>
      </c>
      <c r="I44" s="84">
        <v>3280</v>
      </c>
      <c r="J44" s="84">
        <v>210</v>
      </c>
      <c r="K44" s="85">
        <v>3485</v>
      </c>
      <c r="L44" s="84">
        <v>5010</v>
      </c>
      <c r="M44" s="84">
        <v>285</v>
      </c>
      <c r="N44" s="85">
        <v>5295</v>
      </c>
      <c r="O44" s="84">
        <v>2695</v>
      </c>
      <c r="P44" s="84">
        <v>330</v>
      </c>
      <c r="Q44" s="85">
        <v>3025</v>
      </c>
      <c r="R44" s="84">
        <v>2865</v>
      </c>
      <c r="S44" s="84">
        <v>805</v>
      </c>
      <c r="T44" s="85">
        <v>3670</v>
      </c>
      <c r="U44" s="84">
        <v>570</v>
      </c>
      <c r="V44" s="84">
        <v>190</v>
      </c>
      <c r="W44" s="85">
        <v>760</v>
      </c>
      <c r="X44" s="84">
        <v>1360</v>
      </c>
      <c r="Y44" s="84">
        <v>90</v>
      </c>
      <c r="Z44" s="85">
        <v>1455</v>
      </c>
      <c r="AA44" s="84">
        <v>1030</v>
      </c>
      <c r="AB44" s="84">
        <v>755</v>
      </c>
      <c r="AC44" s="85">
        <v>1790</v>
      </c>
      <c r="AD44" s="84">
        <v>265</v>
      </c>
      <c r="AE44" s="84">
        <v>330</v>
      </c>
      <c r="AF44" s="84">
        <v>595</v>
      </c>
      <c r="AG44" s="97">
        <v>19635</v>
      </c>
      <c r="AH44" s="84">
        <v>3055</v>
      </c>
      <c r="AI44" s="84">
        <v>22685</v>
      </c>
    </row>
    <row r="45" spans="2:35" x14ac:dyDescent="0.2">
      <c r="B45" s="42" t="s">
        <v>41</v>
      </c>
      <c r="C45" s="49"/>
      <c r="D45" s="49"/>
      <c r="E45" s="50"/>
      <c r="F45" s="49"/>
      <c r="G45" s="49"/>
      <c r="H45" s="50"/>
      <c r="I45" s="49"/>
      <c r="J45" s="49"/>
      <c r="K45" s="50"/>
      <c r="L45" s="49"/>
      <c r="M45" s="49"/>
      <c r="N45" s="50"/>
      <c r="O45" s="49"/>
      <c r="P45" s="49"/>
      <c r="Q45" s="50"/>
      <c r="R45" s="49"/>
      <c r="S45" s="49"/>
      <c r="T45" s="50"/>
      <c r="U45" s="49"/>
      <c r="V45" s="49"/>
      <c r="W45" s="50"/>
      <c r="X45" s="49"/>
      <c r="Y45" s="49"/>
      <c r="Z45" s="50"/>
      <c r="AA45" s="49"/>
      <c r="AB45" s="49"/>
      <c r="AC45" s="50"/>
      <c r="AD45" s="49"/>
      <c r="AE45" s="49"/>
      <c r="AF45" s="49"/>
      <c r="AG45" s="48"/>
      <c r="AH45" s="49"/>
      <c r="AI45" s="49"/>
    </row>
    <row r="46" spans="2:35" x14ac:dyDescent="0.2">
      <c r="B46" s="51" t="s">
        <v>11</v>
      </c>
      <c r="C46" s="84">
        <v>0</v>
      </c>
      <c r="D46" s="84">
        <v>0</v>
      </c>
      <c r="E46" s="85">
        <v>0</v>
      </c>
      <c r="F46" s="84">
        <v>0</v>
      </c>
      <c r="G46" s="84">
        <v>0</v>
      </c>
      <c r="H46" s="85">
        <v>0</v>
      </c>
      <c r="I46" s="84">
        <v>60</v>
      </c>
      <c r="J46" s="84">
        <v>785</v>
      </c>
      <c r="K46" s="85">
        <v>850</v>
      </c>
      <c r="L46" s="84">
        <v>1515</v>
      </c>
      <c r="M46" s="84">
        <v>400</v>
      </c>
      <c r="N46" s="85">
        <v>1915</v>
      </c>
      <c r="O46" s="84">
        <v>1710</v>
      </c>
      <c r="P46" s="84">
        <v>165</v>
      </c>
      <c r="Q46" s="85">
        <v>1875</v>
      </c>
      <c r="R46" s="84">
        <v>78705</v>
      </c>
      <c r="S46" s="84">
        <v>10920</v>
      </c>
      <c r="T46" s="85">
        <v>89630</v>
      </c>
      <c r="U46" s="84">
        <v>2120</v>
      </c>
      <c r="V46" s="84">
        <v>370</v>
      </c>
      <c r="W46" s="85">
        <v>2490</v>
      </c>
      <c r="X46" s="84">
        <v>17815</v>
      </c>
      <c r="Y46" s="84">
        <v>1295</v>
      </c>
      <c r="Z46" s="85">
        <v>19110</v>
      </c>
      <c r="AA46" s="84">
        <v>9370</v>
      </c>
      <c r="AB46" s="84">
        <v>6840</v>
      </c>
      <c r="AC46" s="85">
        <v>16210</v>
      </c>
      <c r="AD46" s="84">
        <v>3760</v>
      </c>
      <c r="AE46" s="84">
        <v>3540</v>
      </c>
      <c r="AF46" s="84">
        <v>7300</v>
      </c>
      <c r="AG46" s="97">
        <v>115055</v>
      </c>
      <c r="AH46" s="84">
        <v>24320</v>
      </c>
      <c r="AI46" s="84">
        <v>139380</v>
      </c>
    </row>
    <row r="47" spans="2:35" x14ac:dyDescent="0.2">
      <c r="B47" s="51" t="s">
        <v>90</v>
      </c>
      <c r="C47" s="84">
        <v>1180</v>
      </c>
      <c r="D47" s="84">
        <v>10</v>
      </c>
      <c r="E47" s="85">
        <v>1190</v>
      </c>
      <c r="F47" s="84">
        <v>3210</v>
      </c>
      <c r="G47" s="84">
        <v>30</v>
      </c>
      <c r="H47" s="85">
        <v>3235</v>
      </c>
      <c r="I47" s="84">
        <v>9985</v>
      </c>
      <c r="J47" s="84">
        <v>150</v>
      </c>
      <c r="K47" s="85">
        <v>10135</v>
      </c>
      <c r="L47" s="84">
        <v>11330</v>
      </c>
      <c r="M47" s="84">
        <v>250</v>
      </c>
      <c r="N47" s="85">
        <v>11580</v>
      </c>
      <c r="O47" s="84">
        <v>9025</v>
      </c>
      <c r="P47" s="84">
        <v>800</v>
      </c>
      <c r="Q47" s="85">
        <v>9825</v>
      </c>
      <c r="R47" s="84">
        <v>14450</v>
      </c>
      <c r="S47" s="84">
        <v>2855</v>
      </c>
      <c r="T47" s="85">
        <v>17310</v>
      </c>
      <c r="U47" s="84">
        <v>905</v>
      </c>
      <c r="V47" s="84">
        <v>310</v>
      </c>
      <c r="W47" s="85">
        <v>1220</v>
      </c>
      <c r="X47" s="84">
        <v>565</v>
      </c>
      <c r="Y47" s="84">
        <v>230</v>
      </c>
      <c r="Z47" s="85">
        <v>790</v>
      </c>
      <c r="AA47" s="84">
        <v>390</v>
      </c>
      <c r="AB47" s="84">
        <v>1860</v>
      </c>
      <c r="AC47" s="85">
        <v>2250</v>
      </c>
      <c r="AD47" s="84">
        <v>15</v>
      </c>
      <c r="AE47" s="84">
        <v>5</v>
      </c>
      <c r="AF47" s="84">
        <v>20</v>
      </c>
      <c r="AG47" s="97">
        <v>51060</v>
      </c>
      <c r="AH47" s="84">
        <v>6500</v>
      </c>
      <c r="AI47" s="84">
        <v>57560</v>
      </c>
    </row>
    <row r="48" spans="2:35" x14ac:dyDescent="0.2">
      <c r="B48" s="51" t="s">
        <v>42</v>
      </c>
      <c r="C48" s="84">
        <v>3800</v>
      </c>
      <c r="D48" s="84">
        <v>5</v>
      </c>
      <c r="E48" s="85">
        <v>3805</v>
      </c>
      <c r="F48" s="84">
        <v>2375</v>
      </c>
      <c r="G48" s="84">
        <v>5</v>
      </c>
      <c r="H48" s="85">
        <v>2375</v>
      </c>
      <c r="I48" s="84">
        <v>3815</v>
      </c>
      <c r="J48" s="84">
        <v>5</v>
      </c>
      <c r="K48" s="85">
        <v>3815</v>
      </c>
      <c r="L48" s="84">
        <v>5645</v>
      </c>
      <c r="M48" s="84">
        <v>5</v>
      </c>
      <c r="N48" s="85">
        <v>5650</v>
      </c>
      <c r="O48" s="84">
        <v>3425</v>
      </c>
      <c r="P48" s="84">
        <v>0</v>
      </c>
      <c r="Q48" s="85">
        <v>3425</v>
      </c>
      <c r="R48" s="84">
        <v>1230</v>
      </c>
      <c r="S48" s="84">
        <v>5</v>
      </c>
      <c r="T48" s="85">
        <v>1230</v>
      </c>
      <c r="U48" s="84">
        <v>0</v>
      </c>
      <c r="V48" s="84">
        <v>0</v>
      </c>
      <c r="W48" s="85">
        <v>0</v>
      </c>
      <c r="X48" s="84">
        <v>210</v>
      </c>
      <c r="Y48" s="84">
        <v>0</v>
      </c>
      <c r="Z48" s="85">
        <v>210</v>
      </c>
      <c r="AA48" s="84">
        <v>200</v>
      </c>
      <c r="AB48" s="84">
        <v>0</v>
      </c>
      <c r="AC48" s="85">
        <v>200</v>
      </c>
      <c r="AD48" s="84">
        <v>115</v>
      </c>
      <c r="AE48" s="84">
        <v>10</v>
      </c>
      <c r="AF48" s="84">
        <v>125</v>
      </c>
      <c r="AG48" s="97">
        <v>20810</v>
      </c>
      <c r="AH48" s="84">
        <v>25</v>
      </c>
      <c r="AI48" s="84">
        <v>20835</v>
      </c>
    </row>
    <row r="49" spans="2:35" x14ac:dyDescent="0.2">
      <c r="B49" s="36" t="s">
        <v>12</v>
      </c>
      <c r="C49" s="84">
        <v>4985</v>
      </c>
      <c r="D49" s="84">
        <v>15</v>
      </c>
      <c r="E49" s="85">
        <v>4995</v>
      </c>
      <c r="F49" s="84">
        <v>5580</v>
      </c>
      <c r="G49" s="84">
        <v>30</v>
      </c>
      <c r="H49" s="85">
        <v>5610</v>
      </c>
      <c r="I49" s="84">
        <v>13860</v>
      </c>
      <c r="J49" s="84">
        <v>940</v>
      </c>
      <c r="K49" s="85">
        <v>14800</v>
      </c>
      <c r="L49" s="84">
        <v>18490</v>
      </c>
      <c r="M49" s="84">
        <v>655</v>
      </c>
      <c r="N49" s="85">
        <v>19145</v>
      </c>
      <c r="O49" s="84">
        <v>14160</v>
      </c>
      <c r="P49" s="84">
        <v>965</v>
      </c>
      <c r="Q49" s="85">
        <v>15125</v>
      </c>
      <c r="R49" s="84">
        <v>94385</v>
      </c>
      <c r="S49" s="84">
        <v>13780</v>
      </c>
      <c r="T49" s="85">
        <v>108165</v>
      </c>
      <c r="U49" s="84">
        <v>3030</v>
      </c>
      <c r="V49" s="84">
        <v>680</v>
      </c>
      <c r="W49" s="85">
        <v>3710</v>
      </c>
      <c r="X49" s="84">
        <v>18585</v>
      </c>
      <c r="Y49" s="84">
        <v>1525</v>
      </c>
      <c r="Z49" s="85">
        <v>20110</v>
      </c>
      <c r="AA49" s="84">
        <v>9960</v>
      </c>
      <c r="AB49" s="84">
        <v>8700</v>
      </c>
      <c r="AC49" s="85">
        <v>18660</v>
      </c>
      <c r="AD49" s="84">
        <v>3890</v>
      </c>
      <c r="AE49" s="84">
        <v>3555</v>
      </c>
      <c r="AF49" s="84">
        <v>7445</v>
      </c>
      <c r="AG49" s="97">
        <v>186930</v>
      </c>
      <c r="AH49" s="84">
        <v>30845</v>
      </c>
      <c r="AI49" s="84">
        <v>217770</v>
      </c>
    </row>
    <row r="50" spans="2:35" x14ac:dyDescent="0.2">
      <c r="B50" s="51" t="s">
        <v>13</v>
      </c>
      <c r="C50" s="84">
        <v>1545</v>
      </c>
      <c r="D50" s="84">
        <v>40</v>
      </c>
      <c r="E50" s="85">
        <v>1585</v>
      </c>
      <c r="F50" s="84">
        <v>3055</v>
      </c>
      <c r="G50" s="84">
        <v>125</v>
      </c>
      <c r="H50" s="85">
        <v>3180</v>
      </c>
      <c r="I50" s="84">
        <v>6190</v>
      </c>
      <c r="J50" s="84">
        <v>195</v>
      </c>
      <c r="K50" s="85">
        <v>6385</v>
      </c>
      <c r="L50" s="84">
        <v>8575</v>
      </c>
      <c r="M50" s="84">
        <v>1040</v>
      </c>
      <c r="N50" s="85">
        <v>9615</v>
      </c>
      <c r="O50" s="84">
        <v>6495</v>
      </c>
      <c r="P50" s="84">
        <v>1385</v>
      </c>
      <c r="Q50" s="85">
        <v>7880</v>
      </c>
      <c r="R50" s="84">
        <v>4550</v>
      </c>
      <c r="S50" s="84">
        <v>700</v>
      </c>
      <c r="T50" s="85">
        <v>5250</v>
      </c>
      <c r="U50" s="84">
        <v>565</v>
      </c>
      <c r="V50" s="84">
        <v>810</v>
      </c>
      <c r="W50" s="85">
        <v>1375</v>
      </c>
      <c r="X50" s="84">
        <v>300</v>
      </c>
      <c r="Y50" s="84">
        <v>125</v>
      </c>
      <c r="Z50" s="85">
        <v>425</v>
      </c>
      <c r="AA50" s="84">
        <v>560</v>
      </c>
      <c r="AB50" s="84">
        <v>1355</v>
      </c>
      <c r="AC50" s="85">
        <v>1920</v>
      </c>
      <c r="AD50" s="84">
        <v>0</v>
      </c>
      <c r="AE50" s="84">
        <v>0</v>
      </c>
      <c r="AF50" s="84">
        <v>0</v>
      </c>
      <c r="AG50" s="97">
        <v>31840</v>
      </c>
      <c r="AH50" s="84">
        <v>5780</v>
      </c>
      <c r="AI50" s="84">
        <v>37615</v>
      </c>
    </row>
    <row r="51" spans="2:35" x14ac:dyDescent="0.2">
      <c r="B51" s="42" t="s">
        <v>43</v>
      </c>
      <c r="C51" s="49"/>
      <c r="D51" s="49"/>
      <c r="E51" s="50"/>
      <c r="F51" s="49"/>
      <c r="G51" s="49"/>
      <c r="H51" s="50"/>
      <c r="I51" s="49"/>
      <c r="J51" s="49"/>
      <c r="K51" s="50"/>
      <c r="L51" s="49"/>
      <c r="M51" s="49"/>
      <c r="N51" s="50"/>
      <c r="O51" s="49"/>
      <c r="P51" s="49"/>
      <c r="Q51" s="50"/>
      <c r="R51" s="49"/>
      <c r="S51" s="49"/>
      <c r="T51" s="50"/>
      <c r="U51" s="49"/>
      <c r="V51" s="49"/>
      <c r="W51" s="50"/>
      <c r="X51" s="49"/>
      <c r="Y51" s="49"/>
      <c r="Z51" s="50"/>
      <c r="AA51" s="49"/>
      <c r="AB51" s="49"/>
      <c r="AC51" s="50"/>
      <c r="AD51" s="49"/>
      <c r="AE51" s="49"/>
      <c r="AF51" s="49"/>
      <c r="AG51" s="48"/>
      <c r="AH51" s="49"/>
      <c r="AI51" s="49"/>
    </row>
    <row r="52" spans="2:35" x14ac:dyDescent="0.2">
      <c r="B52" s="36" t="s">
        <v>16</v>
      </c>
      <c r="C52" s="84">
        <v>15</v>
      </c>
      <c r="D52" s="84">
        <v>0</v>
      </c>
      <c r="E52" s="85">
        <v>15</v>
      </c>
      <c r="F52" s="84">
        <v>20</v>
      </c>
      <c r="G52" s="84">
        <v>0</v>
      </c>
      <c r="H52" s="85">
        <v>20</v>
      </c>
      <c r="I52" s="84">
        <v>180</v>
      </c>
      <c r="J52" s="84">
        <v>260</v>
      </c>
      <c r="K52" s="85">
        <v>445</v>
      </c>
      <c r="L52" s="84">
        <v>1070</v>
      </c>
      <c r="M52" s="84">
        <v>100</v>
      </c>
      <c r="N52" s="85">
        <v>1170</v>
      </c>
      <c r="O52" s="84">
        <v>540</v>
      </c>
      <c r="P52" s="84">
        <v>50</v>
      </c>
      <c r="Q52" s="85">
        <v>590</v>
      </c>
      <c r="R52" s="84">
        <v>11820</v>
      </c>
      <c r="S52" s="84">
        <v>1530</v>
      </c>
      <c r="T52" s="85">
        <v>13350</v>
      </c>
      <c r="U52" s="84">
        <v>85</v>
      </c>
      <c r="V52" s="84">
        <v>60</v>
      </c>
      <c r="W52" s="85">
        <v>140</v>
      </c>
      <c r="X52" s="84">
        <v>1525</v>
      </c>
      <c r="Y52" s="84">
        <v>155</v>
      </c>
      <c r="Z52" s="85">
        <v>1680</v>
      </c>
      <c r="AA52" s="84">
        <v>965</v>
      </c>
      <c r="AB52" s="84">
        <v>670</v>
      </c>
      <c r="AC52" s="85">
        <v>1635</v>
      </c>
      <c r="AD52" s="84">
        <v>830</v>
      </c>
      <c r="AE52" s="84">
        <v>730</v>
      </c>
      <c r="AF52" s="85">
        <v>1560</v>
      </c>
      <c r="AG52" s="117">
        <v>17045</v>
      </c>
      <c r="AH52" s="117">
        <v>3555</v>
      </c>
      <c r="AI52" s="117">
        <v>20600</v>
      </c>
    </row>
    <row r="53" spans="2:35" x14ac:dyDescent="0.2">
      <c r="B53" s="36" t="s">
        <v>17</v>
      </c>
      <c r="C53" s="84">
        <v>5</v>
      </c>
      <c r="D53" s="84">
        <v>0</v>
      </c>
      <c r="E53" s="85">
        <v>5</v>
      </c>
      <c r="F53" s="84">
        <v>45</v>
      </c>
      <c r="G53" s="84">
        <v>0</v>
      </c>
      <c r="H53" s="85">
        <v>45</v>
      </c>
      <c r="I53" s="84">
        <v>20</v>
      </c>
      <c r="J53" s="84">
        <v>30</v>
      </c>
      <c r="K53" s="85">
        <v>50</v>
      </c>
      <c r="L53" s="84">
        <v>360</v>
      </c>
      <c r="M53" s="84">
        <v>15</v>
      </c>
      <c r="N53" s="85">
        <v>375</v>
      </c>
      <c r="O53" s="84">
        <v>1555</v>
      </c>
      <c r="P53" s="84">
        <v>175</v>
      </c>
      <c r="Q53" s="85">
        <v>1730</v>
      </c>
      <c r="R53" s="84">
        <v>5660</v>
      </c>
      <c r="S53" s="84">
        <v>2395</v>
      </c>
      <c r="T53" s="85">
        <v>8050</v>
      </c>
      <c r="U53" s="84">
        <v>165</v>
      </c>
      <c r="V53" s="84">
        <v>100</v>
      </c>
      <c r="W53" s="85">
        <v>265</v>
      </c>
      <c r="X53" s="84">
        <v>1050</v>
      </c>
      <c r="Y53" s="84">
        <v>185</v>
      </c>
      <c r="Z53" s="85">
        <v>1235</v>
      </c>
      <c r="AA53" s="84">
        <v>1020</v>
      </c>
      <c r="AB53" s="84">
        <v>1890</v>
      </c>
      <c r="AC53" s="85">
        <v>2910</v>
      </c>
      <c r="AD53" s="84">
        <v>145</v>
      </c>
      <c r="AE53" s="84">
        <v>280</v>
      </c>
      <c r="AF53" s="85">
        <v>425</v>
      </c>
      <c r="AG53" s="117">
        <v>10025</v>
      </c>
      <c r="AH53" s="117">
        <v>5070</v>
      </c>
      <c r="AI53" s="117">
        <v>15100</v>
      </c>
    </row>
    <row r="54" spans="2:35" x14ac:dyDescent="0.2">
      <c r="B54" s="36" t="s">
        <v>18</v>
      </c>
      <c r="C54" s="84">
        <v>30</v>
      </c>
      <c r="D54" s="84">
        <v>5</v>
      </c>
      <c r="E54" s="85">
        <v>35</v>
      </c>
      <c r="F54" s="84">
        <v>790</v>
      </c>
      <c r="G54" s="84">
        <v>5</v>
      </c>
      <c r="H54" s="85">
        <v>790</v>
      </c>
      <c r="I54" s="84">
        <v>4675</v>
      </c>
      <c r="J54" s="84">
        <v>95</v>
      </c>
      <c r="K54" s="85">
        <v>4765</v>
      </c>
      <c r="L54" s="84">
        <v>3775</v>
      </c>
      <c r="M54" s="84">
        <v>10</v>
      </c>
      <c r="N54" s="85">
        <v>3785</v>
      </c>
      <c r="O54" s="84">
        <v>1470</v>
      </c>
      <c r="P54" s="84">
        <v>320</v>
      </c>
      <c r="Q54" s="85">
        <v>1790</v>
      </c>
      <c r="R54" s="84">
        <v>1825</v>
      </c>
      <c r="S54" s="84">
        <v>475</v>
      </c>
      <c r="T54" s="85">
        <v>2300</v>
      </c>
      <c r="U54" s="84">
        <v>30</v>
      </c>
      <c r="V54" s="84">
        <v>85</v>
      </c>
      <c r="W54" s="85">
        <v>115</v>
      </c>
      <c r="X54" s="84">
        <v>6935</v>
      </c>
      <c r="Y54" s="84">
        <v>555</v>
      </c>
      <c r="Z54" s="85">
        <v>7490</v>
      </c>
      <c r="AA54" s="84">
        <v>345</v>
      </c>
      <c r="AB54" s="84">
        <v>935</v>
      </c>
      <c r="AC54" s="85">
        <v>1275</v>
      </c>
      <c r="AD54" s="84">
        <v>410</v>
      </c>
      <c r="AE54" s="84">
        <v>755</v>
      </c>
      <c r="AF54" s="85">
        <v>1160</v>
      </c>
      <c r="AG54" s="117">
        <v>20275</v>
      </c>
      <c r="AH54" s="117">
        <v>3235</v>
      </c>
      <c r="AI54" s="117">
        <v>23510</v>
      </c>
    </row>
    <row r="55" spans="2:35" x14ac:dyDescent="0.2">
      <c r="B55" s="36" t="s">
        <v>19</v>
      </c>
      <c r="C55" s="84">
        <v>85</v>
      </c>
      <c r="D55" s="84">
        <v>5</v>
      </c>
      <c r="E55" s="85">
        <v>90</v>
      </c>
      <c r="F55" s="84">
        <v>425</v>
      </c>
      <c r="G55" s="84">
        <v>5</v>
      </c>
      <c r="H55" s="85">
        <v>430</v>
      </c>
      <c r="I55" s="84">
        <v>2030</v>
      </c>
      <c r="J55" s="84">
        <v>15</v>
      </c>
      <c r="K55" s="85">
        <v>2045</v>
      </c>
      <c r="L55" s="84">
        <v>2720</v>
      </c>
      <c r="M55" s="84">
        <v>10</v>
      </c>
      <c r="N55" s="85">
        <v>2730</v>
      </c>
      <c r="O55" s="84">
        <v>1550</v>
      </c>
      <c r="P55" s="84">
        <v>215</v>
      </c>
      <c r="Q55" s="85">
        <v>1765</v>
      </c>
      <c r="R55" s="84">
        <v>2320</v>
      </c>
      <c r="S55" s="84">
        <v>385</v>
      </c>
      <c r="T55" s="85">
        <v>2700</v>
      </c>
      <c r="U55" s="84">
        <v>35</v>
      </c>
      <c r="V55" s="84">
        <v>50</v>
      </c>
      <c r="W55" s="85">
        <v>85</v>
      </c>
      <c r="X55" s="84">
        <v>355</v>
      </c>
      <c r="Y55" s="84">
        <v>35</v>
      </c>
      <c r="Z55" s="85">
        <v>390</v>
      </c>
      <c r="AA55" s="84">
        <v>585</v>
      </c>
      <c r="AB55" s="84">
        <v>120</v>
      </c>
      <c r="AC55" s="85">
        <v>705</v>
      </c>
      <c r="AD55" s="84">
        <v>45</v>
      </c>
      <c r="AE55" s="84">
        <v>75</v>
      </c>
      <c r="AF55" s="85">
        <v>120</v>
      </c>
      <c r="AG55" s="117">
        <v>10150</v>
      </c>
      <c r="AH55" s="117">
        <v>910</v>
      </c>
      <c r="AI55" s="117">
        <v>11060</v>
      </c>
    </row>
    <row r="56" spans="2:35" x14ac:dyDescent="0.2">
      <c r="B56" s="36" t="s">
        <v>20</v>
      </c>
      <c r="C56" s="84">
        <v>0</v>
      </c>
      <c r="D56" s="84">
        <v>0</v>
      </c>
      <c r="E56" s="85">
        <v>0</v>
      </c>
      <c r="F56" s="84">
        <v>645</v>
      </c>
      <c r="G56" s="84">
        <v>70</v>
      </c>
      <c r="H56" s="85">
        <v>715</v>
      </c>
      <c r="I56" s="84">
        <v>1885</v>
      </c>
      <c r="J56" s="84">
        <v>0</v>
      </c>
      <c r="K56" s="85">
        <v>1885</v>
      </c>
      <c r="L56" s="84">
        <v>455</v>
      </c>
      <c r="M56" s="84">
        <v>10</v>
      </c>
      <c r="N56" s="85">
        <v>465</v>
      </c>
      <c r="O56" s="84">
        <v>270</v>
      </c>
      <c r="P56" s="84">
        <v>15</v>
      </c>
      <c r="Q56" s="85">
        <v>285</v>
      </c>
      <c r="R56" s="84">
        <v>1215</v>
      </c>
      <c r="S56" s="84">
        <v>205</v>
      </c>
      <c r="T56" s="85">
        <v>1420</v>
      </c>
      <c r="U56" s="84">
        <v>15</v>
      </c>
      <c r="V56" s="84">
        <v>5</v>
      </c>
      <c r="W56" s="85">
        <v>25</v>
      </c>
      <c r="X56" s="84">
        <v>185</v>
      </c>
      <c r="Y56" s="84">
        <v>20</v>
      </c>
      <c r="Z56" s="85">
        <v>210</v>
      </c>
      <c r="AA56" s="84">
        <v>210</v>
      </c>
      <c r="AB56" s="84">
        <v>175</v>
      </c>
      <c r="AC56" s="85">
        <v>385</v>
      </c>
      <c r="AD56" s="84">
        <v>60</v>
      </c>
      <c r="AE56" s="84">
        <v>85</v>
      </c>
      <c r="AF56" s="85">
        <v>140</v>
      </c>
      <c r="AG56" s="117">
        <v>4935</v>
      </c>
      <c r="AH56" s="117">
        <v>590</v>
      </c>
      <c r="AI56" s="117">
        <v>5525</v>
      </c>
    </row>
    <row r="57" spans="2:35" x14ac:dyDescent="0.2">
      <c r="B57" s="36" t="s">
        <v>21</v>
      </c>
      <c r="C57" s="84">
        <v>15</v>
      </c>
      <c r="D57" s="84">
        <v>0</v>
      </c>
      <c r="E57" s="85">
        <v>15</v>
      </c>
      <c r="F57" s="84">
        <v>55</v>
      </c>
      <c r="G57" s="84">
        <v>0</v>
      </c>
      <c r="H57" s="85">
        <v>55</v>
      </c>
      <c r="I57" s="84">
        <v>1285</v>
      </c>
      <c r="J57" s="84">
        <v>30</v>
      </c>
      <c r="K57" s="85">
        <v>1315</v>
      </c>
      <c r="L57" s="84">
        <v>1495</v>
      </c>
      <c r="M57" s="84">
        <v>115</v>
      </c>
      <c r="N57" s="85">
        <v>1610</v>
      </c>
      <c r="O57" s="84">
        <v>2295</v>
      </c>
      <c r="P57" s="84">
        <v>425</v>
      </c>
      <c r="Q57" s="85">
        <v>2715</v>
      </c>
      <c r="R57" s="84">
        <v>19380</v>
      </c>
      <c r="S57" s="84">
        <v>1490</v>
      </c>
      <c r="T57" s="85">
        <v>20870</v>
      </c>
      <c r="U57" s="84">
        <v>225</v>
      </c>
      <c r="V57" s="84">
        <v>15</v>
      </c>
      <c r="W57" s="85">
        <v>240</v>
      </c>
      <c r="X57" s="84">
        <v>2825</v>
      </c>
      <c r="Y57" s="84">
        <v>120</v>
      </c>
      <c r="Z57" s="85">
        <v>2940</v>
      </c>
      <c r="AA57" s="84">
        <v>1550</v>
      </c>
      <c r="AB57" s="84">
        <v>375</v>
      </c>
      <c r="AC57" s="85">
        <v>1925</v>
      </c>
      <c r="AD57" s="84">
        <v>750</v>
      </c>
      <c r="AE57" s="84">
        <v>320</v>
      </c>
      <c r="AF57" s="85">
        <v>1070</v>
      </c>
      <c r="AG57" s="117">
        <v>29870</v>
      </c>
      <c r="AH57" s="117">
        <v>2885</v>
      </c>
      <c r="AI57" s="117">
        <v>32755</v>
      </c>
    </row>
    <row r="58" spans="2:35" x14ac:dyDescent="0.2">
      <c r="B58" s="36" t="s">
        <v>22</v>
      </c>
      <c r="C58" s="84">
        <v>75</v>
      </c>
      <c r="D58" s="84">
        <v>0</v>
      </c>
      <c r="E58" s="85">
        <v>75</v>
      </c>
      <c r="F58" s="84">
        <v>85</v>
      </c>
      <c r="G58" s="84">
        <v>0</v>
      </c>
      <c r="H58" s="85">
        <v>85</v>
      </c>
      <c r="I58" s="84">
        <v>140</v>
      </c>
      <c r="J58" s="84">
        <v>0</v>
      </c>
      <c r="K58" s="85">
        <v>140</v>
      </c>
      <c r="L58" s="84">
        <v>475</v>
      </c>
      <c r="M58" s="84">
        <v>0</v>
      </c>
      <c r="N58" s="85">
        <v>475</v>
      </c>
      <c r="O58" s="84">
        <v>565</v>
      </c>
      <c r="P58" s="84">
        <v>5</v>
      </c>
      <c r="Q58" s="85">
        <v>570</v>
      </c>
      <c r="R58" s="84">
        <v>6035</v>
      </c>
      <c r="S58" s="84">
        <v>365</v>
      </c>
      <c r="T58" s="85">
        <v>6400</v>
      </c>
      <c r="U58" s="84">
        <v>1670</v>
      </c>
      <c r="V58" s="84">
        <v>910</v>
      </c>
      <c r="W58" s="85">
        <v>2580</v>
      </c>
      <c r="X58" s="84">
        <v>1055</v>
      </c>
      <c r="Y58" s="84">
        <v>85</v>
      </c>
      <c r="Z58" s="85">
        <v>1135</v>
      </c>
      <c r="AA58" s="84">
        <v>1075</v>
      </c>
      <c r="AB58" s="84">
        <v>590</v>
      </c>
      <c r="AC58" s="85">
        <v>1665</v>
      </c>
      <c r="AD58" s="84">
        <v>255</v>
      </c>
      <c r="AE58" s="84">
        <v>265</v>
      </c>
      <c r="AF58" s="85">
        <v>520</v>
      </c>
      <c r="AG58" s="117">
        <v>11430</v>
      </c>
      <c r="AH58" s="117">
        <v>2215</v>
      </c>
      <c r="AI58" s="117">
        <v>13650</v>
      </c>
    </row>
    <row r="59" spans="2:35" x14ac:dyDescent="0.2">
      <c r="B59" s="36" t="s">
        <v>23</v>
      </c>
      <c r="C59" s="84">
        <v>35</v>
      </c>
      <c r="D59" s="84">
        <v>0</v>
      </c>
      <c r="E59" s="85">
        <v>35</v>
      </c>
      <c r="F59" s="84">
        <v>490</v>
      </c>
      <c r="G59" s="84">
        <v>0</v>
      </c>
      <c r="H59" s="85">
        <v>490</v>
      </c>
      <c r="I59" s="84">
        <v>2490</v>
      </c>
      <c r="J59" s="84">
        <v>65</v>
      </c>
      <c r="K59" s="85">
        <v>2555</v>
      </c>
      <c r="L59" s="84">
        <v>3990</v>
      </c>
      <c r="M59" s="84">
        <v>40</v>
      </c>
      <c r="N59" s="85">
        <v>4030</v>
      </c>
      <c r="O59" s="84">
        <v>4275</v>
      </c>
      <c r="P59" s="84">
        <v>200</v>
      </c>
      <c r="Q59" s="85">
        <v>4480</v>
      </c>
      <c r="R59" s="84">
        <v>13615</v>
      </c>
      <c r="S59" s="84">
        <v>3730</v>
      </c>
      <c r="T59" s="85">
        <v>17345</v>
      </c>
      <c r="U59" s="84">
        <v>510</v>
      </c>
      <c r="V59" s="84">
        <v>180</v>
      </c>
      <c r="W59" s="85">
        <v>685</v>
      </c>
      <c r="X59" s="84">
        <v>690</v>
      </c>
      <c r="Y59" s="84">
        <v>320</v>
      </c>
      <c r="Z59" s="85">
        <v>1010</v>
      </c>
      <c r="AA59" s="84">
        <v>1855</v>
      </c>
      <c r="AB59" s="84">
        <v>4280</v>
      </c>
      <c r="AC59" s="85">
        <v>6135</v>
      </c>
      <c r="AD59" s="84">
        <v>215</v>
      </c>
      <c r="AE59" s="84">
        <v>380</v>
      </c>
      <c r="AF59" s="85">
        <v>595</v>
      </c>
      <c r="AG59" s="117">
        <v>28165</v>
      </c>
      <c r="AH59" s="117">
        <v>9195</v>
      </c>
      <c r="AI59" s="117">
        <v>37360</v>
      </c>
    </row>
    <row r="60" spans="2:35" x14ac:dyDescent="0.2">
      <c r="B60" s="36" t="s">
        <v>24</v>
      </c>
      <c r="C60" s="84">
        <v>5075</v>
      </c>
      <c r="D60" s="84">
        <v>50</v>
      </c>
      <c r="E60" s="85">
        <v>5120</v>
      </c>
      <c r="F60" s="84">
        <v>3830</v>
      </c>
      <c r="G60" s="84">
        <v>75</v>
      </c>
      <c r="H60" s="85">
        <v>3910</v>
      </c>
      <c r="I60" s="84">
        <v>4810</v>
      </c>
      <c r="J60" s="84">
        <v>615</v>
      </c>
      <c r="K60" s="85">
        <v>5425</v>
      </c>
      <c r="L60" s="84">
        <v>7845</v>
      </c>
      <c r="M60" s="84">
        <v>1225</v>
      </c>
      <c r="N60" s="85">
        <v>9070</v>
      </c>
      <c r="O60" s="84">
        <v>5540</v>
      </c>
      <c r="P60" s="84">
        <v>740</v>
      </c>
      <c r="Q60" s="85">
        <v>6280</v>
      </c>
      <c r="R60" s="84">
        <v>28210</v>
      </c>
      <c r="S60" s="84">
        <v>2530</v>
      </c>
      <c r="T60" s="85">
        <v>30740</v>
      </c>
      <c r="U60" s="84">
        <v>760</v>
      </c>
      <c r="V60" s="84">
        <v>75</v>
      </c>
      <c r="W60" s="85">
        <v>835</v>
      </c>
      <c r="X60" s="84">
        <v>2590</v>
      </c>
      <c r="Y60" s="84">
        <v>80</v>
      </c>
      <c r="Z60" s="85">
        <v>2670</v>
      </c>
      <c r="AA60" s="84">
        <v>2190</v>
      </c>
      <c r="AB60" s="84">
        <v>640</v>
      </c>
      <c r="AC60" s="85">
        <v>2835</v>
      </c>
      <c r="AD60" s="84">
        <v>965</v>
      </c>
      <c r="AE60" s="84">
        <v>535</v>
      </c>
      <c r="AF60" s="85">
        <v>1500</v>
      </c>
      <c r="AG60" s="117">
        <v>61810</v>
      </c>
      <c r="AH60" s="117">
        <v>6565</v>
      </c>
      <c r="AI60" s="117">
        <v>68375</v>
      </c>
    </row>
    <row r="61" spans="2:35" x14ac:dyDescent="0.2">
      <c r="B61" s="36" t="s">
        <v>25</v>
      </c>
      <c r="C61" s="84">
        <v>15</v>
      </c>
      <c r="D61" s="84">
        <v>0</v>
      </c>
      <c r="E61" s="85">
        <v>15</v>
      </c>
      <c r="F61" s="84">
        <v>205</v>
      </c>
      <c r="G61" s="84">
        <v>0</v>
      </c>
      <c r="H61" s="85">
        <v>205</v>
      </c>
      <c r="I61" s="84">
        <v>375</v>
      </c>
      <c r="J61" s="84">
        <v>5</v>
      </c>
      <c r="K61" s="85">
        <v>380</v>
      </c>
      <c r="L61" s="84">
        <v>1535</v>
      </c>
      <c r="M61" s="84">
        <v>15</v>
      </c>
      <c r="N61" s="85">
        <v>1550</v>
      </c>
      <c r="O61" s="84">
        <v>2000</v>
      </c>
      <c r="P61" s="84">
        <v>55</v>
      </c>
      <c r="Q61" s="85">
        <v>2055</v>
      </c>
      <c r="R61" s="84">
        <v>8725</v>
      </c>
      <c r="S61" s="84">
        <v>1315</v>
      </c>
      <c r="T61" s="85">
        <v>10040</v>
      </c>
      <c r="U61" s="84">
        <v>95</v>
      </c>
      <c r="V61" s="84">
        <v>5</v>
      </c>
      <c r="W61" s="85">
        <v>100</v>
      </c>
      <c r="X61" s="84">
        <v>1640</v>
      </c>
      <c r="Y61" s="84">
        <v>90</v>
      </c>
      <c r="Z61" s="85">
        <v>1730</v>
      </c>
      <c r="AA61" s="84">
        <v>565</v>
      </c>
      <c r="AB61" s="84">
        <v>270</v>
      </c>
      <c r="AC61" s="85">
        <v>835</v>
      </c>
      <c r="AD61" s="84">
        <v>220</v>
      </c>
      <c r="AE61" s="84">
        <v>135</v>
      </c>
      <c r="AF61" s="85">
        <v>355</v>
      </c>
      <c r="AG61" s="117">
        <v>15375</v>
      </c>
      <c r="AH61" s="117">
        <v>1885</v>
      </c>
      <c r="AI61" s="117">
        <v>17260</v>
      </c>
    </row>
    <row r="62" spans="2:35" x14ac:dyDescent="0.2">
      <c r="B62" s="36" t="s">
        <v>26</v>
      </c>
      <c r="C62" s="84">
        <v>10</v>
      </c>
      <c r="D62" s="84">
        <v>0</v>
      </c>
      <c r="E62" s="85">
        <v>10</v>
      </c>
      <c r="F62" s="84">
        <v>550</v>
      </c>
      <c r="G62" s="84">
        <v>5</v>
      </c>
      <c r="H62" s="85">
        <v>550</v>
      </c>
      <c r="I62" s="84">
        <v>1445</v>
      </c>
      <c r="J62" s="84">
        <v>15</v>
      </c>
      <c r="K62" s="85">
        <v>1460</v>
      </c>
      <c r="L62" s="84">
        <v>2265</v>
      </c>
      <c r="M62" s="84">
        <v>105</v>
      </c>
      <c r="N62" s="85">
        <v>2370</v>
      </c>
      <c r="O62" s="84">
        <v>530</v>
      </c>
      <c r="P62" s="84">
        <v>125</v>
      </c>
      <c r="Q62" s="85">
        <v>655</v>
      </c>
      <c r="R62" s="84">
        <v>55</v>
      </c>
      <c r="S62" s="84">
        <v>20</v>
      </c>
      <c r="T62" s="85">
        <v>75</v>
      </c>
      <c r="U62" s="84">
        <v>0</v>
      </c>
      <c r="V62" s="84">
        <v>0</v>
      </c>
      <c r="W62" s="85">
        <v>0</v>
      </c>
      <c r="X62" s="84">
        <v>0</v>
      </c>
      <c r="Y62" s="84">
        <v>5</v>
      </c>
      <c r="Z62" s="85">
        <v>5</v>
      </c>
      <c r="AA62" s="84">
        <v>0</v>
      </c>
      <c r="AB62" s="84">
        <v>5</v>
      </c>
      <c r="AC62" s="85">
        <v>10</v>
      </c>
      <c r="AD62" s="84">
        <v>0</v>
      </c>
      <c r="AE62" s="84">
        <v>0</v>
      </c>
      <c r="AF62" s="85">
        <v>0</v>
      </c>
      <c r="AG62" s="117">
        <v>4850</v>
      </c>
      <c r="AH62" s="117">
        <v>280</v>
      </c>
      <c r="AI62" s="117">
        <v>5135</v>
      </c>
    </row>
    <row r="63" spans="2:35" x14ac:dyDescent="0.2">
      <c r="B63" s="36" t="s">
        <v>27</v>
      </c>
      <c r="C63" s="84">
        <v>1175</v>
      </c>
      <c r="D63" s="84">
        <v>0</v>
      </c>
      <c r="E63" s="85">
        <v>1175</v>
      </c>
      <c r="F63" s="84">
        <v>1495</v>
      </c>
      <c r="G63" s="84">
        <v>5</v>
      </c>
      <c r="H63" s="85">
        <v>1495</v>
      </c>
      <c r="I63" s="84">
        <v>715</v>
      </c>
      <c r="J63" s="84">
        <v>5</v>
      </c>
      <c r="K63" s="85">
        <v>720</v>
      </c>
      <c r="L63" s="84">
        <v>1085</v>
      </c>
      <c r="M63" s="84">
        <v>45</v>
      </c>
      <c r="N63" s="85">
        <v>1130</v>
      </c>
      <c r="O63" s="84">
        <v>75</v>
      </c>
      <c r="P63" s="84">
        <v>25</v>
      </c>
      <c r="Q63" s="85">
        <v>100</v>
      </c>
      <c r="R63" s="84">
        <v>90</v>
      </c>
      <c r="S63" s="84">
        <v>40</v>
      </c>
      <c r="T63" s="85">
        <v>125</v>
      </c>
      <c r="U63" s="84">
        <v>10</v>
      </c>
      <c r="V63" s="84">
        <v>0</v>
      </c>
      <c r="W63" s="85">
        <v>10</v>
      </c>
      <c r="X63" s="84">
        <v>30</v>
      </c>
      <c r="Y63" s="84">
        <v>10</v>
      </c>
      <c r="Z63" s="85">
        <v>40</v>
      </c>
      <c r="AA63" s="84">
        <v>160</v>
      </c>
      <c r="AB63" s="84">
        <v>110</v>
      </c>
      <c r="AC63" s="85">
        <v>270</v>
      </c>
      <c r="AD63" s="84">
        <v>0</v>
      </c>
      <c r="AE63" s="84">
        <v>0</v>
      </c>
      <c r="AF63" s="85">
        <v>0</v>
      </c>
      <c r="AG63" s="117">
        <v>4830</v>
      </c>
      <c r="AH63" s="117">
        <v>235</v>
      </c>
      <c r="AI63" s="117">
        <v>5065</v>
      </c>
    </row>
    <row r="64" spans="2:35" x14ac:dyDescent="0.2">
      <c r="B64" s="52"/>
      <c r="C64" s="53"/>
      <c r="D64" s="54"/>
      <c r="E64" s="55"/>
      <c r="F64" s="53"/>
      <c r="G64" s="54"/>
      <c r="H64" s="55"/>
      <c r="I64" s="53"/>
      <c r="J64" s="54"/>
      <c r="K64" s="55"/>
      <c r="L64" s="53"/>
      <c r="M64" s="54"/>
      <c r="N64" s="55"/>
      <c r="O64" s="53"/>
      <c r="P64" s="54"/>
      <c r="Q64" s="55"/>
      <c r="R64" s="53"/>
      <c r="S64" s="54"/>
      <c r="T64" s="55"/>
      <c r="U64" s="53"/>
      <c r="V64" s="54"/>
      <c r="W64" s="55"/>
      <c r="X64" s="53"/>
      <c r="Y64" s="54"/>
      <c r="Z64" s="55"/>
      <c r="AA64" s="53"/>
      <c r="AB64" s="54"/>
      <c r="AC64" s="55"/>
      <c r="AD64" s="53"/>
      <c r="AE64" s="54"/>
      <c r="AF64" s="54"/>
      <c r="AG64" s="53"/>
      <c r="AH64" s="54"/>
      <c r="AI64" s="54"/>
    </row>
    <row r="67" spans="1:2" x14ac:dyDescent="0.2">
      <c r="A67" s="56"/>
      <c r="B67" s="57" t="s">
        <v>44</v>
      </c>
    </row>
    <row r="68" spans="1:2" s="29" customFormat="1" x14ac:dyDescent="0.2">
      <c r="A68" s="58">
        <v>1</v>
      </c>
      <c r="B68" s="58" t="s">
        <v>67</v>
      </c>
    </row>
    <row r="69" spans="1:2" s="29" customFormat="1" x14ac:dyDescent="0.2">
      <c r="A69" s="58">
        <v>2</v>
      </c>
      <c r="B69" s="58" t="s">
        <v>68</v>
      </c>
    </row>
    <row r="70" spans="1:2" s="29" customFormat="1" x14ac:dyDescent="0.2">
      <c r="A70" s="58">
        <v>3</v>
      </c>
      <c r="B70" s="58" t="s">
        <v>46</v>
      </c>
    </row>
    <row r="71" spans="1:2" s="29" customFormat="1" x14ac:dyDescent="0.2">
      <c r="A71" s="58">
        <v>4</v>
      </c>
      <c r="B71" s="58" t="s">
        <v>69</v>
      </c>
    </row>
    <row r="72" spans="1:2" x14ac:dyDescent="0.2">
      <c r="A72" s="58">
        <v>5</v>
      </c>
      <c r="B72" s="60" t="s">
        <v>91</v>
      </c>
    </row>
    <row r="73" spans="1:2" s="29" customFormat="1" x14ac:dyDescent="0.2">
      <c r="A73" s="58">
        <v>6</v>
      </c>
      <c r="B73" s="58" t="s">
        <v>77</v>
      </c>
    </row>
    <row r="74" spans="1:2" s="29" customFormat="1" x14ac:dyDescent="0.2">
      <c r="A74" s="58">
        <v>7</v>
      </c>
      <c r="B74" s="57" t="s">
        <v>47</v>
      </c>
    </row>
    <row r="75" spans="1:2" s="29" customFormat="1" x14ac:dyDescent="0.2">
      <c r="A75" s="58">
        <v>8</v>
      </c>
      <c r="B75" s="119" t="s">
        <v>101</v>
      </c>
    </row>
    <row r="76" spans="1:2" s="29" customFormat="1" x14ac:dyDescent="0.2">
      <c r="A76" s="58">
        <v>9</v>
      </c>
      <c r="B76" s="120" t="s">
        <v>102</v>
      </c>
    </row>
    <row r="77" spans="1:2" s="29" customFormat="1" x14ac:dyDescent="0.2">
      <c r="A77" s="58">
        <v>10</v>
      </c>
      <c r="B77" s="120" t="s">
        <v>103</v>
      </c>
    </row>
    <row r="78" spans="1:2" s="29" customFormat="1" x14ac:dyDescent="0.2">
      <c r="A78" s="58">
        <v>11</v>
      </c>
      <c r="B78" s="57" t="s">
        <v>49</v>
      </c>
    </row>
    <row r="79" spans="1:2" s="29" customFormat="1" x14ac:dyDescent="0.2">
      <c r="A79" s="58">
        <v>12</v>
      </c>
      <c r="B79" s="57" t="s">
        <v>48</v>
      </c>
    </row>
    <row r="80" spans="1:2" s="29" customFormat="1" x14ac:dyDescent="0.2">
      <c r="A80" s="58">
        <v>13</v>
      </c>
      <c r="B80" s="59" t="s">
        <v>104</v>
      </c>
    </row>
    <row r="81" spans="1:2" s="29" customFormat="1" x14ac:dyDescent="0.2">
      <c r="A81" s="58">
        <v>14</v>
      </c>
      <c r="B81" s="59" t="s">
        <v>70</v>
      </c>
    </row>
    <row r="82" spans="1:2" s="29" customFormat="1" x14ac:dyDescent="0.2">
      <c r="A82" s="58">
        <v>15</v>
      </c>
      <c r="B82" s="59" t="s">
        <v>89</v>
      </c>
    </row>
    <row r="83" spans="1:2" s="29" customFormat="1" x14ac:dyDescent="0.2">
      <c r="A83" s="58">
        <v>16</v>
      </c>
      <c r="B83" s="57" t="s">
        <v>50</v>
      </c>
    </row>
    <row r="84" spans="1:2" x14ac:dyDescent="0.2">
      <c r="A84" s="58">
        <v>17</v>
      </c>
      <c r="B84" s="121" t="s">
        <v>105</v>
      </c>
    </row>
    <row r="85" spans="1:2" s="29" customFormat="1" x14ac:dyDescent="0.2">
      <c r="A85" s="30"/>
      <c r="B85" s="57"/>
    </row>
  </sheetData>
  <mergeCells count="13">
    <mergeCell ref="AG3:AI3"/>
    <mergeCell ref="B3:B5"/>
    <mergeCell ref="C3:E3"/>
    <mergeCell ref="F3:H3"/>
    <mergeCell ref="I3:K3"/>
    <mergeCell ref="L3:N3"/>
    <mergeCell ref="O3:Q3"/>
    <mergeCell ref="C5:AI5"/>
    <mergeCell ref="R3:T3"/>
    <mergeCell ref="U3:W3"/>
    <mergeCell ref="X3:Z3"/>
    <mergeCell ref="AA3:AC3"/>
    <mergeCell ref="AD3:AF3"/>
  </mergeCells>
  <pageMargins left="0.75" right="0.75" top="0.5" bottom="0.5" header="0.5" footer="0.5"/>
  <pageSetup paperSize="9" orientation="landscape"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I151"/>
  <sheetViews>
    <sheetView zoomScale="80" zoomScaleNormal="80" workbookViewId="0">
      <pane xSplit="2" ySplit="5" topLeftCell="C6" activePane="bottomRight" state="frozen"/>
      <selection sqref="A1:AB1"/>
      <selection pane="topRight" sqref="A1:AB1"/>
      <selection pane="bottomLeft" sqref="A1:AB1"/>
      <selection pane="bottomRight" activeCell="B2" sqref="B2"/>
    </sheetView>
  </sheetViews>
  <sheetFormatPr defaultRowHeight="15" x14ac:dyDescent="0.25"/>
  <cols>
    <col min="1" max="1" width="3.28515625" customWidth="1"/>
    <col min="2" max="2" width="40.7109375" customWidth="1"/>
    <col min="3" max="35" width="11.7109375" customWidth="1"/>
  </cols>
  <sheetData>
    <row r="1" spans="1:35" ht="15" customHeight="1" x14ac:dyDescent="0.25">
      <c r="A1" s="1"/>
      <c r="B1" s="2" t="s">
        <v>28</v>
      </c>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row>
    <row r="2" spans="1:35" ht="15" customHeight="1" x14ac:dyDescent="0.25">
      <c r="A2" s="1"/>
      <c r="B2" s="4"/>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row>
    <row r="3" spans="1:35" ht="15" customHeight="1" x14ac:dyDescent="0.25">
      <c r="A3" s="1"/>
      <c r="B3" s="139" t="s">
        <v>29</v>
      </c>
      <c r="C3" s="137" t="s">
        <v>3</v>
      </c>
      <c r="D3" s="138"/>
      <c r="E3" s="142"/>
      <c r="F3" s="137" t="s">
        <v>30</v>
      </c>
      <c r="G3" s="138"/>
      <c r="H3" s="142"/>
      <c r="I3" s="137" t="s">
        <v>2</v>
      </c>
      <c r="J3" s="138"/>
      <c r="K3" s="142"/>
      <c r="L3" s="137" t="s">
        <v>31</v>
      </c>
      <c r="M3" s="138"/>
      <c r="N3" s="142"/>
      <c r="O3" s="137" t="s">
        <v>32</v>
      </c>
      <c r="P3" s="138"/>
      <c r="Q3" s="142"/>
      <c r="R3" s="137" t="s">
        <v>92</v>
      </c>
      <c r="S3" s="138"/>
      <c r="T3" s="142"/>
      <c r="U3" s="137" t="s">
        <v>93</v>
      </c>
      <c r="V3" s="138"/>
      <c r="W3" s="142"/>
      <c r="X3" s="137" t="s">
        <v>94</v>
      </c>
      <c r="Y3" s="138"/>
      <c r="Z3" s="142"/>
      <c r="AA3" s="137" t="s">
        <v>95</v>
      </c>
      <c r="AB3" s="138"/>
      <c r="AC3" s="142"/>
      <c r="AD3" s="137" t="s">
        <v>96</v>
      </c>
      <c r="AE3" s="138"/>
      <c r="AF3" s="138"/>
      <c r="AG3" s="137" t="s">
        <v>33</v>
      </c>
      <c r="AH3" s="138"/>
      <c r="AI3" s="138"/>
    </row>
    <row r="4" spans="1:35" ht="15" customHeight="1" x14ac:dyDescent="0.25">
      <c r="A4" s="1"/>
      <c r="B4" s="140"/>
      <c r="C4" s="5" t="s">
        <v>1</v>
      </c>
      <c r="D4" s="6" t="s">
        <v>0</v>
      </c>
      <c r="E4" s="7" t="s">
        <v>34</v>
      </c>
      <c r="F4" s="5" t="s">
        <v>1</v>
      </c>
      <c r="G4" s="6" t="s">
        <v>0</v>
      </c>
      <c r="H4" s="7" t="s">
        <v>34</v>
      </c>
      <c r="I4" s="5" t="s">
        <v>1</v>
      </c>
      <c r="J4" s="6" t="s">
        <v>0</v>
      </c>
      <c r="K4" s="7" t="s">
        <v>34</v>
      </c>
      <c r="L4" s="5" t="s">
        <v>1</v>
      </c>
      <c r="M4" s="6" t="s">
        <v>0</v>
      </c>
      <c r="N4" s="7" t="s">
        <v>34</v>
      </c>
      <c r="O4" s="5" t="s">
        <v>1</v>
      </c>
      <c r="P4" s="6" t="s">
        <v>0</v>
      </c>
      <c r="Q4" s="7" t="s">
        <v>34</v>
      </c>
      <c r="R4" s="5" t="s">
        <v>1</v>
      </c>
      <c r="S4" s="6" t="s">
        <v>0</v>
      </c>
      <c r="T4" s="7" t="s">
        <v>34</v>
      </c>
      <c r="U4" s="5" t="s">
        <v>1</v>
      </c>
      <c r="V4" s="6" t="s">
        <v>0</v>
      </c>
      <c r="W4" s="7" t="s">
        <v>34</v>
      </c>
      <c r="X4" s="5" t="s">
        <v>1</v>
      </c>
      <c r="Y4" s="6" t="s">
        <v>0</v>
      </c>
      <c r="Z4" s="7" t="s">
        <v>34</v>
      </c>
      <c r="AA4" s="5" t="s">
        <v>1</v>
      </c>
      <c r="AB4" s="6" t="s">
        <v>0</v>
      </c>
      <c r="AC4" s="7" t="s">
        <v>34</v>
      </c>
      <c r="AD4" s="5" t="s">
        <v>1</v>
      </c>
      <c r="AE4" s="6" t="s">
        <v>0</v>
      </c>
      <c r="AF4" s="8" t="s">
        <v>34</v>
      </c>
      <c r="AG4" s="5" t="s">
        <v>1</v>
      </c>
      <c r="AH4" s="6" t="s">
        <v>0</v>
      </c>
      <c r="AI4" s="8" t="s">
        <v>34</v>
      </c>
    </row>
    <row r="5" spans="1:35" ht="15" customHeight="1" x14ac:dyDescent="0.25">
      <c r="A5" s="1"/>
      <c r="B5" s="141"/>
      <c r="C5" s="134"/>
      <c r="D5" s="143"/>
      <c r="E5" s="143"/>
      <c r="F5" s="143"/>
      <c r="G5" s="143"/>
      <c r="H5" s="143"/>
      <c r="I5" s="143"/>
      <c r="J5" s="143"/>
      <c r="K5" s="143"/>
      <c r="L5" s="143"/>
      <c r="M5" s="143"/>
      <c r="N5" s="143"/>
      <c r="O5" s="143"/>
      <c r="P5" s="143"/>
      <c r="Q5" s="143"/>
      <c r="R5" s="143"/>
      <c r="S5" s="143"/>
      <c r="T5" s="143"/>
      <c r="U5" s="143"/>
      <c r="V5" s="143"/>
      <c r="W5" s="143"/>
      <c r="X5" s="143"/>
      <c r="Y5" s="143"/>
      <c r="Z5" s="143"/>
      <c r="AA5" s="143"/>
      <c r="AB5" s="143"/>
      <c r="AC5" s="143"/>
      <c r="AD5" s="143"/>
      <c r="AE5" s="143"/>
      <c r="AF5" s="143"/>
      <c r="AG5" s="144"/>
      <c r="AH5" s="144"/>
      <c r="AI5" s="144"/>
    </row>
    <row r="6" spans="1:35" x14ac:dyDescent="0.25">
      <c r="A6" s="1"/>
      <c r="B6" s="9">
        <v>2009</v>
      </c>
      <c r="C6" s="82">
        <v>3565</v>
      </c>
      <c r="D6" s="82">
        <v>150</v>
      </c>
      <c r="E6" s="83">
        <v>3715</v>
      </c>
      <c r="F6" s="82">
        <v>19720</v>
      </c>
      <c r="G6" s="82">
        <v>575</v>
      </c>
      <c r="H6" s="83">
        <v>20300</v>
      </c>
      <c r="I6" s="82">
        <v>25880</v>
      </c>
      <c r="J6" s="82">
        <v>1355</v>
      </c>
      <c r="K6" s="83">
        <v>27235</v>
      </c>
      <c r="L6" s="82">
        <v>23045</v>
      </c>
      <c r="M6" s="82">
        <v>1735</v>
      </c>
      <c r="N6" s="83">
        <v>24780</v>
      </c>
      <c r="O6" s="82">
        <v>16365</v>
      </c>
      <c r="P6" s="82">
        <v>3955</v>
      </c>
      <c r="Q6" s="83">
        <v>20320</v>
      </c>
      <c r="R6" s="82">
        <v>21180</v>
      </c>
      <c r="S6" s="82">
        <v>2870</v>
      </c>
      <c r="T6" s="83">
        <v>24050</v>
      </c>
      <c r="U6" s="82">
        <v>4440</v>
      </c>
      <c r="V6" s="82">
        <v>1015</v>
      </c>
      <c r="W6" s="83">
        <v>5455</v>
      </c>
      <c r="X6" s="82">
        <v>8410</v>
      </c>
      <c r="Y6" s="82">
        <v>1145</v>
      </c>
      <c r="Z6" s="83">
        <v>9555</v>
      </c>
      <c r="AA6" s="82">
        <v>3140</v>
      </c>
      <c r="AB6" s="82">
        <v>925</v>
      </c>
      <c r="AC6" s="83">
        <v>4070</v>
      </c>
      <c r="AD6" s="82">
        <v>675</v>
      </c>
      <c r="AE6" s="82">
        <v>210</v>
      </c>
      <c r="AF6" s="82">
        <v>885</v>
      </c>
      <c r="AG6" s="97">
        <v>118415</v>
      </c>
      <c r="AH6" s="84">
        <v>13605</v>
      </c>
      <c r="AI6" s="84">
        <v>132020</v>
      </c>
    </row>
    <row r="7" spans="1:35" x14ac:dyDescent="0.25">
      <c r="A7" s="1"/>
      <c r="B7" s="9">
        <v>2010</v>
      </c>
      <c r="C7" s="84">
        <v>3075</v>
      </c>
      <c r="D7" s="84">
        <v>170</v>
      </c>
      <c r="E7" s="85">
        <v>3245</v>
      </c>
      <c r="F7" s="84">
        <v>19690</v>
      </c>
      <c r="G7" s="84">
        <v>625</v>
      </c>
      <c r="H7" s="85">
        <v>20315</v>
      </c>
      <c r="I7" s="84">
        <v>29085</v>
      </c>
      <c r="J7" s="84">
        <v>1330</v>
      </c>
      <c r="K7" s="85">
        <v>30415</v>
      </c>
      <c r="L7" s="84">
        <v>23580</v>
      </c>
      <c r="M7" s="84">
        <v>1960</v>
      </c>
      <c r="N7" s="85">
        <v>25540</v>
      </c>
      <c r="O7" s="84">
        <v>17875</v>
      </c>
      <c r="P7" s="84">
        <v>4495</v>
      </c>
      <c r="Q7" s="85">
        <v>22370</v>
      </c>
      <c r="R7" s="84">
        <v>21000</v>
      </c>
      <c r="S7" s="84">
        <v>2600</v>
      </c>
      <c r="T7" s="85">
        <v>23600</v>
      </c>
      <c r="U7" s="84">
        <v>4490</v>
      </c>
      <c r="V7" s="84">
        <v>1120</v>
      </c>
      <c r="W7" s="85">
        <v>5615</v>
      </c>
      <c r="X7" s="84">
        <v>8960</v>
      </c>
      <c r="Y7" s="84">
        <v>1290</v>
      </c>
      <c r="Z7" s="85">
        <v>10250</v>
      </c>
      <c r="AA7" s="84">
        <v>3330</v>
      </c>
      <c r="AB7" s="84">
        <v>990</v>
      </c>
      <c r="AC7" s="85">
        <v>4325</v>
      </c>
      <c r="AD7" s="84">
        <v>730</v>
      </c>
      <c r="AE7" s="84">
        <v>290</v>
      </c>
      <c r="AF7" s="84">
        <v>1020</v>
      </c>
      <c r="AG7" s="97">
        <v>122675</v>
      </c>
      <c r="AH7" s="84">
        <v>14540</v>
      </c>
      <c r="AI7" s="84">
        <v>137215</v>
      </c>
    </row>
    <row r="8" spans="1:35" x14ac:dyDescent="0.25">
      <c r="A8" s="1"/>
      <c r="B8" s="9">
        <v>2011</v>
      </c>
      <c r="C8" s="84">
        <v>3080</v>
      </c>
      <c r="D8" s="84">
        <v>290</v>
      </c>
      <c r="E8" s="85">
        <v>3370</v>
      </c>
      <c r="F8" s="84">
        <v>17355</v>
      </c>
      <c r="G8" s="84">
        <v>750</v>
      </c>
      <c r="H8" s="85">
        <v>18105</v>
      </c>
      <c r="I8" s="84">
        <v>28670</v>
      </c>
      <c r="J8" s="84">
        <v>1340</v>
      </c>
      <c r="K8" s="85">
        <v>30010</v>
      </c>
      <c r="L8" s="84">
        <v>25170</v>
      </c>
      <c r="M8" s="84">
        <v>2575</v>
      </c>
      <c r="N8" s="85">
        <v>27745</v>
      </c>
      <c r="O8" s="84">
        <v>18805</v>
      </c>
      <c r="P8" s="84">
        <v>5740</v>
      </c>
      <c r="Q8" s="85">
        <v>24545</v>
      </c>
      <c r="R8" s="84">
        <v>23605</v>
      </c>
      <c r="S8" s="84">
        <v>2865</v>
      </c>
      <c r="T8" s="85">
        <v>26470</v>
      </c>
      <c r="U8" s="84">
        <v>5070</v>
      </c>
      <c r="V8" s="84">
        <v>1280</v>
      </c>
      <c r="W8" s="85">
        <v>6350</v>
      </c>
      <c r="X8" s="84">
        <v>9215</v>
      </c>
      <c r="Y8" s="84">
        <v>1475</v>
      </c>
      <c r="Z8" s="85">
        <v>10690</v>
      </c>
      <c r="AA8" s="84">
        <v>3600</v>
      </c>
      <c r="AB8" s="84">
        <v>1120</v>
      </c>
      <c r="AC8" s="85">
        <v>4720</v>
      </c>
      <c r="AD8" s="84">
        <v>705</v>
      </c>
      <c r="AE8" s="84">
        <v>415</v>
      </c>
      <c r="AF8" s="84">
        <v>1120</v>
      </c>
      <c r="AG8" s="97">
        <v>125280</v>
      </c>
      <c r="AH8" s="84">
        <v>17315</v>
      </c>
      <c r="AI8" s="84">
        <v>142595</v>
      </c>
    </row>
    <row r="9" spans="1:35" x14ac:dyDescent="0.25">
      <c r="A9" s="1"/>
      <c r="B9" s="9">
        <v>2012</v>
      </c>
      <c r="C9" s="84">
        <v>4230</v>
      </c>
      <c r="D9" s="84">
        <v>295</v>
      </c>
      <c r="E9" s="85">
        <v>4525</v>
      </c>
      <c r="F9" s="84">
        <v>18800</v>
      </c>
      <c r="G9" s="84">
        <v>750</v>
      </c>
      <c r="H9" s="85">
        <v>19550</v>
      </c>
      <c r="I9" s="84">
        <v>28030</v>
      </c>
      <c r="J9" s="84">
        <v>1065</v>
      </c>
      <c r="K9" s="85">
        <v>29095</v>
      </c>
      <c r="L9" s="84">
        <v>25750</v>
      </c>
      <c r="M9" s="84">
        <v>2235</v>
      </c>
      <c r="N9" s="85">
        <v>27985</v>
      </c>
      <c r="O9" s="84">
        <v>18860</v>
      </c>
      <c r="P9" s="84">
        <v>5700</v>
      </c>
      <c r="Q9" s="85">
        <v>24560</v>
      </c>
      <c r="R9" s="84">
        <v>25580</v>
      </c>
      <c r="S9" s="84">
        <v>3475</v>
      </c>
      <c r="T9" s="85">
        <v>29055</v>
      </c>
      <c r="U9" s="84">
        <v>4360</v>
      </c>
      <c r="V9" s="84">
        <v>1285</v>
      </c>
      <c r="W9" s="85">
        <v>5645</v>
      </c>
      <c r="X9" s="84">
        <v>9365</v>
      </c>
      <c r="Y9" s="84">
        <v>1465</v>
      </c>
      <c r="Z9" s="85">
        <v>10825</v>
      </c>
      <c r="AA9" s="84">
        <v>3525</v>
      </c>
      <c r="AB9" s="84">
        <v>1235</v>
      </c>
      <c r="AC9" s="85">
        <v>4760</v>
      </c>
      <c r="AD9" s="84">
        <v>645</v>
      </c>
      <c r="AE9" s="84">
        <v>425</v>
      </c>
      <c r="AF9" s="84">
        <v>1070</v>
      </c>
      <c r="AG9" s="97">
        <v>128765</v>
      </c>
      <c r="AH9" s="84">
        <v>17385</v>
      </c>
      <c r="AI9" s="84">
        <v>146150</v>
      </c>
    </row>
    <row r="10" spans="1:35" x14ac:dyDescent="0.25">
      <c r="A10" s="1"/>
      <c r="B10" s="9">
        <v>2013</v>
      </c>
      <c r="C10" s="84">
        <v>4885</v>
      </c>
      <c r="D10" s="84">
        <v>345</v>
      </c>
      <c r="E10" s="85">
        <v>5230</v>
      </c>
      <c r="F10" s="84">
        <v>19745</v>
      </c>
      <c r="G10" s="84">
        <v>775</v>
      </c>
      <c r="H10" s="85">
        <v>20515</v>
      </c>
      <c r="I10" s="84">
        <v>29100</v>
      </c>
      <c r="J10" s="84">
        <v>1225</v>
      </c>
      <c r="K10" s="85">
        <v>30325</v>
      </c>
      <c r="L10" s="84">
        <v>26020</v>
      </c>
      <c r="M10" s="84">
        <v>2330</v>
      </c>
      <c r="N10" s="85">
        <v>28350</v>
      </c>
      <c r="O10" s="84">
        <v>17985</v>
      </c>
      <c r="P10" s="84">
        <v>4535</v>
      </c>
      <c r="Q10" s="85">
        <v>22520</v>
      </c>
      <c r="R10" s="84">
        <v>26025</v>
      </c>
      <c r="S10" s="84">
        <v>3415</v>
      </c>
      <c r="T10" s="85">
        <v>29440</v>
      </c>
      <c r="U10" s="84">
        <v>3835</v>
      </c>
      <c r="V10" s="84">
        <v>1380</v>
      </c>
      <c r="W10" s="85">
        <v>5215</v>
      </c>
      <c r="X10" s="84">
        <v>9125</v>
      </c>
      <c r="Y10" s="84">
        <v>1575</v>
      </c>
      <c r="Z10" s="85">
        <v>10700</v>
      </c>
      <c r="AA10" s="84">
        <v>3585</v>
      </c>
      <c r="AB10" s="84">
        <v>1250</v>
      </c>
      <c r="AC10" s="85">
        <v>4835</v>
      </c>
      <c r="AD10" s="84">
        <v>745</v>
      </c>
      <c r="AE10" s="84">
        <v>565</v>
      </c>
      <c r="AF10" s="84">
        <v>1310</v>
      </c>
      <c r="AG10" s="97">
        <v>129870</v>
      </c>
      <c r="AH10" s="84">
        <v>16905</v>
      </c>
      <c r="AI10" s="84">
        <v>146765</v>
      </c>
    </row>
    <row r="11" spans="1:35" x14ac:dyDescent="0.25">
      <c r="A11" s="1"/>
      <c r="B11" s="9">
        <v>2014</v>
      </c>
      <c r="C11" s="84">
        <v>6295</v>
      </c>
      <c r="D11" s="84">
        <v>340</v>
      </c>
      <c r="E11" s="85">
        <v>6595</v>
      </c>
      <c r="F11" s="84">
        <v>17805</v>
      </c>
      <c r="G11" s="84">
        <v>1045</v>
      </c>
      <c r="H11" s="85">
        <v>18850</v>
      </c>
      <c r="I11" s="84">
        <v>30330</v>
      </c>
      <c r="J11" s="84">
        <v>1660</v>
      </c>
      <c r="K11" s="85">
        <v>31990</v>
      </c>
      <c r="L11" s="84">
        <v>24080</v>
      </c>
      <c r="M11" s="84">
        <v>2075</v>
      </c>
      <c r="N11" s="85">
        <v>26150</v>
      </c>
      <c r="O11" s="84">
        <v>17625</v>
      </c>
      <c r="P11" s="84">
        <v>4910</v>
      </c>
      <c r="Q11" s="85">
        <v>22535</v>
      </c>
      <c r="R11" s="84">
        <v>25790</v>
      </c>
      <c r="S11" s="84">
        <v>3355</v>
      </c>
      <c r="T11" s="85">
        <v>29145</v>
      </c>
      <c r="U11" s="84">
        <v>3740</v>
      </c>
      <c r="V11" s="84">
        <v>1610</v>
      </c>
      <c r="W11" s="85">
        <v>5350</v>
      </c>
      <c r="X11" s="84">
        <v>8645</v>
      </c>
      <c r="Y11" s="84">
        <v>1645</v>
      </c>
      <c r="Z11" s="85">
        <v>10290</v>
      </c>
      <c r="AA11" s="84">
        <v>3580</v>
      </c>
      <c r="AB11" s="84">
        <v>1535</v>
      </c>
      <c r="AC11" s="85">
        <v>5115</v>
      </c>
      <c r="AD11" s="84">
        <v>775</v>
      </c>
      <c r="AE11" s="84">
        <v>665</v>
      </c>
      <c r="AF11" s="84">
        <v>1440</v>
      </c>
      <c r="AG11" s="97">
        <v>127710</v>
      </c>
      <c r="AH11" s="84">
        <v>18180</v>
      </c>
      <c r="AI11" s="84">
        <v>145850</v>
      </c>
    </row>
    <row r="12" spans="1:35" x14ac:dyDescent="0.25">
      <c r="A12" s="1"/>
      <c r="B12" s="9">
        <v>2015</v>
      </c>
      <c r="C12" s="84">
        <v>5745</v>
      </c>
      <c r="D12" s="84">
        <v>190</v>
      </c>
      <c r="E12" s="85">
        <v>5930</v>
      </c>
      <c r="F12" s="84">
        <v>15890</v>
      </c>
      <c r="G12" s="84">
        <v>1130</v>
      </c>
      <c r="H12" s="85">
        <v>17020</v>
      </c>
      <c r="I12" s="84">
        <v>29095</v>
      </c>
      <c r="J12" s="84">
        <v>1635</v>
      </c>
      <c r="K12" s="85">
        <v>30730</v>
      </c>
      <c r="L12" s="84">
        <v>23995</v>
      </c>
      <c r="M12" s="84">
        <v>2455</v>
      </c>
      <c r="N12" s="85">
        <v>26450</v>
      </c>
      <c r="O12" s="84">
        <v>16390</v>
      </c>
      <c r="P12" s="84">
        <v>6140</v>
      </c>
      <c r="Q12" s="85">
        <v>22535</v>
      </c>
      <c r="R12" s="84">
        <v>25440</v>
      </c>
      <c r="S12" s="84">
        <v>3560</v>
      </c>
      <c r="T12" s="85">
        <v>29000</v>
      </c>
      <c r="U12" s="84">
        <v>3360</v>
      </c>
      <c r="V12" s="84">
        <v>2420</v>
      </c>
      <c r="W12" s="85">
        <v>5780</v>
      </c>
      <c r="X12" s="84">
        <v>8530</v>
      </c>
      <c r="Y12" s="84">
        <v>2290</v>
      </c>
      <c r="Z12" s="85">
        <v>10815</v>
      </c>
      <c r="AA12" s="84">
        <v>4110</v>
      </c>
      <c r="AB12" s="84">
        <v>1665</v>
      </c>
      <c r="AC12" s="85">
        <v>5775</v>
      </c>
      <c r="AD12" s="84">
        <v>690</v>
      </c>
      <c r="AE12" s="84">
        <v>660</v>
      </c>
      <c r="AF12" s="84">
        <v>1350</v>
      </c>
      <c r="AG12" s="97">
        <v>123475</v>
      </c>
      <c r="AH12" s="84">
        <v>21565</v>
      </c>
      <c r="AI12" s="84">
        <v>145035</v>
      </c>
    </row>
    <row r="13" spans="1:35" x14ac:dyDescent="0.25">
      <c r="A13" s="1"/>
      <c r="B13" s="9">
        <v>2016</v>
      </c>
      <c r="C13" s="84">
        <v>4860</v>
      </c>
      <c r="D13" s="84">
        <v>170</v>
      </c>
      <c r="E13" s="85">
        <v>5030</v>
      </c>
      <c r="F13" s="84">
        <v>14150</v>
      </c>
      <c r="G13" s="84">
        <v>1090</v>
      </c>
      <c r="H13" s="85">
        <v>15240</v>
      </c>
      <c r="I13" s="84">
        <v>27125</v>
      </c>
      <c r="J13" s="84">
        <v>1545</v>
      </c>
      <c r="K13" s="85">
        <v>28665</v>
      </c>
      <c r="L13" s="84">
        <v>24705</v>
      </c>
      <c r="M13" s="84">
        <v>2760</v>
      </c>
      <c r="N13" s="85">
        <v>27460</v>
      </c>
      <c r="O13" s="84">
        <v>16795</v>
      </c>
      <c r="P13" s="84">
        <v>7980</v>
      </c>
      <c r="Q13" s="85">
        <v>24775</v>
      </c>
      <c r="R13" s="84">
        <v>24925</v>
      </c>
      <c r="S13" s="84">
        <v>3605</v>
      </c>
      <c r="T13" s="85">
        <v>28530</v>
      </c>
      <c r="U13" s="84">
        <v>3170</v>
      </c>
      <c r="V13" s="84">
        <v>3180</v>
      </c>
      <c r="W13" s="85">
        <v>6350</v>
      </c>
      <c r="X13" s="84">
        <v>9690</v>
      </c>
      <c r="Y13" s="84">
        <v>3020</v>
      </c>
      <c r="Z13" s="85">
        <v>12710</v>
      </c>
      <c r="AA13" s="84">
        <v>4340</v>
      </c>
      <c r="AB13" s="84">
        <v>2060</v>
      </c>
      <c r="AC13" s="85">
        <v>6395</v>
      </c>
      <c r="AD13" s="84">
        <v>675</v>
      </c>
      <c r="AE13" s="84">
        <v>650</v>
      </c>
      <c r="AF13" s="84">
        <v>1325</v>
      </c>
      <c r="AG13" s="97">
        <v>121215</v>
      </c>
      <c r="AH13" s="84">
        <v>25315</v>
      </c>
      <c r="AI13" s="84">
        <v>146525</v>
      </c>
    </row>
    <row r="14" spans="1:35" x14ac:dyDescent="0.25">
      <c r="A14" s="1"/>
      <c r="B14" s="9">
        <v>2017</v>
      </c>
      <c r="C14" s="84">
        <v>6280</v>
      </c>
      <c r="D14" s="84">
        <v>230</v>
      </c>
      <c r="E14" s="85">
        <v>6510</v>
      </c>
      <c r="F14" s="84">
        <v>13155</v>
      </c>
      <c r="G14" s="84">
        <v>1130</v>
      </c>
      <c r="H14" s="85">
        <v>14285</v>
      </c>
      <c r="I14" s="84">
        <v>27850</v>
      </c>
      <c r="J14" s="84">
        <v>1530</v>
      </c>
      <c r="K14" s="85">
        <v>29380</v>
      </c>
      <c r="L14" s="84">
        <v>25920</v>
      </c>
      <c r="M14" s="84">
        <v>3015</v>
      </c>
      <c r="N14" s="85">
        <v>28935</v>
      </c>
      <c r="O14" s="84">
        <v>16290</v>
      </c>
      <c r="P14" s="84">
        <v>6815</v>
      </c>
      <c r="Q14" s="85">
        <v>23105</v>
      </c>
      <c r="R14" s="84">
        <v>24115</v>
      </c>
      <c r="S14" s="84">
        <v>3915</v>
      </c>
      <c r="T14" s="85">
        <v>28025</v>
      </c>
      <c r="U14" s="84">
        <v>3100</v>
      </c>
      <c r="V14" s="84">
        <v>3265</v>
      </c>
      <c r="W14" s="85">
        <v>6370</v>
      </c>
      <c r="X14" s="84">
        <v>9755</v>
      </c>
      <c r="Y14" s="84">
        <v>2885</v>
      </c>
      <c r="Z14" s="85">
        <v>12640</v>
      </c>
      <c r="AA14" s="84">
        <v>4315</v>
      </c>
      <c r="AB14" s="84">
        <v>2205</v>
      </c>
      <c r="AC14" s="85">
        <v>6520</v>
      </c>
      <c r="AD14" s="84">
        <v>775</v>
      </c>
      <c r="AE14" s="84">
        <v>730</v>
      </c>
      <c r="AF14" s="84">
        <v>1505</v>
      </c>
      <c r="AG14" s="97">
        <v>119085</v>
      </c>
      <c r="AH14" s="84">
        <v>24925</v>
      </c>
      <c r="AI14" s="84">
        <v>144010</v>
      </c>
    </row>
    <row r="15" spans="1:35" x14ac:dyDescent="0.25">
      <c r="A15" s="1"/>
      <c r="B15" s="9">
        <v>2018</v>
      </c>
      <c r="C15" s="84">
        <v>6900</v>
      </c>
      <c r="D15" s="84">
        <v>180</v>
      </c>
      <c r="E15" s="85">
        <v>7080</v>
      </c>
      <c r="F15" s="84">
        <v>11510</v>
      </c>
      <c r="G15" s="84">
        <v>1070</v>
      </c>
      <c r="H15" s="85">
        <v>12585</v>
      </c>
      <c r="I15" s="84">
        <v>27570</v>
      </c>
      <c r="J15" s="84">
        <v>1380</v>
      </c>
      <c r="K15" s="85">
        <v>28955</v>
      </c>
      <c r="L15" s="84">
        <v>22370</v>
      </c>
      <c r="M15" s="84">
        <v>2985</v>
      </c>
      <c r="N15" s="85">
        <v>25350</v>
      </c>
      <c r="O15" s="84">
        <v>17020</v>
      </c>
      <c r="P15" s="84">
        <v>5280</v>
      </c>
      <c r="Q15" s="85">
        <v>22300</v>
      </c>
      <c r="R15" s="84">
        <v>24585</v>
      </c>
      <c r="S15" s="84">
        <v>3920</v>
      </c>
      <c r="T15" s="85">
        <v>28505</v>
      </c>
      <c r="U15" s="84">
        <v>3300</v>
      </c>
      <c r="V15" s="84">
        <v>3700</v>
      </c>
      <c r="W15" s="85">
        <v>6995</v>
      </c>
      <c r="X15" s="84">
        <v>10540</v>
      </c>
      <c r="Y15" s="84">
        <v>3055</v>
      </c>
      <c r="Z15" s="85">
        <v>13595</v>
      </c>
      <c r="AA15" s="84">
        <v>4880</v>
      </c>
      <c r="AB15" s="84">
        <v>2905</v>
      </c>
      <c r="AC15" s="85">
        <v>7785</v>
      </c>
      <c r="AD15" s="84">
        <v>715</v>
      </c>
      <c r="AE15" s="84">
        <v>725</v>
      </c>
      <c r="AF15" s="84">
        <v>1440</v>
      </c>
      <c r="AG15" s="97">
        <v>117855</v>
      </c>
      <c r="AH15" s="84">
        <v>24475</v>
      </c>
      <c r="AI15" s="84">
        <v>142325</v>
      </c>
    </row>
    <row r="16" spans="1:35" x14ac:dyDescent="0.25">
      <c r="A16" s="1"/>
      <c r="B16" s="9">
        <v>2019</v>
      </c>
      <c r="C16" s="84">
        <v>6570</v>
      </c>
      <c r="D16" s="84">
        <v>100</v>
      </c>
      <c r="E16" s="85">
        <v>6670</v>
      </c>
      <c r="F16" s="84">
        <v>10105</v>
      </c>
      <c r="G16" s="84">
        <v>1160</v>
      </c>
      <c r="H16" s="85">
        <v>11265</v>
      </c>
      <c r="I16" s="84">
        <v>25830</v>
      </c>
      <c r="J16" s="84">
        <v>1075</v>
      </c>
      <c r="K16" s="85">
        <v>26910</v>
      </c>
      <c r="L16" s="84">
        <v>23065</v>
      </c>
      <c r="M16" s="84">
        <v>2615</v>
      </c>
      <c r="N16" s="85">
        <v>25680</v>
      </c>
      <c r="O16" s="84">
        <v>16215</v>
      </c>
      <c r="P16" s="84">
        <v>4240</v>
      </c>
      <c r="Q16" s="85">
        <v>20455</v>
      </c>
      <c r="R16" s="84">
        <v>23970</v>
      </c>
      <c r="S16" s="84">
        <v>4215</v>
      </c>
      <c r="T16" s="85">
        <v>28185</v>
      </c>
      <c r="U16" s="84">
        <v>3230</v>
      </c>
      <c r="V16" s="84">
        <v>3490</v>
      </c>
      <c r="W16" s="85">
        <v>6720</v>
      </c>
      <c r="X16" s="84">
        <v>9180</v>
      </c>
      <c r="Y16" s="84">
        <v>3295</v>
      </c>
      <c r="Z16" s="85">
        <v>12475</v>
      </c>
      <c r="AA16" s="84">
        <v>4505</v>
      </c>
      <c r="AB16" s="84">
        <v>3405</v>
      </c>
      <c r="AC16" s="85">
        <v>7915</v>
      </c>
      <c r="AD16" s="84">
        <v>710</v>
      </c>
      <c r="AE16" s="84">
        <v>780</v>
      </c>
      <c r="AF16" s="84">
        <v>1490</v>
      </c>
      <c r="AG16" s="97">
        <v>112855</v>
      </c>
      <c r="AH16" s="84">
        <v>23765</v>
      </c>
      <c r="AI16" s="84">
        <v>136620</v>
      </c>
    </row>
    <row r="17" spans="1:35" x14ac:dyDescent="0.25">
      <c r="A17" s="1"/>
      <c r="B17" s="9">
        <v>2020</v>
      </c>
      <c r="C17" s="84">
        <v>4710</v>
      </c>
      <c r="D17" s="84">
        <v>40</v>
      </c>
      <c r="E17" s="85">
        <v>4750</v>
      </c>
      <c r="F17" s="84">
        <v>7605</v>
      </c>
      <c r="G17" s="84">
        <v>395</v>
      </c>
      <c r="H17" s="85">
        <v>8000</v>
      </c>
      <c r="I17" s="84">
        <v>21385</v>
      </c>
      <c r="J17" s="84">
        <v>660</v>
      </c>
      <c r="K17" s="85">
        <v>22040</v>
      </c>
      <c r="L17" s="84">
        <v>20910</v>
      </c>
      <c r="M17" s="84">
        <v>2075</v>
      </c>
      <c r="N17" s="85">
        <v>22985</v>
      </c>
      <c r="O17" s="84">
        <v>14875</v>
      </c>
      <c r="P17" s="84">
        <v>3740</v>
      </c>
      <c r="Q17" s="85">
        <v>18615</v>
      </c>
      <c r="R17" s="84">
        <v>24205</v>
      </c>
      <c r="S17" s="84">
        <v>4400</v>
      </c>
      <c r="T17" s="85">
        <v>28605</v>
      </c>
      <c r="U17" s="84">
        <v>3270</v>
      </c>
      <c r="V17" s="84">
        <v>3905</v>
      </c>
      <c r="W17" s="85">
        <v>7175</v>
      </c>
      <c r="X17" s="84">
        <v>9045</v>
      </c>
      <c r="Y17" s="84">
        <v>3030</v>
      </c>
      <c r="Z17" s="85">
        <v>12080</v>
      </c>
      <c r="AA17" s="84">
        <v>4790</v>
      </c>
      <c r="AB17" s="84">
        <v>4000</v>
      </c>
      <c r="AC17" s="85">
        <v>8785</v>
      </c>
      <c r="AD17" s="84">
        <v>695</v>
      </c>
      <c r="AE17" s="84">
        <v>845</v>
      </c>
      <c r="AF17" s="84">
        <v>1540</v>
      </c>
      <c r="AG17" s="97">
        <v>103705</v>
      </c>
      <c r="AH17" s="84">
        <v>22695</v>
      </c>
      <c r="AI17" s="84">
        <v>126400</v>
      </c>
    </row>
    <row r="18" spans="1:35" x14ac:dyDescent="0.25">
      <c r="A18" s="1"/>
      <c r="B18" s="9">
        <v>2021</v>
      </c>
      <c r="C18" s="84">
        <v>6440</v>
      </c>
      <c r="D18" s="84">
        <v>20</v>
      </c>
      <c r="E18" s="85">
        <v>6460</v>
      </c>
      <c r="F18" s="84">
        <v>9290</v>
      </c>
      <c r="G18" s="84">
        <v>45</v>
      </c>
      <c r="H18" s="85">
        <v>9335</v>
      </c>
      <c r="I18" s="84">
        <v>26340</v>
      </c>
      <c r="J18" s="84">
        <v>600</v>
      </c>
      <c r="K18" s="85">
        <v>26940</v>
      </c>
      <c r="L18" s="84">
        <v>23445</v>
      </c>
      <c r="M18" s="84">
        <v>1255</v>
      </c>
      <c r="N18" s="85">
        <v>24700</v>
      </c>
      <c r="O18" s="84">
        <v>17115</v>
      </c>
      <c r="P18" s="84">
        <v>3265</v>
      </c>
      <c r="Q18" s="85">
        <v>20380</v>
      </c>
      <c r="R18" s="84">
        <v>24615</v>
      </c>
      <c r="S18" s="84">
        <v>4405</v>
      </c>
      <c r="T18" s="85">
        <v>29020</v>
      </c>
      <c r="U18" s="84">
        <v>3990</v>
      </c>
      <c r="V18" s="84">
        <v>1270</v>
      </c>
      <c r="W18" s="85">
        <v>5260</v>
      </c>
      <c r="X18" s="84">
        <v>10250</v>
      </c>
      <c r="Y18" s="84">
        <v>1275</v>
      </c>
      <c r="Z18" s="85">
        <v>11525</v>
      </c>
      <c r="AA18" s="84">
        <v>5230</v>
      </c>
      <c r="AB18" s="84">
        <v>3285</v>
      </c>
      <c r="AC18" s="85">
        <v>8520</v>
      </c>
      <c r="AD18" s="84">
        <v>735</v>
      </c>
      <c r="AE18" s="84">
        <v>995</v>
      </c>
      <c r="AF18" s="84">
        <v>1730</v>
      </c>
      <c r="AG18" s="97">
        <v>117125</v>
      </c>
      <c r="AH18" s="84">
        <v>16180</v>
      </c>
      <c r="AI18" s="84">
        <v>133305</v>
      </c>
    </row>
    <row r="19" spans="1:35" x14ac:dyDescent="0.25">
      <c r="A19" s="1"/>
      <c r="B19" s="9">
        <v>2022</v>
      </c>
      <c r="C19" s="84">
        <v>4905</v>
      </c>
      <c r="D19" s="84">
        <v>25</v>
      </c>
      <c r="E19" s="85">
        <v>4935</v>
      </c>
      <c r="F19" s="84">
        <v>7570</v>
      </c>
      <c r="G19" s="84">
        <v>85</v>
      </c>
      <c r="H19" s="85">
        <v>7655</v>
      </c>
      <c r="I19" s="84">
        <v>22855</v>
      </c>
      <c r="J19" s="84">
        <v>350</v>
      </c>
      <c r="K19" s="85">
        <v>23205</v>
      </c>
      <c r="L19" s="84">
        <v>20925</v>
      </c>
      <c r="M19" s="84">
        <v>1020</v>
      </c>
      <c r="N19" s="85">
        <v>21945</v>
      </c>
      <c r="O19" s="84">
        <v>17845</v>
      </c>
      <c r="P19" s="84">
        <v>1410</v>
      </c>
      <c r="Q19" s="85">
        <v>19255</v>
      </c>
      <c r="R19" s="84">
        <v>23220</v>
      </c>
      <c r="S19" s="84">
        <v>4270</v>
      </c>
      <c r="T19" s="85">
        <v>27490</v>
      </c>
      <c r="U19" s="84">
        <v>3295</v>
      </c>
      <c r="V19" s="84">
        <v>685</v>
      </c>
      <c r="W19" s="85">
        <v>3980</v>
      </c>
      <c r="X19" s="84">
        <v>10025</v>
      </c>
      <c r="Y19" s="84">
        <v>935</v>
      </c>
      <c r="Z19" s="85">
        <v>10960</v>
      </c>
      <c r="AA19" s="84">
        <v>5710</v>
      </c>
      <c r="AB19" s="84">
        <v>2170</v>
      </c>
      <c r="AC19" s="85">
        <v>7880</v>
      </c>
      <c r="AD19" s="84">
        <v>670</v>
      </c>
      <c r="AE19" s="84">
        <v>890</v>
      </c>
      <c r="AF19" s="84">
        <v>1560</v>
      </c>
      <c r="AG19" s="97">
        <v>109095</v>
      </c>
      <c r="AH19" s="84">
        <v>11730</v>
      </c>
      <c r="AI19" s="84">
        <v>120830</v>
      </c>
    </row>
    <row r="20" spans="1:35" s="72" customFormat="1" x14ac:dyDescent="0.25">
      <c r="A20" s="71"/>
      <c r="B20" s="9">
        <v>2023</v>
      </c>
      <c r="C20" s="84">
        <v>7205</v>
      </c>
      <c r="D20" s="84">
        <v>90</v>
      </c>
      <c r="E20" s="85">
        <v>7295</v>
      </c>
      <c r="F20" s="84">
        <v>8385</v>
      </c>
      <c r="G20" s="84">
        <v>340</v>
      </c>
      <c r="H20" s="85">
        <v>8725</v>
      </c>
      <c r="I20" s="84">
        <v>22060</v>
      </c>
      <c r="J20" s="84">
        <v>520</v>
      </c>
      <c r="K20" s="85">
        <v>22580</v>
      </c>
      <c r="L20" s="84">
        <v>20940</v>
      </c>
      <c r="M20" s="84">
        <v>1035</v>
      </c>
      <c r="N20" s="85">
        <v>21975</v>
      </c>
      <c r="O20" s="84">
        <v>16245</v>
      </c>
      <c r="P20" s="84">
        <v>1220</v>
      </c>
      <c r="Q20" s="85">
        <v>17465</v>
      </c>
      <c r="R20" s="84">
        <v>24280</v>
      </c>
      <c r="S20" s="84">
        <v>3755</v>
      </c>
      <c r="T20" s="85">
        <v>28035</v>
      </c>
      <c r="U20" s="84">
        <v>2815</v>
      </c>
      <c r="V20" s="84">
        <v>765</v>
      </c>
      <c r="W20" s="85">
        <v>3580</v>
      </c>
      <c r="X20" s="84">
        <v>9320</v>
      </c>
      <c r="Y20" s="84">
        <v>1230</v>
      </c>
      <c r="Z20" s="85">
        <v>10550</v>
      </c>
      <c r="AA20" s="84">
        <v>5470</v>
      </c>
      <c r="AB20" s="84">
        <v>2530</v>
      </c>
      <c r="AC20" s="85">
        <v>8000</v>
      </c>
      <c r="AD20" s="84">
        <v>675</v>
      </c>
      <c r="AE20" s="84">
        <v>800</v>
      </c>
      <c r="AF20" s="84">
        <v>1475</v>
      </c>
      <c r="AG20" s="97">
        <v>109360</v>
      </c>
      <c r="AH20" s="84">
        <v>12150</v>
      </c>
      <c r="AI20" s="84">
        <v>121510</v>
      </c>
    </row>
    <row r="21" spans="1:35" x14ac:dyDescent="0.25">
      <c r="A21" s="1"/>
      <c r="B21" s="9">
        <v>2024</v>
      </c>
      <c r="C21" s="86">
        <v>7350</v>
      </c>
      <c r="D21" s="86">
        <v>100</v>
      </c>
      <c r="E21" s="87">
        <v>7450</v>
      </c>
      <c r="F21" s="86">
        <v>10210</v>
      </c>
      <c r="G21" s="86">
        <v>310</v>
      </c>
      <c r="H21" s="87">
        <v>10520</v>
      </c>
      <c r="I21" s="86">
        <v>22590</v>
      </c>
      <c r="J21" s="86">
        <v>670</v>
      </c>
      <c r="K21" s="87">
        <v>23260</v>
      </c>
      <c r="L21" s="86">
        <v>23740</v>
      </c>
      <c r="M21" s="86">
        <v>1525</v>
      </c>
      <c r="N21" s="87">
        <v>25265</v>
      </c>
      <c r="O21" s="86">
        <v>15040</v>
      </c>
      <c r="P21" s="86">
        <v>1755</v>
      </c>
      <c r="Q21" s="87">
        <v>16795</v>
      </c>
      <c r="R21" s="86">
        <v>24550</v>
      </c>
      <c r="S21" s="86">
        <v>3480</v>
      </c>
      <c r="T21" s="87">
        <v>28030</v>
      </c>
      <c r="U21" s="86">
        <v>2775</v>
      </c>
      <c r="V21" s="86">
        <v>1140</v>
      </c>
      <c r="W21" s="87">
        <v>3915</v>
      </c>
      <c r="X21" s="86">
        <v>9985</v>
      </c>
      <c r="Y21" s="86">
        <v>1220</v>
      </c>
      <c r="Z21" s="87">
        <v>11205</v>
      </c>
      <c r="AA21" s="86">
        <v>5935</v>
      </c>
      <c r="AB21" s="86">
        <v>5475</v>
      </c>
      <c r="AC21" s="87">
        <v>11410</v>
      </c>
      <c r="AD21" s="86">
        <v>810</v>
      </c>
      <c r="AE21" s="86">
        <v>785</v>
      </c>
      <c r="AF21" s="86">
        <v>1600</v>
      </c>
      <c r="AG21" s="98">
        <v>114550</v>
      </c>
      <c r="AH21" s="86">
        <v>16285</v>
      </c>
      <c r="AI21" s="86">
        <v>130830</v>
      </c>
    </row>
    <row r="22" spans="1:35" x14ac:dyDescent="0.25">
      <c r="A22" s="1"/>
      <c r="B22" s="20"/>
      <c r="C22" s="21"/>
      <c r="D22" s="21"/>
      <c r="E22" s="21"/>
      <c r="F22" s="21"/>
      <c r="G22" s="21"/>
      <c r="H22" s="21"/>
      <c r="I22" s="21"/>
      <c r="J22" s="21"/>
      <c r="K22" s="21"/>
      <c r="L22" s="21"/>
      <c r="M22" s="21"/>
      <c r="N22" s="21"/>
      <c r="O22" s="21"/>
      <c r="P22" s="21"/>
      <c r="Q22" s="21"/>
      <c r="R22" s="21"/>
      <c r="S22" s="21"/>
      <c r="T22" s="21"/>
      <c r="U22" s="21"/>
      <c r="V22" s="21"/>
      <c r="W22" s="21"/>
      <c r="X22" s="21"/>
      <c r="Y22" s="21"/>
      <c r="Z22" s="21"/>
      <c r="AA22" s="21"/>
      <c r="AB22" s="21"/>
      <c r="AC22" s="21"/>
      <c r="AD22" s="21"/>
      <c r="AE22" s="21"/>
      <c r="AF22" s="21"/>
      <c r="AG22" s="21"/>
      <c r="AH22" s="21"/>
      <c r="AI22" s="21"/>
    </row>
    <row r="23" spans="1:35" x14ac:dyDescent="0.25">
      <c r="A23" s="1"/>
      <c r="B23" s="10" t="s">
        <v>112</v>
      </c>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7"/>
      <c r="AC23" s="77"/>
      <c r="AD23" s="77"/>
      <c r="AE23" s="77"/>
      <c r="AF23" s="77"/>
      <c r="AG23" s="103"/>
      <c r="AH23" s="103"/>
      <c r="AI23" s="103"/>
    </row>
    <row r="24" spans="1:35" x14ac:dyDescent="0.25">
      <c r="A24" s="1"/>
      <c r="B24" s="11" t="s">
        <v>35</v>
      </c>
      <c r="C24" s="12"/>
      <c r="D24" s="13"/>
      <c r="E24" s="14"/>
      <c r="F24" s="12"/>
      <c r="G24" s="13"/>
      <c r="H24" s="14"/>
      <c r="I24" s="12"/>
      <c r="J24" s="13"/>
      <c r="K24" s="14"/>
      <c r="L24" s="12"/>
      <c r="M24" s="13"/>
      <c r="N24" s="14"/>
      <c r="O24" s="12"/>
      <c r="P24" s="13"/>
      <c r="Q24" s="14"/>
      <c r="R24" s="12"/>
      <c r="S24" s="13"/>
      <c r="T24" s="14"/>
      <c r="U24" s="12"/>
      <c r="V24" s="13"/>
      <c r="W24" s="14"/>
      <c r="X24" s="12"/>
      <c r="Y24" s="13"/>
      <c r="Z24" s="14"/>
      <c r="AA24" s="12"/>
      <c r="AB24" s="13"/>
      <c r="AC24" s="14"/>
      <c r="AD24" s="12"/>
      <c r="AE24" s="13"/>
      <c r="AF24" s="88"/>
      <c r="AG24" s="105"/>
      <c r="AH24" s="104"/>
      <c r="AI24" s="104"/>
    </row>
    <row r="25" spans="1:35" x14ac:dyDescent="0.25">
      <c r="A25" s="1"/>
      <c r="B25" s="22" t="s">
        <v>107</v>
      </c>
      <c r="C25" s="84">
        <v>55</v>
      </c>
      <c r="D25" s="84">
        <v>5</v>
      </c>
      <c r="E25" s="85">
        <v>55</v>
      </c>
      <c r="F25" s="84">
        <v>65</v>
      </c>
      <c r="G25" s="84">
        <v>5</v>
      </c>
      <c r="H25" s="85">
        <v>65</v>
      </c>
      <c r="I25" s="84">
        <v>130</v>
      </c>
      <c r="J25" s="84">
        <v>5</v>
      </c>
      <c r="K25" s="85">
        <v>135</v>
      </c>
      <c r="L25" s="84">
        <v>205</v>
      </c>
      <c r="M25" s="84">
        <v>0</v>
      </c>
      <c r="N25" s="85">
        <v>205</v>
      </c>
      <c r="O25" s="84">
        <v>130</v>
      </c>
      <c r="P25" s="84">
        <v>5</v>
      </c>
      <c r="Q25" s="85">
        <v>130</v>
      </c>
      <c r="R25" s="84">
        <v>210</v>
      </c>
      <c r="S25" s="84">
        <v>5</v>
      </c>
      <c r="T25" s="85">
        <v>220</v>
      </c>
      <c r="U25" s="84">
        <v>15</v>
      </c>
      <c r="V25" s="84">
        <v>5</v>
      </c>
      <c r="W25" s="85">
        <v>20</v>
      </c>
      <c r="X25" s="84">
        <v>65</v>
      </c>
      <c r="Y25" s="84">
        <v>5</v>
      </c>
      <c r="Z25" s="85">
        <v>65</v>
      </c>
      <c r="AA25" s="84">
        <v>35</v>
      </c>
      <c r="AB25" s="84">
        <v>5</v>
      </c>
      <c r="AC25" s="85">
        <v>40</v>
      </c>
      <c r="AD25" s="84">
        <v>10</v>
      </c>
      <c r="AE25" s="84">
        <v>5</v>
      </c>
      <c r="AF25" s="84">
        <v>15</v>
      </c>
      <c r="AG25" s="97">
        <v>845</v>
      </c>
      <c r="AH25" s="84">
        <v>30</v>
      </c>
      <c r="AI25" s="84">
        <v>875</v>
      </c>
    </row>
    <row r="26" spans="1:35" x14ac:dyDescent="0.25">
      <c r="A26" s="1"/>
      <c r="B26" s="9" t="s">
        <v>14</v>
      </c>
      <c r="C26" s="84">
        <v>5145</v>
      </c>
      <c r="D26" s="84">
        <v>55</v>
      </c>
      <c r="E26" s="85">
        <v>5205</v>
      </c>
      <c r="F26" s="84">
        <v>6285</v>
      </c>
      <c r="G26" s="84">
        <v>75</v>
      </c>
      <c r="H26" s="85">
        <v>6360</v>
      </c>
      <c r="I26" s="84">
        <v>13445</v>
      </c>
      <c r="J26" s="84">
        <v>340</v>
      </c>
      <c r="K26" s="85">
        <v>13780</v>
      </c>
      <c r="L26" s="84">
        <v>16070</v>
      </c>
      <c r="M26" s="84">
        <v>830</v>
      </c>
      <c r="N26" s="85">
        <v>16900</v>
      </c>
      <c r="O26" s="84">
        <v>9380</v>
      </c>
      <c r="P26" s="84">
        <v>895</v>
      </c>
      <c r="Q26" s="85">
        <v>10270</v>
      </c>
      <c r="R26" s="84">
        <v>15945</v>
      </c>
      <c r="S26" s="84">
        <v>1810</v>
      </c>
      <c r="T26" s="85">
        <v>17760</v>
      </c>
      <c r="U26" s="84">
        <v>1950</v>
      </c>
      <c r="V26" s="84">
        <v>785</v>
      </c>
      <c r="W26" s="85">
        <v>2735</v>
      </c>
      <c r="X26" s="84">
        <v>6650</v>
      </c>
      <c r="Y26" s="84">
        <v>630</v>
      </c>
      <c r="Z26" s="85">
        <v>7275</v>
      </c>
      <c r="AA26" s="84">
        <v>3815</v>
      </c>
      <c r="AB26" s="84">
        <v>2870</v>
      </c>
      <c r="AC26" s="85">
        <v>6685</v>
      </c>
      <c r="AD26" s="84">
        <v>515</v>
      </c>
      <c r="AE26" s="84">
        <v>390</v>
      </c>
      <c r="AF26" s="84">
        <v>905</v>
      </c>
      <c r="AG26" s="97">
        <v>73295</v>
      </c>
      <c r="AH26" s="84">
        <v>8585</v>
      </c>
      <c r="AI26" s="84">
        <v>81880</v>
      </c>
    </row>
    <row r="27" spans="1:35" x14ac:dyDescent="0.25">
      <c r="A27" s="1"/>
      <c r="B27" s="9" t="s">
        <v>15</v>
      </c>
      <c r="C27" s="84">
        <v>2150</v>
      </c>
      <c r="D27" s="84">
        <v>40</v>
      </c>
      <c r="E27" s="85">
        <v>2190</v>
      </c>
      <c r="F27" s="84">
        <v>3860</v>
      </c>
      <c r="G27" s="84">
        <v>235</v>
      </c>
      <c r="H27" s="85">
        <v>4095</v>
      </c>
      <c r="I27" s="84">
        <v>9015</v>
      </c>
      <c r="J27" s="84">
        <v>330</v>
      </c>
      <c r="K27" s="85">
        <v>9345</v>
      </c>
      <c r="L27" s="84">
        <v>7465</v>
      </c>
      <c r="M27" s="84">
        <v>695</v>
      </c>
      <c r="N27" s="85">
        <v>8160</v>
      </c>
      <c r="O27" s="84">
        <v>5535</v>
      </c>
      <c r="P27" s="84">
        <v>860</v>
      </c>
      <c r="Q27" s="85">
        <v>6395</v>
      </c>
      <c r="R27" s="84">
        <v>8390</v>
      </c>
      <c r="S27" s="84">
        <v>1660</v>
      </c>
      <c r="T27" s="85">
        <v>10055</v>
      </c>
      <c r="U27" s="84">
        <v>810</v>
      </c>
      <c r="V27" s="84">
        <v>350</v>
      </c>
      <c r="W27" s="85">
        <v>1160</v>
      </c>
      <c r="X27" s="84">
        <v>3275</v>
      </c>
      <c r="Y27" s="84">
        <v>590</v>
      </c>
      <c r="Z27" s="85">
        <v>3860</v>
      </c>
      <c r="AA27" s="84">
        <v>2085</v>
      </c>
      <c r="AB27" s="84">
        <v>2600</v>
      </c>
      <c r="AC27" s="85">
        <v>4680</v>
      </c>
      <c r="AD27" s="84">
        <v>285</v>
      </c>
      <c r="AE27" s="84">
        <v>395</v>
      </c>
      <c r="AF27" s="84">
        <v>680</v>
      </c>
      <c r="AG27" s="97">
        <v>40405</v>
      </c>
      <c r="AH27" s="84">
        <v>7665</v>
      </c>
      <c r="AI27" s="84">
        <v>48075</v>
      </c>
    </row>
    <row r="28" spans="1:35" x14ac:dyDescent="0.25">
      <c r="A28" s="1"/>
      <c r="B28" s="11" t="s">
        <v>36</v>
      </c>
      <c r="C28" s="12"/>
      <c r="D28" s="88"/>
      <c r="E28" s="14"/>
      <c r="F28" s="12"/>
      <c r="G28" s="88"/>
      <c r="H28" s="14"/>
      <c r="I28" s="12"/>
      <c r="J28" s="88"/>
      <c r="K28" s="14"/>
      <c r="L28" s="12"/>
      <c r="M28" s="88"/>
      <c r="N28" s="14"/>
      <c r="O28" s="12"/>
      <c r="P28" s="88"/>
      <c r="Q28" s="14"/>
      <c r="R28" s="12"/>
      <c r="S28" s="88"/>
      <c r="T28" s="14"/>
      <c r="U28" s="12"/>
      <c r="V28" s="88"/>
      <c r="W28" s="14"/>
      <c r="X28" s="12"/>
      <c r="Y28" s="88"/>
      <c r="Z28" s="14"/>
      <c r="AA28" s="12"/>
      <c r="AB28" s="88"/>
      <c r="AC28" s="14"/>
      <c r="AD28" s="12"/>
      <c r="AE28" s="88"/>
      <c r="AF28" s="88"/>
      <c r="AG28" s="12"/>
      <c r="AH28" s="88"/>
      <c r="AI28" s="88"/>
    </row>
    <row r="29" spans="1:35" x14ac:dyDescent="0.25">
      <c r="A29" s="1"/>
      <c r="B29" s="9" t="s">
        <v>4</v>
      </c>
      <c r="C29" s="84">
        <v>1105</v>
      </c>
      <c r="D29" s="84">
        <v>5</v>
      </c>
      <c r="E29" s="85">
        <v>1105</v>
      </c>
      <c r="F29" s="84">
        <v>2050</v>
      </c>
      <c r="G29" s="84">
        <v>5</v>
      </c>
      <c r="H29" s="85">
        <v>2055</v>
      </c>
      <c r="I29" s="84">
        <v>1680</v>
      </c>
      <c r="J29" s="84">
        <v>5</v>
      </c>
      <c r="K29" s="85">
        <v>1690</v>
      </c>
      <c r="L29" s="84">
        <v>475</v>
      </c>
      <c r="M29" s="84">
        <v>10</v>
      </c>
      <c r="N29" s="85">
        <v>490</v>
      </c>
      <c r="O29" s="84">
        <v>100</v>
      </c>
      <c r="P29" s="84">
        <v>5</v>
      </c>
      <c r="Q29" s="85">
        <v>100</v>
      </c>
      <c r="R29" s="84">
        <v>5</v>
      </c>
      <c r="S29" s="84">
        <v>5</v>
      </c>
      <c r="T29" s="85">
        <v>5</v>
      </c>
      <c r="U29" s="84">
        <v>0</v>
      </c>
      <c r="V29" s="84">
        <v>0</v>
      </c>
      <c r="W29" s="85">
        <v>0</v>
      </c>
      <c r="X29" s="84">
        <v>0</v>
      </c>
      <c r="Y29" s="84">
        <v>0</v>
      </c>
      <c r="Z29" s="85">
        <v>0</v>
      </c>
      <c r="AA29" s="84">
        <v>0</v>
      </c>
      <c r="AB29" s="84">
        <v>0</v>
      </c>
      <c r="AC29" s="85">
        <v>0</v>
      </c>
      <c r="AD29" s="84">
        <v>0</v>
      </c>
      <c r="AE29" s="84">
        <v>0</v>
      </c>
      <c r="AF29" s="84">
        <v>0</v>
      </c>
      <c r="AG29" s="122">
        <v>4855</v>
      </c>
      <c r="AH29" s="84">
        <v>25</v>
      </c>
      <c r="AI29" s="84">
        <v>4880</v>
      </c>
    </row>
    <row r="30" spans="1:35" x14ac:dyDescent="0.25">
      <c r="A30" s="1"/>
      <c r="B30" s="9" t="s">
        <v>5</v>
      </c>
      <c r="C30" s="84">
        <v>360</v>
      </c>
      <c r="D30" s="84">
        <v>10</v>
      </c>
      <c r="E30" s="85">
        <v>370</v>
      </c>
      <c r="F30" s="84">
        <v>1075</v>
      </c>
      <c r="G30" s="84">
        <v>15</v>
      </c>
      <c r="H30" s="85">
        <v>1085</v>
      </c>
      <c r="I30" s="84">
        <v>4155</v>
      </c>
      <c r="J30" s="84">
        <v>60</v>
      </c>
      <c r="K30" s="85">
        <v>4215</v>
      </c>
      <c r="L30" s="84">
        <v>3490</v>
      </c>
      <c r="M30" s="84">
        <v>175</v>
      </c>
      <c r="N30" s="85">
        <v>3665</v>
      </c>
      <c r="O30" s="84">
        <v>1360</v>
      </c>
      <c r="P30" s="84">
        <v>70</v>
      </c>
      <c r="Q30" s="85">
        <v>1430</v>
      </c>
      <c r="R30" s="84">
        <v>55</v>
      </c>
      <c r="S30" s="84">
        <v>5</v>
      </c>
      <c r="T30" s="85">
        <v>55</v>
      </c>
      <c r="U30" s="84">
        <v>5</v>
      </c>
      <c r="V30" s="84">
        <v>0</v>
      </c>
      <c r="W30" s="85">
        <v>5</v>
      </c>
      <c r="X30" s="84">
        <v>5</v>
      </c>
      <c r="Y30" s="84">
        <v>0</v>
      </c>
      <c r="Z30" s="85">
        <v>5</v>
      </c>
      <c r="AA30" s="84">
        <v>0</v>
      </c>
      <c r="AB30" s="84">
        <v>0</v>
      </c>
      <c r="AC30" s="85">
        <v>0</v>
      </c>
      <c r="AD30" s="84">
        <v>0</v>
      </c>
      <c r="AE30" s="84">
        <v>0</v>
      </c>
      <c r="AF30" s="84">
        <v>0</v>
      </c>
      <c r="AG30" s="97">
        <v>9670</v>
      </c>
      <c r="AH30" s="84">
        <v>315</v>
      </c>
      <c r="AI30" s="84">
        <v>9985</v>
      </c>
    </row>
    <row r="31" spans="1:35" x14ac:dyDescent="0.25">
      <c r="A31" s="1"/>
      <c r="B31" s="9" t="s">
        <v>6</v>
      </c>
      <c r="C31" s="84">
        <v>625</v>
      </c>
      <c r="D31" s="84">
        <v>20</v>
      </c>
      <c r="E31" s="85">
        <v>645</v>
      </c>
      <c r="F31" s="84">
        <v>1035</v>
      </c>
      <c r="G31" s="84">
        <v>45</v>
      </c>
      <c r="H31" s="85">
        <v>1085</v>
      </c>
      <c r="I31" s="84">
        <v>3415</v>
      </c>
      <c r="J31" s="84">
        <v>250</v>
      </c>
      <c r="K31" s="85">
        <v>3665</v>
      </c>
      <c r="L31" s="84">
        <v>4190</v>
      </c>
      <c r="M31" s="84">
        <v>530</v>
      </c>
      <c r="N31" s="85">
        <v>4725</v>
      </c>
      <c r="O31" s="84">
        <v>3415</v>
      </c>
      <c r="P31" s="84">
        <v>710</v>
      </c>
      <c r="Q31" s="85">
        <v>4125</v>
      </c>
      <c r="R31" s="84">
        <v>16965</v>
      </c>
      <c r="S31" s="84">
        <v>2715</v>
      </c>
      <c r="T31" s="85">
        <v>19680</v>
      </c>
      <c r="U31" s="84">
        <v>435</v>
      </c>
      <c r="V31" s="84">
        <v>160</v>
      </c>
      <c r="W31" s="85">
        <v>595</v>
      </c>
      <c r="X31" s="84">
        <v>3500</v>
      </c>
      <c r="Y31" s="84">
        <v>410</v>
      </c>
      <c r="Z31" s="85">
        <v>3910</v>
      </c>
      <c r="AA31" s="84">
        <v>1190</v>
      </c>
      <c r="AB31" s="84">
        <v>790</v>
      </c>
      <c r="AC31" s="85">
        <v>1980</v>
      </c>
      <c r="AD31" s="84">
        <v>0</v>
      </c>
      <c r="AE31" s="84">
        <v>0</v>
      </c>
      <c r="AF31" s="84">
        <v>0</v>
      </c>
      <c r="AG31" s="97">
        <v>33450</v>
      </c>
      <c r="AH31" s="84">
        <v>5565</v>
      </c>
      <c r="AI31" s="84">
        <v>39010</v>
      </c>
    </row>
    <row r="32" spans="1:35" x14ac:dyDescent="0.25">
      <c r="A32" s="1"/>
      <c r="B32" s="9" t="s">
        <v>7</v>
      </c>
      <c r="C32" s="84">
        <v>2265</v>
      </c>
      <c r="D32" s="84">
        <v>45</v>
      </c>
      <c r="E32" s="85">
        <v>2310</v>
      </c>
      <c r="F32" s="84">
        <v>2660</v>
      </c>
      <c r="G32" s="84">
        <v>200</v>
      </c>
      <c r="H32" s="85">
        <v>2855</v>
      </c>
      <c r="I32" s="84">
        <v>6680</v>
      </c>
      <c r="J32" s="84">
        <v>280</v>
      </c>
      <c r="K32" s="85">
        <v>6955</v>
      </c>
      <c r="L32" s="84">
        <v>8340</v>
      </c>
      <c r="M32" s="84">
        <v>635</v>
      </c>
      <c r="N32" s="85">
        <v>8970</v>
      </c>
      <c r="O32" s="84">
        <v>5570</v>
      </c>
      <c r="P32" s="84">
        <v>775</v>
      </c>
      <c r="Q32" s="85">
        <v>6345</v>
      </c>
      <c r="R32" s="84">
        <v>5775</v>
      </c>
      <c r="S32" s="84">
        <v>715</v>
      </c>
      <c r="T32" s="85">
        <v>6490</v>
      </c>
      <c r="U32" s="84">
        <v>1365</v>
      </c>
      <c r="V32" s="84">
        <v>820</v>
      </c>
      <c r="W32" s="85">
        <v>2185</v>
      </c>
      <c r="X32" s="84">
        <v>4110</v>
      </c>
      <c r="Y32" s="84">
        <v>690</v>
      </c>
      <c r="Z32" s="85">
        <v>4800</v>
      </c>
      <c r="AA32" s="84">
        <v>3080</v>
      </c>
      <c r="AB32" s="84">
        <v>3805</v>
      </c>
      <c r="AC32" s="85">
        <v>6885</v>
      </c>
      <c r="AD32" s="84">
        <v>500</v>
      </c>
      <c r="AE32" s="84">
        <v>590</v>
      </c>
      <c r="AF32" s="84">
        <v>1095</v>
      </c>
      <c r="AG32" s="122">
        <v>37565</v>
      </c>
      <c r="AH32" s="84">
        <v>8490</v>
      </c>
      <c r="AI32" s="84">
        <v>46055</v>
      </c>
    </row>
    <row r="33" spans="1:35" x14ac:dyDescent="0.25">
      <c r="A33" s="1"/>
      <c r="B33" s="9" t="s">
        <v>8</v>
      </c>
      <c r="C33" s="84">
        <v>3000</v>
      </c>
      <c r="D33" s="84">
        <v>25</v>
      </c>
      <c r="E33" s="85">
        <v>3025</v>
      </c>
      <c r="F33" s="84">
        <v>3395</v>
      </c>
      <c r="G33" s="84">
        <v>45</v>
      </c>
      <c r="H33" s="85">
        <v>3440</v>
      </c>
      <c r="I33" s="84">
        <v>6660</v>
      </c>
      <c r="J33" s="84">
        <v>75</v>
      </c>
      <c r="K33" s="85">
        <v>6735</v>
      </c>
      <c r="L33" s="84">
        <v>7245</v>
      </c>
      <c r="M33" s="84">
        <v>170</v>
      </c>
      <c r="N33" s="85">
        <v>7415</v>
      </c>
      <c r="O33" s="84">
        <v>4595</v>
      </c>
      <c r="P33" s="84">
        <v>195</v>
      </c>
      <c r="Q33" s="85">
        <v>4795</v>
      </c>
      <c r="R33" s="84">
        <v>1755</v>
      </c>
      <c r="S33" s="84">
        <v>50</v>
      </c>
      <c r="T33" s="85">
        <v>1800</v>
      </c>
      <c r="U33" s="84">
        <v>980</v>
      </c>
      <c r="V33" s="84">
        <v>160</v>
      </c>
      <c r="W33" s="85">
        <v>1135</v>
      </c>
      <c r="X33" s="84">
        <v>2375</v>
      </c>
      <c r="Y33" s="84">
        <v>120</v>
      </c>
      <c r="Z33" s="85">
        <v>2495</v>
      </c>
      <c r="AA33" s="84">
        <v>1665</v>
      </c>
      <c r="AB33" s="84">
        <v>880</v>
      </c>
      <c r="AC33" s="85">
        <v>2545</v>
      </c>
      <c r="AD33" s="84">
        <v>310</v>
      </c>
      <c r="AE33" s="84">
        <v>195</v>
      </c>
      <c r="AF33" s="84">
        <v>505</v>
      </c>
      <c r="AG33" s="97">
        <v>29015</v>
      </c>
      <c r="AH33" s="84">
        <v>1890</v>
      </c>
      <c r="AI33" s="84">
        <v>30905</v>
      </c>
    </row>
    <row r="34" spans="1:35" x14ac:dyDescent="0.25">
      <c r="A34" s="1"/>
      <c r="B34" s="11" t="s">
        <v>37</v>
      </c>
      <c r="C34" s="12"/>
      <c r="D34" s="88"/>
      <c r="E34" s="14"/>
      <c r="F34" s="12"/>
      <c r="G34" s="88"/>
      <c r="H34" s="14"/>
      <c r="I34" s="12"/>
      <c r="J34" s="88"/>
      <c r="K34" s="14"/>
      <c r="L34" s="12"/>
      <c r="M34" s="88"/>
      <c r="N34" s="14"/>
      <c r="O34" s="12"/>
      <c r="P34" s="88"/>
      <c r="Q34" s="14"/>
      <c r="R34" s="12"/>
      <c r="S34" s="88"/>
      <c r="T34" s="14"/>
      <c r="U34" s="12"/>
      <c r="V34" s="88"/>
      <c r="W34" s="14"/>
      <c r="X34" s="12"/>
      <c r="Y34" s="88"/>
      <c r="Z34" s="14"/>
      <c r="AA34" s="12"/>
      <c r="AB34" s="88"/>
      <c r="AC34" s="14"/>
      <c r="AD34" s="12"/>
      <c r="AE34" s="88"/>
      <c r="AF34" s="88"/>
      <c r="AG34" s="12"/>
      <c r="AH34" s="88"/>
      <c r="AI34" s="88"/>
    </row>
    <row r="35" spans="1:35" x14ac:dyDescent="0.25">
      <c r="A35" s="1"/>
      <c r="B35" s="9" t="s">
        <v>38</v>
      </c>
      <c r="C35" s="84">
        <v>3655</v>
      </c>
      <c r="D35" s="84">
        <v>10</v>
      </c>
      <c r="E35" s="85">
        <v>3665</v>
      </c>
      <c r="F35" s="84">
        <v>4635</v>
      </c>
      <c r="G35" s="84">
        <v>10</v>
      </c>
      <c r="H35" s="85">
        <v>4645</v>
      </c>
      <c r="I35" s="84">
        <v>11215</v>
      </c>
      <c r="J35" s="84">
        <v>20</v>
      </c>
      <c r="K35" s="85">
        <v>11235</v>
      </c>
      <c r="L35" s="84">
        <v>12080</v>
      </c>
      <c r="M35" s="84">
        <v>50</v>
      </c>
      <c r="N35" s="85">
        <v>12130</v>
      </c>
      <c r="O35" s="84">
        <v>8970</v>
      </c>
      <c r="P35" s="84">
        <v>75</v>
      </c>
      <c r="Q35" s="85">
        <v>9045</v>
      </c>
      <c r="R35" s="84">
        <v>17005</v>
      </c>
      <c r="S35" s="84">
        <v>100</v>
      </c>
      <c r="T35" s="85">
        <v>17105</v>
      </c>
      <c r="U35" s="84">
        <v>1690</v>
      </c>
      <c r="V35" s="84">
        <v>70</v>
      </c>
      <c r="W35" s="85">
        <v>1760</v>
      </c>
      <c r="X35" s="84">
        <v>6070</v>
      </c>
      <c r="Y35" s="84">
        <v>120</v>
      </c>
      <c r="Z35" s="85">
        <v>6190</v>
      </c>
      <c r="AA35" s="84">
        <v>3540</v>
      </c>
      <c r="AB35" s="84">
        <v>235</v>
      </c>
      <c r="AC35" s="85">
        <v>3775</v>
      </c>
      <c r="AD35" s="84">
        <v>580</v>
      </c>
      <c r="AE35" s="84">
        <v>130</v>
      </c>
      <c r="AF35" s="84">
        <v>710</v>
      </c>
      <c r="AG35" s="97">
        <v>65535</v>
      </c>
      <c r="AH35" s="84">
        <v>815</v>
      </c>
      <c r="AI35" s="84">
        <v>66345</v>
      </c>
    </row>
    <row r="36" spans="1:35" x14ac:dyDescent="0.25">
      <c r="A36" s="1"/>
      <c r="B36" s="9" t="s">
        <v>39</v>
      </c>
      <c r="C36" s="84">
        <v>3515</v>
      </c>
      <c r="D36" s="84">
        <v>5</v>
      </c>
      <c r="E36" s="85">
        <v>3520</v>
      </c>
      <c r="F36" s="84">
        <v>4805</v>
      </c>
      <c r="G36" s="84">
        <v>5</v>
      </c>
      <c r="H36" s="85">
        <v>4805</v>
      </c>
      <c r="I36" s="84">
        <v>7140</v>
      </c>
      <c r="J36" s="84">
        <v>0</v>
      </c>
      <c r="K36" s="85">
        <v>7140</v>
      </c>
      <c r="L36" s="84">
        <v>7210</v>
      </c>
      <c r="M36" s="84">
        <v>5</v>
      </c>
      <c r="N36" s="85">
        <v>7215</v>
      </c>
      <c r="O36" s="84">
        <v>4210</v>
      </c>
      <c r="P36" s="84">
        <v>0</v>
      </c>
      <c r="Q36" s="85">
        <v>4210</v>
      </c>
      <c r="R36" s="84">
        <v>3475</v>
      </c>
      <c r="S36" s="84">
        <v>5</v>
      </c>
      <c r="T36" s="85">
        <v>3475</v>
      </c>
      <c r="U36" s="84">
        <v>210</v>
      </c>
      <c r="V36" s="84">
        <v>0</v>
      </c>
      <c r="W36" s="85">
        <v>210</v>
      </c>
      <c r="X36" s="84">
        <v>1065</v>
      </c>
      <c r="Y36" s="84">
        <v>0</v>
      </c>
      <c r="Z36" s="85">
        <v>1065</v>
      </c>
      <c r="AA36" s="84">
        <v>630</v>
      </c>
      <c r="AB36" s="84">
        <v>5</v>
      </c>
      <c r="AC36" s="85">
        <v>630</v>
      </c>
      <c r="AD36" s="84">
        <v>95</v>
      </c>
      <c r="AE36" s="84">
        <v>0</v>
      </c>
      <c r="AF36" s="84">
        <v>95</v>
      </c>
      <c r="AG36" s="97">
        <v>28365</v>
      </c>
      <c r="AH36" s="84">
        <v>10</v>
      </c>
      <c r="AI36" s="84">
        <v>28375</v>
      </c>
    </row>
    <row r="37" spans="1:35" x14ac:dyDescent="0.25">
      <c r="A37" s="1"/>
      <c r="B37" s="9" t="s">
        <v>40</v>
      </c>
      <c r="C37" s="84">
        <v>560</v>
      </c>
      <c r="D37" s="84">
        <v>5</v>
      </c>
      <c r="E37" s="85">
        <v>565</v>
      </c>
      <c r="F37" s="84">
        <v>1225</v>
      </c>
      <c r="G37" s="84">
        <v>10</v>
      </c>
      <c r="H37" s="85">
        <v>1235</v>
      </c>
      <c r="I37" s="84">
        <v>2775</v>
      </c>
      <c r="J37" s="84">
        <v>50</v>
      </c>
      <c r="K37" s="85">
        <v>2825</v>
      </c>
      <c r="L37" s="84">
        <v>2750</v>
      </c>
      <c r="M37" s="84">
        <v>100</v>
      </c>
      <c r="N37" s="85">
        <v>2850</v>
      </c>
      <c r="O37" s="84">
        <v>1185</v>
      </c>
      <c r="P37" s="84">
        <v>100</v>
      </c>
      <c r="Q37" s="85">
        <v>1285</v>
      </c>
      <c r="R37" s="84">
        <v>2060</v>
      </c>
      <c r="S37" s="84">
        <v>45</v>
      </c>
      <c r="T37" s="85">
        <v>2105</v>
      </c>
      <c r="U37" s="84">
        <v>185</v>
      </c>
      <c r="V37" s="84">
        <v>10</v>
      </c>
      <c r="W37" s="85">
        <v>195</v>
      </c>
      <c r="X37" s="84">
        <v>650</v>
      </c>
      <c r="Y37" s="84">
        <v>45</v>
      </c>
      <c r="Z37" s="85">
        <v>695</v>
      </c>
      <c r="AA37" s="84">
        <v>330</v>
      </c>
      <c r="AB37" s="84">
        <v>70</v>
      </c>
      <c r="AC37" s="85">
        <v>400</v>
      </c>
      <c r="AD37" s="84">
        <v>35</v>
      </c>
      <c r="AE37" s="84">
        <v>20</v>
      </c>
      <c r="AF37" s="84">
        <v>55</v>
      </c>
      <c r="AG37" s="97">
        <v>10975</v>
      </c>
      <c r="AH37" s="84">
        <v>445</v>
      </c>
      <c r="AI37" s="84">
        <v>11415</v>
      </c>
    </row>
    <row r="38" spans="1:35" x14ac:dyDescent="0.25">
      <c r="A38" s="1"/>
      <c r="B38" s="9" t="s">
        <v>9</v>
      </c>
      <c r="C38" s="84">
        <v>1000</v>
      </c>
      <c r="D38" s="84">
        <v>70</v>
      </c>
      <c r="E38" s="85">
        <v>1070</v>
      </c>
      <c r="F38" s="84">
        <v>1305</v>
      </c>
      <c r="G38" s="84">
        <v>270</v>
      </c>
      <c r="H38" s="85">
        <v>1580</v>
      </c>
      <c r="I38" s="84">
        <v>3925</v>
      </c>
      <c r="J38" s="84">
        <v>525</v>
      </c>
      <c r="K38" s="85">
        <v>4450</v>
      </c>
      <c r="L38" s="84">
        <v>4355</v>
      </c>
      <c r="M38" s="84">
        <v>1240</v>
      </c>
      <c r="N38" s="85">
        <v>5595</v>
      </c>
      <c r="O38" s="84">
        <v>2475</v>
      </c>
      <c r="P38" s="84">
        <v>1470</v>
      </c>
      <c r="Q38" s="85">
        <v>3945</v>
      </c>
      <c r="R38" s="84">
        <v>5075</v>
      </c>
      <c r="S38" s="84">
        <v>3185</v>
      </c>
      <c r="T38" s="85">
        <v>8260</v>
      </c>
      <c r="U38" s="84">
        <v>780</v>
      </c>
      <c r="V38" s="84">
        <v>1000</v>
      </c>
      <c r="W38" s="85">
        <v>1780</v>
      </c>
      <c r="X38" s="84">
        <v>2940</v>
      </c>
      <c r="Y38" s="84">
        <v>990</v>
      </c>
      <c r="Z38" s="85">
        <v>3930</v>
      </c>
      <c r="AA38" s="84">
        <v>1795</v>
      </c>
      <c r="AB38" s="84">
        <v>4795</v>
      </c>
      <c r="AC38" s="85">
        <v>6590</v>
      </c>
      <c r="AD38" s="84">
        <v>140</v>
      </c>
      <c r="AE38" s="84">
        <v>445</v>
      </c>
      <c r="AF38" s="84">
        <v>585</v>
      </c>
      <c r="AG38" s="97">
        <v>22705</v>
      </c>
      <c r="AH38" s="84">
        <v>13850</v>
      </c>
      <c r="AI38" s="84">
        <v>36550</v>
      </c>
    </row>
    <row r="39" spans="1:35" x14ac:dyDescent="0.25">
      <c r="A39" s="1"/>
      <c r="B39" s="9" t="s">
        <v>10</v>
      </c>
      <c r="C39" s="84">
        <v>425</v>
      </c>
      <c r="D39" s="84">
        <v>20</v>
      </c>
      <c r="E39" s="85">
        <v>445</v>
      </c>
      <c r="F39" s="84">
        <v>540</v>
      </c>
      <c r="G39" s="84">
        <v>15</v>
      </c>
      <c r="H39" s="85">
        <v>555</v>
      </c>
      <c r="I39" s="84">
        <v>1475</v>
      </c>
      <c r="J39" s="84">
        <v>50</v>
      </c>
      <c r="K39" s="85">
        <v>1525</v>
      </c>
      <c r="L39" s="84">
        <v>1365</v>
      </c>
      <c r="M39" s="84">
        <v>150</v>
      </c>
      <c r="N39" s="85">
        <v>1515</v>
      </c>
      <c r="O39" s="84">
        <v>795</v>
      </c>
      <c r="P39" s="84">
        <v>110</v>
      </c>
      <c r="Q39" s="85">
        <v>905</v>
      </c>
      <c r="R39" s="84">
        <v>1360</v>
      </c>
      <c r="S39" s="84">
        <v>155</v>
      </c>
      <c r="T39" s="85">
        <v>1515</v>
      </c>
      <c r="U39" s="84">
        <v>215</v>
      </c>
      <c r="V39" s="84">
        <v>50</v>
      </c>
      <c r="W39" s="85">
        <v>270</v>
      </c>
      <c r="X39" s="84">
        <v>615</v>
      </c>
      <c r="Y39" s="84">
        <v>85</v>
      </c>
      <c r="Z39" s="85">
        <v>695</v>
      </c>
      <c r="AA39" s="84">
        <v>335</v>
      </c>
      <c r="AB39" s="84">
        <v>310</v>
      </c>
      <c r="AC39" s="85">
        <v>640</v>
      </c>
      <c r="AD39" s="84">
        <v>55</v>
      </c>
      <c r="AE39" s="84">
        <v>190</v>
      </c>
      <c r="AF39" s="84">
        <v>245</v>
      </c>
      <c r="AG39" s="97">
        <v>6730</v>
      </c>
      <c r="AH39" s="84">
        <v>1115</v>
      </c>
      <c r="AI39" s="84">
        <v>7845</v>
      </c>
    </row>
    <row r="40" spans="1:35" x14ac:dyDescent="0.25">
      <c r="A40" s="1"/>
      <c r="B40" s="11" t="s">
        <v>41</v>
      </c>
      <c r="C40" s="12"/>
      <c r="D40" s="88"/>
      <c r="E40" s="14"/>
      <c r="F40" s="12"/>
      <c r="G40" s="88"/>
      <c r="H40" s="14"/>
      <c r="I40" s="12"/>
      <c r="J40" s="88"/>
      <c r="K40" s="14"/>
      <c r="L40" s="12"/>
      <c r="M40" s="88"/>
      <c r="N40" s="14"/>
      <c r="O40" s="12"/>
      <c r="P40" s="88"/>
      <c r="Q40" s="14"/>
      <c r="R40" s="12"/>
      <c r="S40" s="88"/>
      <c r="T40" s="14"/>
      <c r="U40" s="12"/>
      <c r="V40" s="88"/>
      <c r="W40" s="14"/>
      <c r="X40" s="12"/>
      <c r="Y40" s="88"/>
      <c r="Z40" s="14"/>
      <c r="AA40" s="12"/>
      <c r="AB40" s="88"/>
      <c r="AC40" s="14"/>
      <c r="AD40" s="12"/>
      <c r="AE40" s="88"/>
      <c r="AF40" s="88"/>
      <c r="AG40" s="12"/>
      <c r="AH40" s="88"/>
      <c r="AI40" s="88"/>
    </row>
    <row r="41" spans="1:35" x14ac:dyDescent="0.25">
      <c r="A41" s="1"/>
      <c r="B41" s="70" t="s">
        <v>11</v>
      </c>
      <c r="C41" s="84">
        <v>0</v>
      </c>
      <c r="D41" s="84">
        <v>0</v>
      </c>
      <c r="E41" s="85">
        <v>0</v>
      </c>
      <c r="F41" s="84">
        <v>0</v>
      </c>
      <c r="G41" s="84">
        <v>0</v>
      </c>
      <c r="H41" s="85">
        <v>0</v>
      </c>
      <c r="I41" s="84">
        <v>5</v>
      </c>
      <c r="J41" s="84">
        <v>210</v>
      </c>
      <c r="K41" s="85">
        <v>210</v>
      </c>
      <c r="L41" s="84">
        <v>1130</v>
      </c>
      <c r="M41" s="84">
        <v>280</v>
      </c>
      <c r="N41" s="85">
        <v>1405</v>
      </c>
      <c r="O41" s="84">
        <v>1395</v>
      </c>
      <c r="P41" s="84">
        <v>140</v>
      </c>
      <c r="Q41" s="85">
        <v>1530</v>
      </c>
      <c r="R41" s="84">
        <v>19045</v>
      </c>
      <c r="S41" s="84">
        <v>3035</v>
      </c>
      <c r="T41" s="85">
        <v>22080</v>
      </c>
      <c r="U41" s="84">
        <v>1650</v>
      </c>
      <c r="V41" s="84">
        <v>245</v>
      </c>
      <c r="W41" s="85">
        <v>1895</v>
      </c>
      <c r="X41" s="84">
        <v>8825</v>
      </c>
      <c r="Y41" s="84">
        <v>890</v>
      </c>
      <c r="Z41" s="85">
        <v>9715</v>
      </c>
      <c r="AA41" s="84">
        <v>5405</v>
      </c>
      <c r="AB41" s="84">
        <v>4080</v>
      </c>
      <c r="AC41" s="85">
        <v>9485</v>
      </c>
      <c r="AD41" s="84">
        <v>790</v>
      </c>
      <c r="AE41" s="84">
        <v>785</v>
      </c>
      <c r="AF41" s="84">
        <v>1570</v>
      </c>
      <c r="AG41" s="97">
        <v>37870</v>
      </c>
      <c r="AH41" s="84">
        <v>9620</v>
      </c>
      <c r="AI41" s="84">
        <v>47490</v>
      </c>
    </row>
    <row r="42" spans="1:35" x14ac:dyDescent="0.25">
      <c r="A42" s="1"/>
      <c r="B42" s="70" t="s">
        <v>90</v>
      </c>
      <c r="C42" s="84">
        <v>970</v>
      </c>
      <c r="D42" s="84">
        <v>10</v>
      </c>
      <c r="E42" s="85">
        <v>985</v>
      </c>
      <c r="F42" s="84">
        <v>3360</v>
      </c>
      <c r="G42" s="84">
        <v>45</v>
      </c>
      <c r="H42" s="85">
        <v>3410</v>
      </c>
      <c r="I42" s="84">
        <v>9805</v>
      </c>
      <c r="J42" s="84">
        <v>200</v>
      </c>
      <c r="K42" s="85">
        <v>10005</v>
      </c>
      <c r="L42" s="84">
        <v>9425</v>
      </c>
      <c r="M42" s="84">
        <v>310</v>
      </c>
      <c r="N42" s="85">
        <v>9735</v>
      </c>
      <c r="O42" s="84">
        <v>6335</v>
      </c>
      <c r="P42" s="84">
        <v>405</v>
      </c>
      <c r="Q42" s="85">
        <v>6740</v>
      </c>
      <c r="R42" s="84">
        <v>3990</v>
      </c>
      <c r="S42" s="84">
        <v>290</v>
      </c>
      <c r="T42" s="85">
        <v>4280</v>
      </c>
      <c r="U42" s="84">
        <v>775</v>
      </c>
      <c r="V42" s="84">
        <v>280</v>
      </c>
      <c r="W42" s="85">
        <v>1060</v>
      </c>
      <c r="X42" s="84">
        <v>655</v>
      </c>
      <c r="Y42" s="84">
        <v>220</v>
      </c>
      <c r="Z42" s="85">
        <v>880</v>
      </c>
      <c r="AA42" s="84">
        <v>220</v>
      </c>
      <c r="AB42" s="84">
        <v>1015</v>
      </c>
      <c r="AC42" s="85">
        <v>1240</v>
      </c>
      <c r="AD42" s="84">
        <v>5</v>
      </c>
      <c r="AE42" s="84">
        <v>0</v>
      </c>
      <c r="AF42" s="84">
        <v>5</v>
      </c>
      <c r="AG42" s="97">
        <v>34320</v>
      </c>
      <c r="AH42" s="84">
        <v>2745</v>
      </c>
      <c r="AI42" s="84">
        <v>37065</v>
      </c>
    </row>
    <row r="43" spans="1:35" x14ac:dyDescent="0.25">
      <c r="A43" s="1"/>
      <c r="B43" s="70" t="s">
        <v>42</v>
      </c>
      <c r="C43" s="84">
        <v>4515</v>
      </c>
      <c r="D43" s="84">
        <v>5</v>
      </c>
      <c r="E43" s="85">
        <v>4520</v>
      </c>
      <c r="F43" s="84">
        <v>3115</v>
      </c>
      <c r="G43" s="84">
        <v>5</v>
      </c>
      <c r="H43" s="85">
        <v>3120</v>
      </c>
      <c r="I43" s="84">
        <v>5470</v>
      </c>
      <c r="J43" s="84">
        <v>5</v>
      </c>
      <c r="K43" s="85">
        <v>5470</v>
      </c>
      <c r="L43" s="84">
        <v>6725</v>
      </c>
      <c r="M43" s="84">
        <v>5</v>
      </c>
      <c r="N43" s="85">
        <v>6730</v>
      </c>
      <c r="O43" s="84">
        <v>2860</v>
      </c>
      <c r="P43" s="84">
        <v>0</v>
      </c>
      <c r="Q43" s="85">
        <v>2860</v>
      </c>
      <c r="R43" s="84">
        <v>300</v>
      </c>
      <c r="S43" s="84">
        <v>0</v>
      </c>
      <c r="T43" s="85">
        <v>300</v>
      </c>
      <c r="U43" s="84">
        <v>0</v>
      </c>
      <c r="V43" s="84">
        <v>0</v>
      </c>
      <c r="W43" s="85">
        <v>0</v>
      </c>
      <c r="X43" s="84">
        <v>170</v>
      </c>
      <c r="Y43" s="84">
        <v>0</v>
      </c>
      <c r="Z43" s="85">
        <v>170</v>
      </c>
      <c r="AA43" s="84">
        <v>60</v>
      </c>
      <c r="AB43" s="84">
        <v>0</v>
      </c>
      <c r="AC43" s="85">
        <v>60</v>
      </c>
      <c r="AD43" s="84">
        <v>15</v>
      </c>
      <c r="AE43" s="84">
        <v>5</v>
      </c>
      <c r="AF43" s="84">
        <v>20</v>
      </c>
      <c r="AG43" s="97">
        <v>19205</v>
      </c>
      <c r="AH43" s="84">
        <v>15</v>
      </c>
      <c r="AI43" s="84">
        <v>19225</v>
      </c>
    </row>
    <row r="44" spans="1:35" x14ac:dyDescent="0.25">
      <c r="A44" s="1"/>
      <c r="B44" s="70" t="s">
        <v>12</v>
      </c>
      <c r="C44" s="84">
        <v>5485</v>
      </c>
      <c r="D44" s="84">
        <v>15</v>
      </c>
      <c r="E44" s="85">
        <v>5505</v>
      </c>
      <c r="F44" s="84">
        <v>6470</v>
      </c>
      <c r="G44" s="84">
        <v>50</v>
      </c>
      <c r="H44" s="85">
        <v>6520</v>
      </c>
      <c r="I44" s="84">
        <v>15250</v>
      </c>
      <c r="J44" s="84">
        <v>410</v>
      </c>
      <c r="K44" s="85">
        <v>15660</v>
      </c>
      <c r="L44" s="84">
        <v>17235</v>
      </c>
      <c r="M44" s="84">
        <v>595</v>
      </c>
      <c r="N44" s="85">
        <v>17830</v>
      </c>
      <c r="O44" s="84">
        <v>10560</v>
      </c>
      <c r="P44" s="84">
        <v>545</v>
      </c>
      <c r="Q44" s="85">
        <v>11105</v>
      </c>
      <c r="R44" s="84">
        <v>23330</v>
      </c>
      <c r="S44" s="84">
        <v>3330</v>
      </c>
      <c r="T44" s="85">
        <v>26660</v>
      </c>
      <c r="U44" s="84">
        <v>2425</v>
      </c>
      <c r="V44" s="84">
        <v>530</v>
      </c>
      <c r="W44" s="85">
        <v>2955</v>
      </c>
      <c r="X44" s="84">
        <v>9650</v>
      </c>
      <c r="Y44" s="84">
        <v>1110</v>
      </c>
      <c r="Z44" s="85">
        <v>10760</v>
      </c>
      <c r="AA44" s="84">
        <v>5685</v>
      </c>
      <c r="AB44" s="84">
        <v>5095</v>
      </c>
      <c r="AC44" s="85">
        <v>10785</v>
      </c>
      <c r="AD44" s="84">
        <v>810</v>
      </c>
      <c r="AE44" s="84">
        <v>785</v>
      </c>
      <c r="AF44" s="84">
        <v>1600</v>
      </c>
      <c r="AG44" s="97">
        <v>90700</v>
      </c>
      <c r="AH44" s="84">
        <v>12375</v>
      </c>
      <c r="AI44" s="84">
        <v>103075</v>
      </c>
    </row>
    <row r="45" spans="1:35" x14ac:dyDescent="0.25">
      <c r="A45" s="1"/>
      <c r="B45" s="70" t="s">
        <v>13</v>
      </c>
      <c r="C45" s="84">
        <v>1870</v>
      </c>
      <c r="D45" s="84">
        <v>80</v>
      </c>
      <c r="E45" s="85">
        <v>1950</v>
      </c>
      <c r="F45" s="84">
        <v>3760</v>
      </c>
      <c r="G45" s="84">
        <v>260</v>
      </c>
      <c r="H45" s="85">
        <v>4020</v>
      </c>
      <c r="I45" s="84">
        <v>7400</v>
      </c>
      <c r="J45" s="84">
        <v>260</v>
      </c>
      <c r="K45" s="85">
        <v>7660</v>
      </c>
      <c r="L45" s="84">
        <v>6540</v>
      </c>
      <c r="M45" s="84">
        <v>930</v>
      </c>
      <c r="N45" s="85">
        <v>7465</v>
      </c>
      <c r="O45" s="84">
        <v>4495</v>
      </c>
      <c r="P45" s="84">
        <v>1210</v>
      </c>
      <c r="Q45" s="85">
        <v>5710</v>
      </c>
      <c r="R45" s="84">
        <v>1220</v>
      </c>
      <c r="S45" s="84">
        <v>150</v>
      </c>
      <c r="T45" s="85">
        <v>1370</v>
      </c>
      <c r="U45" s="84">
        <v>350</v>
      </c>
      <c r="V45" s="84">
        <v>610</v>
      </c>
      <c r="W45" s="85">
        <v>965</v>
      </c>
      <c r="X45" s="84">
        <v>335</v>
      </c>
      <c r="Y45" s="84">
        <v>105</v>
      </c>
      <c r="Z45" s="85">
        <v>445</v>
      </c>
      <c r="AA45" s="84">
        <v>250</v>
      </c>
      <c r="AB45" s="84">
        <v>375</v>
      </c>
      <c r="AC45" s="85">
        <v>625</v>
      </c>
      <c r="AD45" s="84">
        <v>0</v>
      </c>
      <c r="AE45" s="84">
        <v>0</v>
      </c>
      <c r="AF45" s="84">
        <v>0</v>
      </c>
      <c r="AG45" s="97">
        <v>24435</v>
      </c>
      <c r="AH45" s="84">
        <v>3915</v>
      </c>
      <c r="AI45" s="84">
        <v>28355</v>
      </c>
    </row>
    <row r="46" spans="1:35" x14ac:dyDescent="0.25">
      <c r="A46" s="1"/>
      <c r="B46" s="11" t="s">
        <v>43</v>
      </c>
      <c r="C46" s="12"/>
      <c r="D46" s="88"/>
      <c r="E46" s="14"/>
      <c r="F46" s="12"/>
      <c r="G46" s="88"/>
      <c r="H46" s="14"/>
      <c r="I46" s="12"/>
      <c r="J46" s="88"/>
      <c r="K46" s="14"/>
      <c r="L46" s="12"/>
      <c r="M46" s="88"/>
      <c r="N46" s="14"/>
      <c r="O46" s="12"/>
      <c r="P46" s="88"/>
      <c r="Q46" s="14"/>
      <c r="R46" s="12"/>
      <c r="S46" s="88"/>
      <c r="T46" s="14"/>
      <c r="U46" s="12"/>
      <c r="V46" s="88"/>
      <c r="W46" s="14"/>
      <c r="X46" s="12"/>
      <c r="Y46" s="88"/>
      <c r="Z46" s="14"/>
      <c r="AA46" s="12"/>
      <c r="AB46" s="88"/>
      <c r="AC46" s="14"/>
      <c r="AD46" s="12"/>
      <c r="AE46" s="88"/>
      <c r="AF46" s="88"/>
      <c r="AG46" s="12"/>
      <c r="AH46" s="88"/>
      <c r="AI46" s="88"/>
    </row>
    <row r="47" spans="1:35" x14ac:dyDescent="0.25">
      <c r="A47" s="1"/>
      <c r="B47" s="9" t="s">
        <v>16</v>
      </c>
      <c r="C47" s="84">
        <v>0</v>
      </c>
      <c r="D47" s="84">
        <v>0</v>
      </c>
      <c r="E47" s="85">
        <v>0</v>
      </c>
      <c r="F47" s="84">
        <v>0</v>
      </c>
      <c r="G47" s="84">
        <v>0</v>
      </c>
      <c r="H47" s="85">
        <v>0</v>
      </c>
      <c r="I47" s="84">
        <v>120</v>
      </c>
      <c r="J47" s="84">
        <v>5</v>
      </c>
      <c r="K47" s="85">
        <v>125</v>
      </c>
      <c r="L47" s="84">
        <v>1105</v>
      </c>
      <c r="M47" s="84">
        <v>110</v>
      </c>
      <c r="N47" s="85">
        <v>1215</v>
      </c>
      <c r="O47" s="84">
        <v>470</v>
      </c>
      <c r="P47" s="84">
        <v>45</v>
      </c>
      <c r="Q47" s="85">
        <v>515</v>
      </c>
      <c r="R47" s="84">
        <v>2930</v>
      </c>
      <c r="S47" s="84">
        <v>420</v>
      </c>
      <c r="T47" s="85">
        <v>3345</v>
      </c>
      <c r="U47" s="84">
        <v>75</v>
      </c>
      <c r="V47" s="84">
        <v>25</v>
      </c>
      <c r="W47" s="85">
        <v>105</v>
      </c>
      <c r="X47" s="84">
        <v>875</v>
      </c>
      <c r="Y47" s="84">
        <v>120</v>
      </c>
      <c r="Z47" s="85">
        <v>990</v>
      </c>
      <c r="AA47" s="84">
        <v>565</v>
      </c>
      <c r="AB47" s="84">
        <v>415</v>
      </c>
      <c r="AC47" s="85">
        <v>975</v>
      </c>
      <c r="AD47" s="84">
        <v>165</v>
      </c>
      <c r="AE47" s="84">
        <v>185</v>
      </c>
      <c r="AF47" s="84">
        <v>350</v>
      </c>
      <c r="AG47" s="97">
        <v>6260</v>
      </c>
      <c r="AH47" s="84">
        <v>1315</v>
      </c>
      <c r="AI47" s="84">
        <v>7575</v>
      </c>
    </row>
    <row r="48" spans="1:35" x14ac:dyDescent="0.25">
      <c r="A48" s="1"/>
      <c r="B48" s="9" t="s">
        <v>17</v>
      </c>
      <c r="C48" s="84">
        <v>0</v>
      </c>
      <c r="D48" s="84">
        <v>0</v>
      </c>
      <c r="E48" s="85">
        <v>0</v>
      </c>
      <c r="F48" s="84">
        <v>25</v>
      </c>
      <c r="G48" s="84">
        <v>0</v>
      </c>
      <c r="H48" s="85">
        <v>25</v>
      </c>
      <c r="I48" s="84">
        <v>35</v>
      </c>
      <c r="J48" s="84">
        <v>0</v>
      </c>
      <c r="K48" s="85">
        <v>35</v>
      </c>
      <c r="L48" s="84">
        <v>285</v>
      </c>
      <c r="M48" s="84">
        <v>10</v>
      </c>
      <c r="N48" s="85">
        <v>295</v>
      </c>
      <c r="O48" s="84">
        <v>1095</v>
      </c>
      <c r="P48" s="84">
        <v>150</v>
      </c>
      <c r="Q48" s="85">
        <v>1245</v>
      </c>
      <c r="R48" s="84">
        <v>1405</v>
      </c>
      <c r="S48" s="84">
        <v>640</v>
      </c>
      <c r="T48" s="85">
        <v>2040</v>
      </c>
      <c r="U48" s="84">
        <v>110</v>
      </c>
      <c r="V48" s="84">
        <v>50</v>
      </c>
      <c r="W48" s="85">
        <v>165</v>
      </c>
      <c r="X48" s="84">
        <v>360</v>
      </c>
      <c r="Y48" s="84">
        <v>155</v>
      </c>
      <c r="Z48" s="85">
        <v>510</v>
      </c>
      <c r="AA48" s="84">
        <v>520</v>
      </c>
      <c r="AB48" s="84">
        <v>975</v>
      </c>
      <c r="AC48" s="85">
        <v>1495</v>
      </c>
      <c r="AD48" s="84">
        <v>25</v>
      </c>
      <c r="AE48" s="84">
        <v>55</v>
      </c>
      <c r="AF48" s="84">
        <v>80</v>
      </c>
      <c r="AG48" s="97">
        <v>3825</v>
      </c>
      <c r="AH48" s="84">
        <v>2025</v>
      </c>
      <c r="AI48" s="84">
        <v>5850</v>
      </c>
    </row>
    <row r="49" spans="1:35" x14ac:dyDescent="0.25">
      <c r="A49" s="1"/>
      <c r="B49" s="9" t="s">
        <v>18</v>
      </c>
      <c r="C49" s="84">
        <v>5</v>
      </c>
      <c r="D49" s="84">
        <v>5</v>
      </c>
      <c r="E49" s="85">
        <v>5</v>
      </c>
      <c r="F49" s="84">
        <v>440</v>
      </c>
      <c r="G49" s="84">
        <v>0</v>
      </c>
      <c r="H49" s="85">
        <v>440</v>
      </c>
      <c r="I49" s="84">
        <v>3515</v>
      </c>
      <c r="J49" s="84">
        <v>60</v>
      </c>
      <c r="K49" s="85">
        <v>3575</v>
      </c>
      <c r="L49" s="84">
        <v>1445</v>
      </c>
      <c r="M49" s="84">
        <v>30</v>
      </c>
      <c r="N49" s="85">
        <v>1475</v>
      </c>
      <c r="O49" s="84">
        <v>680</v>
      </c>
      <c r="P49" s="84">
        <v>135</v>
      </c>
      <c r="Q49" s="85">
        <v>810</v>
      </c>
      <c r="R49" s="84">
        <v>595</v>
      </c>
      <c r="S49" s="84">
        <v>150</v>
      </c>
      <c r="T49" s="85">
        <v>745</v>
      </c>
      <c r="U49" s="84">
        <v>35</v>
      </c>
      <c r="V49" s="84">
        <v>80</v>
      </c>
      <c r="W49" s="85">
        <v>115</v>
      </c>
      <c r="X49" s="84">
        <v>1520</v>
      </c>
      <c r="Y49" s="84">
        <v>260</v>
      </c>
      <c r="Z49" s="85">
        <v>1780</v>
      </c>
      <c r="AA49" s="84">
        <v>280</v>
      </c>
      <c r="AB49" s="84">
        <v>855</v>
      </c>
      <c r="AC49" s="85">
        <v>1130</v>
      </c>
      <c r="AD49" s="84">
        <v>65</v>
      </c>
      <c r="AE49" s="84">
        <v>165</v>
      </c>
      <c r="AF49" s="84">
        <v>230</v>
      </c>
      <c r="AG49" s="97">
        <v>8430</v>
      </c>
      <c r="AH49" s="84">
        <v>1730</v>
      </c>
      <c r="AI49" s="84">
        <v>10160</v>
      </c>
    </row>
    <row r="50" spans="1:35" x14ac:dyDescent="0.25">
      <c r="A50" s="1"/>
      <c r="B50" s="9" t="s">
        <v>19</v>
      </c>
      <c r="C50" s="84">
        <v>95</v>
      </c>
      <c r="D50" s="84">
        <v>0</v>
      </c>
      <c r="E50" s="85">
        <v>95</v>
      </c>
      <c r="F50" s="84">
        <v>400</v>
      </c>
      <c r="G50" s="84">
        <v>5</v>
      </c>
      <c r="H50" s="85">
        <v>405</v>
      </c>
      <c r="I50" s="84">
        <v>2050</v>
      </c>
      <c r="J50" s="84">
        <v>25</v>
      </c>
      <c r="K50" s="85">
        <v>2075</v>
      </c>
      <c r="L50" s="84">
        <v>780</v>
      </c>
      <c r="M50" s="84">
        <v>5</v>
      </c>
      <c r="N50" s="85">
        <v>785</v>
      </c>
      <c r="O50" s="84">
        <v>775</v>
      </c>
      <c r="P50" s="84">
        <v>40</v>
      </c>
      <c r="Q50" s="85">
        <v>815</v>
      </c>
      <c r="R50" s="84">
        <v>650</v>
      </c>
      <c r="S50" s="84">
        <v>130</v>
      </c>
      <c r="T50" s="85">
        <v>780</v>
      </c>
      <c r="U50" s="84">
        <v>45</v>
      </c>
      <c r="V50" s="84">
        <v>70</v>
      </c>
      <c r="W50" s="85">
        <v>120</v>
      </c>
      <c r="X50" s="84">
        <v>185</v>
      </c>
      <c r="Y50" s="84">
        <v>20</v>
      </c>
      <c r="Z50" s="85">
        <v>205</v>
      </c>
      <c r="AA50" s="84">
        <v>270</v>
      </c>
      <c r="AB50" s="84">
        <v>65</v>
      </c>
      <c r="AC50" s="85">
        <v>335</v>
      </c>
      <c r="AD50" s="84">
        <v>5</v>
      </c>
      <c r="AE50" s="84">
        <v>5</v>
      </c>
      <c r="AF50" s="84">
        <v>10</v>
      </c>
      <c r="AG50" s="97">
        <v>5115</v>
      </c>
      <c r="AH50" s="84">
        <v>370</v>
      </c>
      <c r="AI50" s="84">
        <v>5485</v>
      </c>
    </row>
    <row r="51" spans="1:35" x14ac:dyDescent="0.25">
      <c r="A51" s="1"/>
      <c r="B51" s="9" t="s">
        <v>20</v>
      </c>
      <c r="C51" s="84">
        <v>5</v>
      </c>
      <c r="D51" s="84">
        <v>0</v>
      </c>
      <c r="E51" s="85">
        <v>5</v>
      </c>
      <c r="F51" s="84">
        <v>1055</v>
      </c>
      <c r="G51" s="84">
        <v>190</v>
      </c>
      <c r="H51" s="85">
        <v>1240</v>
      </c>
      <c r="I51" s="84">
        <v>1990</v>
      </c>
      <c r="J51" s="84">
        <v>5</v>
      </c>
      <c r="K51" s="85">
        <v>1995</v>
      </c>
      <c r="L51" s="84">
        <v>460</v>
      </c>
      <c r="M51" s="84">
        <v>5</v>
      </c>
      <c r="N51" s="85">
        <v>465</v>
      </c>
      <c r="O51" s="84">
        <v>215</v>
      </c>
      <c r="P51" s="84">
        <v>20</v>
      </c>
      <c r="Q51" s="85">
        <v>235</v>
      </c>
      <c r="R51" s="84">
        <v>585</v>
      </c>
      <c r="S51" s="84">
        <v>20</v>
      </c>
      <c r="T51" s="85">
        <v>605</v>
      </c>
      <c r="U51" s="84">
        <v>30</v>
      </c>
      <c r="V51" s="84">
        <v>5</v>
      </c>
      <c r="W51" s="85">
        <v>35</v>
      </c>
      <c r="X51" s="84">
        <v>160</v>
      </c>
      <c r="Y51" s="84">
        <v>25</v>
      </c>
      <c r="Z51" s="85">
        <v>185</v>
      </c>
      <c r="AA51" s="84">
        <v>160</v>
      </c>
      <c r="AB51" s="84">
        <v>105</v>
      </c>
      <c r="AC51" s="85">
        <v>265</v>
      </c>
      <c r="AD51" s="84">
        <v>15</v>
      </c>
      <c r="AE51" s="84">
        <v>20</v>
      </c>
      <c r="AF51" s="84">
        <v>35</v>
      </c>
      <c r="AG51" s="97">
        <v>4510</v>
      </c>
      <c r="AH51" s="84">
        <v>390</v>
      </c>
      <c r="AI51" s="84">
        <v>4900</v>
      </c>
    </row>
    <row r="52" spans="1:35" x14ac:dyDescent="0.25">
      <c r="A52" s="1"/>
      <c r="B52" s="9" t="s">
        <v>21</v>
      </c>
      <c r="C52" s="84">
        <v>5</v>
      </c>
      <c r="D52" s="84">
        <v>0</v>
      </c>
      <c r="E52" s="85">
        <v>5</v>
      </c>
      <c r="F52" s="84">
        <v>25</v>
      </c>
      <c r="G52" s="84">
        <v>0</v>
      </c>
      <c r="H52" s="85">
        <v>25</v>
      </c>
      <c r="I52" s="84">
        <v>1935</v>
      </c>
      <c r="J52" s="84">
        <v>60</v>
      </c>
      <c r="K52" s="85">
        <v>2000</v>
      </c>
      <c r="L52" s="84">
        <v>1890</v>
      </c>
      <c r="M52" s="84">
        <v>75</v>
      </c>
      <c r="N52" s="85">
        <v>1965</v>
      </c>
      <c r="O52" s="84">
        <v>1850</v>
      </c>
      <c r="P52" s="84">
        <v>350</v>
      </c>
      <c r="Q52" s="85">
        <v>2200</v>
      </c>
      <c r="R52" s="84">
        <v>5110</v>
      </c>
      <c r="S52" s="84">
        <v>215</v>
      </c>
      <c r="T52" s="85">
        <v>5325</v>
      </c>
      <c r="U52" s="84">
        <v>190</v>
      </c>
      <c r="V52" s="84">
        <v>15</v>
      </c>
      <c r="W52" s="85">
        <v>205</v>
      </c>
      <c r="X52" s="84">
        <v>3605</v>
      </c>
      <c r="Y52" s="84">
        <v>150</v>
      </c>
      <c r="Z52" s="85">
        <v>3755</v>
      </c>
      <c r="AA52" s="84">
        <v>935</v>
      </c>
      <c r="AB52" s="84">
        <v>175</v>
      </c>
      <c r="AC52" s="85">
        <v>1115</v>
      </c>
      <c r="AD52" s="84">
        <v>185</v>
      </c>
      <c r="AE52" s="84">
        <v>70</v>
      </c>
      <c r="AF52" s="84">
        <v>255</v>
      </c>
      <c r="AG52" s="97">
        <v>15565</v>
      </c>
      <c r="AH52" s="84">
        <v>1110</v>
      </c>
      <c r="AI52" s="84">
        <v>16680</v>
      </c>
    </row>
    <row r="53" spans="1:35" x14ac:dyDescent="0.25">
      <c r="A53" s="1"/>
      <c r="B53" s="9" t="s">
        <v>22</v>
      </c>
      <c r="C53" s="84">
        <v>140</v>
      </c>
      <c r="D53" s="84">
        <v>0</v>
      </c>
      <c r="E53" s="85">
        <v>140</v>
      </c>
      <c r="F53" s="84">
        <v>110</v>
      </c>
      <c r="G53" s="84">
        <v>0</v>
      </c>
      <c r="H53" s="85">
        <v>110</v>
      </c>
      <c r="I53" s="84">
        <v>95</v>
      </c>
      <c r="J53" s="84">
        <v>0</v>
      </c>
      <c r="K53" s="85">
        <v>95</v>
      </c>
      <c r="L53" s="84">
        <v>605</v>
      </c>
      <c r="M53" s="84">
        <v>5</v>
      </c>
      <c r="N53" s="85">
        <v>610</v>
      </c>
      <c r="O53" s="84">
        <v>760</v>
      </c>
      <c r="P53" s="84">
        <v>10</v>
      </c>
      <c r="Q53" s="85">
        <v>770</v>
      </c>
      <c r="R53" s="84">
        <v>2055</v>
      </c>
      <c r="S53" s="84">
        <v>165</v>
      </c>
      <c r="T53" s="85">
        <v>2220</v>
      </c>
      <c r="U53" s="84">
        <v>1070</v>
      </c>
      <c r="V53" s="84">
        <v>715</v>
      </c>
      <c r="W53" s="85">
        <v>1785</v>
      </c>
      <c r="X53" s="84">
        <v>895</v>
      </c>
      <c r="Y53" s="84">
        <v>85</v>
      </c>
      <c r="Z53" s="85">
        <v>980</v>
      </c>
      <c r="AA53" s="84">
        <v>715</v>
      </c>
      <c r="AB53" s="84">
        <v>325</v>
      </c>
      <c r="AC53" s="85">
        <v>1040</v>
      </c>
      <c r="AD53" s="84">
        <v>60</v>
      </c>
      <c r="AE53" s="84">
        <v>50</v>
      </c>
      <c r="AF53" s="84">
        <v>110</v>
      </c>
      <c r="AG53" s="97">
        <v>6445</v>
      </c>
      <c r="AH53" s="84">
        <v>1355</v>
      </c>
      <c r="AI53" s="84">
        <v>7800</v>
      </c>
    </row>
    <row r="54" spans="1:35" x14ac:dyDescent="0.25">
      <c r="A54" s="1"/>
      <c r="B54" s="9" t="s">
        <v>23</v>
      </c>
      <c r="C54" s="84">
        <v>30</v>
      </c>
      <c r="D54" s="84">
        <v>0</v>
      </c>
      <c r="E54" s="85">
        <v>30</v>
      </c>
      <c r="F54" s="84">
        <v>585</v>
      </c>
      <c r="G54" s="84">
        <v>5</v>
      </c>
      <c r="H54" s="85">
        <v>585</v>
      </c>
      <c r="I54" s="84">
        <v>3220</v>
      </c>
      <c r="J54" s="84">
        <v>15</v>
      </c>
      <c r="K54" s="85">
        <v>3240</v>
      </c>
      <c r="L54" s="84">
        <v>4170</v>
      </c>
      <c r="M54" s="84">
        <v>35</v>
      </c>
      <c r="N54" s="85">
        <v>4205</v>
      </c>
      <c r="O54" s="84">
        <v>3195</v>
      </c>
      <c r="P54" s="84">
        <v>175</v>
      </c>
      <c r="Q54" s="85">
        <v>3370</v>
      </c>
      <c r="R54" s="84">
        <v>4465</v>
      </c>
      <c r="S54" s="84">
        <v>1370</v>
      </c>
      <c r="T54" s="85">
        <v>5835</v>
      </c>
      <c r="U54" s="84">
        <v>550</v>
      </c>
      <c r="V54" s="84">
        <v>185</v>
      </c>
      <c r="W54" s="85">
        <v>735</v>
      </c>
      <c r="X54" s="84">
        <v>510</v>
      </c>
      <c r="Y54" s="84">
        <v>325</v>
      </c>
      <c r="Z54" s="85">
        <v>835</v>
      </c>
      <c r="AA54" s="84">
        <v>1125</v>
      </c>
      <c r="AB54" s="84">
        <v>2400</v>
      </c>
      <c r="AC54" s="85">
        <v>3525</v>
      </c>
      <c r="AD54" s="84">
        <v>40</v>
      </c>
      <c r="AE54" s="84">
        <v>100</v>
      </c>
      <c r="AF54" s="84">
        <v>140</v>
      </c>
      <c r="AG54" s="97">
        <v>17495</v>
      </c>
      <c r="AH54" s="84">
        <v>4590</v>
      </c>
      <c r="AI54" s="84">
        <v>22085</v>
      </c>
    </row>
    <row r="55" spans="1:35" x14ac:dyDescent="0.25">
      <c r="A55" s="1"/>
      <c r="B55" s="9" t="s">
        <v>24</v>
      </c>
      <c r="C55" s="84">
        <v>5775</v>
      </c>
      <c r="D55" s="84">
        <v>100</v>
      </c>
      <c r="E55" s="85">
        <v>5875</v>
      </c>
      <c r="F55" s="84">
        <v>5250</v>
      </c>
      <c r="G55" s="84">
        <v>105</v>
      </c>
      <c r="H55" s="85">
        <v>5355</v>
      </c>
      <c r="I55" s="84">
        <v>7135</v>
      </c>
      <c r="J55" s="84">
        <v>460</v>
      </c>
      <c r="K55" s="85">
        <v>7595</v>
      </c>
      <c r="L55" s="84">
        <v>8850</v>
      </c>
      <c r="M55" s="84">
        <v>1075</v>
      </c>
      <c r="N55" s="85">
        <v>9925</v>
      </c>
      <c r="O55" s="84">
        <v>4420</v>
      </c>
      <c r="P55" s="84">
        <v>675</v>
      </c>
      <c r="Q55" s="85">
        <v>5095</v>
      </c>
      <c r="R55" s="84">
        <v>7480</v>
      </c>
      <c r="S55" s="84">
        <v>545</v>
      </c>
      <c r="T55" s="85">
        <v>8025</v>
      </c>
      <c r="U55" s="84">
        <v>630</v>
      </c>
      <c r="V55" s="84">
        <v>45</v>
      </c>
      <c r="W55" s="85">
        <v>675</v>
      </c>
      <c r="X55" s="84">
        <v>1900</v>
      </c>
      <c r="Y55" s="84">
        <v>85</v>
      </c>
      <c r="Z55" s="85">
        <v>1985</v>
      </c>
      <c r="AA55" s="84">
        <v>1095</v>
      </c>
      <c r="AB55" s="84">
        <v>350</v>
      </c>
      <c r="AC55" s="85">
        <v>1445</v>
      </c>
      <c r="AD55" s="84">
        <v>210</v>
      </c>
      <c r="AE55" s="84">
        <v>120</v>
      </c>
      <c r="AF55" s="84">
        <v>330</v>
      </c>
      <c r="AG55" s="97">
        <v>37595</v>
      </c>
      <c r="AH55" s="84">
        <v>3480</v>
      </c>
      <c r="AI55" s="84">
        <v>41075</v>
      </c>
    </row>
    <row r="56" spans="1:35" x14ac:dyDescent="0.25">
      <c r="A56" s="1"/>
      <c r="B56" s="9" t="s">
        <v>25</v>
      </c>
      <c r="C56" s="84">
        <v>5</v>
      </c>
      <c r="D56" s="84">
        <v>0</v>
      </c>
      <c r="E56" s="85">
        <v>5</v>
      </c>
      <c r="F56" s="84">
        <v>150</v>
      </c>
      <c r="G56" s="84">
        <v>0</v>
      </c>
      <c r="H56" s="85">
        <v>150</v>
      </c>
      <c r="I56" s="84">
        <v>440</v>
      </c>
      <c r="J56" s="84">
        <v>5</v>
      </c>
      <c r="K56" s="85">
        <v>440</v>
      </c>
      <c r="L56" s="84">
        <v>1435</v>
      </c>
      <c r="M56" s="84">
        <v>20</v>
      </c>
      <c r="N56" s="85">
        <v>1455</v>
      </c>
      <c r="O56" s="84">
        <v>1410</v>
      </c>
      <c r="P56" s="84">
        <v>40</v>
      </c>
      <c r="Q56" s="85">
        <v>1450</v>
      </c>
      <c r="R56" s="84">
        <v>2640</v>
      </c>
      <c r="S56" s="84">
        <v>410</v>
      </c>
      <c r="T56" s="85">
        <v>3050</v>
      </c>
      <c r="U56" s="84">
        <v>70</v>
      </c>
      <c r="V56" s="84">
        <v>10</v>
      </c>
      <c r="W56" s="85">
        <v>80</v>
      </c>
      <c r="X56" s="84">
        <v>420</v>
      </c>
      <c r="Y56" s="84">
        <v>45</v>
      </c>
      <c r="Z56" s="85">
        <v>465</v>
      </c>
      <c r="AA56" s="84">
        <v>355</v>
      </c>
      <c r="AB56" s="84">
        <v>170</v>
      </c>
      <c r="AC56" s="85">
        <v>520</v>
      </c>
      <c r="AD56" s="84">
        <v>40</v>
      </c>
      <c r="AE56" s="84">
        <v>20</v>
      </c>
      <c r="AF56" s="84">
        <v>60</v>
      </c>
      <c r="AG56" s="97">
        <v>6890</v>
      </c>
      <c r="AH56" s="84">
        <v>715</v>
      </c>
      <c r="AI56" s="84">
        <v>7605</v>
      </c>
    </row>
    <row r="57" spans="1:35" x14ac:dyDescent="0.25">
      <c r="A57" s="1"/>
      <c r="B57" s="9" t="s">
        <v>26</v>
      </c>
      <c r="C57" s="84">
        <v>45</v>
      </c>
      <c r="D57" s="84">
        <v>0</v>
      </c>
      <c r="E57" s="85">
        <v>45</v>
      </c>
      <c r="F57" s="84">
        <v>630</v>
      </c>
      <c r="G57" s="84">
        <v>10</v>
      </c>
      <c r="H57" s="85">
        <v>635</v>
      </c>
      <c r="I57" s="84">
        <v>1625</v>
      </c>
      <c r="J57" s="84">
        <v>25</v>
      </c>
      <c r="K57" s="85">
        <v>1650</v>
      </c>
      <c r="L57" s="84">
        <v>1860</v>
      </c>
      <c r="M57" s="84">
        <v>115</v>
      </c>
      <c r="N57" s="85">
        <v>1975</v>
      </c>
      <c r="O57" s="84">
        <v>450</v>
      </c>
      <c r="P57" s="84">
        <v>130</v>
      </c>
      <c r="Q57" s="85">
        <v>580</v>
      </c>
      <c r="R57" s="84">
        <v>20</v>
      </c>
      <c r="S57" s="84">
        <v>10</v>
      </c>
      <c r="T57" s="85">
        <v>30</v>
      </c>
      <c r="U57" s="84">
        <v>0</v>
      </c>
      <c r="V57" s="84">
        <v>0</v>
      </c>
      <c r="W57" s="85">
        <v>0</v>
      </c>
      <c r="X57" s="84">
        <v>0</v>
      </c>
      <c r="Y57" s="84">
        <v>0</v>
      </c>
      <c r="Z57" s="85">
        <v>0</v>
      </c>
      <c r="AA57" s="84">
        <v>0</v>
      </c>
      <c r="AB57" s="84">
        <v>0</v>
      </c>
      <c r="AC57" s="85">
        <v>0</v>
      </c>
      <c r="AD57" s="84">
        <v>0</v>
      </c>
      <c r="AE57" s="84">
        <v>0</v>
      </c>
      <c r="AF57" s="84">
        <v>0</v>
      </c>
      <c r="AG57" s="97">
        <v>4390</v>
      </c>
      <c r="AH57" s="84">
        <v>280</v>
      </c>
      <c r="AI57" s="84">
        <v>4670</v>
      </c>
    </row>
    <row r="58" spans="1:35" x14ac:dyDescent="0.25">
      <c r="A58" s="1"/>
      <c r="B58" s="9" t="s">
        <v>27</v>
      </c>
      <c r="C58" s="84">
        <v>1385</v>
      </c>
      <c r="D58" s="84">
        <v>0</v>
      </c>
      <c r="E58" s="85">
        <v>1385</v>
      </c>
      <c r="F58" s="84">
        <v>1860</v>
      </c>
      <c r="G58" s="84">
        <v>5</v>
      </c>
      <c r="H58" s="85">
        <v>1860</v>
      </c>
      <c r="I58" s="84">
        <v>1230</v>
      </c>
      <c r="J58" s="84">
        <v>10</v>
      </c>
      <c r="K58" s="85">
        <v>1240</v>
      </c>
      <c r="L58" s="84">
        <v>1610</v>
      </c>
      <c r="M58" s="84">
        <v>65</v>
      </c>
      <c r="N58" s="85">
        <v>1670</v>
      </c>
      <c r="O58" s="84">
        <v>45</v>
      </c>
      <c r="P58" s="84">
        <v>15</v>
      </c>
      <c r="Q58" s="85">
        <v>60</v>
      </c>
      <c r="R58" s="84">
        <v>5</v>
      </c>
      <c r="S58" s="84">
        <v>0</v>
      </c>
      <c r="T58" s="85">
        <v>5</v>
      </c>
      <c r="U58" s="84">
        <v>20</v>
      </c>
      <c r="V58" s="84">
        <v>0</v>
      </c>
      <c r="W58" s="85">
        <v>20</v>
      </c>
      <c r="X58" s="84">
        <v>60</v>
      </c>
      <c r="Y58" s="84">
        <v>5</v>
      </c>
      <c r="Z58" s="85">
        <v>65</v>
      </c>
      <c r="AA58" s="84">
        <v>85</v>
      </c>
      <c r="AB58" s="84">
        <v>20</v>
      </c>
      <c r="AC58" s="85">
        <v>105</v>
      </c>
      <c r="AD58" s="84">
        <v>5</v>
      </c>
      <c r="AE58" s="84">
        <v>0</v>
      </c>
      <c r="AF58" s="84">
        <v>5</v>
      </c>
      <c r="AG58" s="97">
        <v>5945</v>
      </c>
      <c r="AH58" s="84">
        <v>110</v>
      </c>
      <c r="AI58" s="84">
        <v>6055</v>
      </c>
    </row>
    <row r="59" spans="1:35" x14ac:dyDescent="0.25">
      <c r="A59" s="1"/>
      <c r="B59" s="15"/>
      <c r="C59" s="16"/>
      <c r="D59" s="17"/>
      <c r="E59" s="18"/>
      <c r="F59" s="17"/>
      <c r="G59" s="17"/>
      <c r="H59" s="18"/>
      <c r="I59" s="16"/>
      <c r="J59" s="17"/>
      <c r="K59" s="18"/>
      <c r="L59" s="16"/>
      <c r="M59" s="17"/>
      <c r="N59" s="18"/>
      <c r="O59" s="16"/>
      <c r="P59" s="17"/>
      <c r="Q59" s="18"/>
      <c r="R59" s="16"/>
      <c r="S59" s="17"/>
      <c r="T59" s="18"/>
      <c r="U59" s="16"/>
      <c r="V59" s="17"/>
      <c r="W59" s="18"/>
      <c r="X59" s="16"/>
      <c r="Y59" s="17"/>
      <c r="Z59" s="18"/>
      <c r="AA59" s="16"/>
      <c r="AB59" s="17"/>
      <c r="AC59" s="18"/>
      <c r="AD59" s="16"/>
      <c r="AE59" s="17"/>
      <c r="AF59" s="17"/>
      <c r="AG59" s="16"/>
      <c r="AH59" s="17"/>
      <c r="AI59" s="17"/>
    </row>
    <row r="60" spans="1:35" x14ac:dyDescent="0.25">
      <c r="A60" s="1"/>
      <c r="B60" s="4"/>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row>
    <row r="61" spans="1:35" x14ac:dyDescent="0.25">
      <c r="A61" s="1"/>
      <c r="B61" s="19" t="s">
        <v>44</v>
      </c>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row>
    <row r="62" spans="1:35" x14ac:dyDescent="0.25">
      <c r="A62" s="1">
        <v>1</v>
      </c>
      <c r="B62" s="1" t="s">
        <v>45</v>
      </c>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row>
    <row r="63" spans="1:35" x14ac:dyDescent="0.25">
      <c r="A63" s="1">
        <v>2</v>
      </c>
      <c r="B63" s="1" t="s">
        <v>46</v>
      </c>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row>
    <row r="64" spans="1:35" x14ac:dyDescent="0.25">
      <c r="A64" s="1">
        <v>3</v>
      </c>
      <c r="B64" s="1" t="s">
        <v>99</v>
      </c>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row>
    <row r="65" spans="1:35" x14ac:dyDescent="0.25">
      <c r="A65" s="1">
        <v>4</v>
      </c>
      <c r="B65" s="1" t="s">
        <v>108</v>
      </c>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row>
    <row r="66" spans="1:35" x14ac:dyDescent="0.25">
      <c r="A66" s="1">
        <v>5</v>
      </c>
      <c r="B66" s="120" t="s">
        <v>102</v>
      </c>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row>
    <row r="67" spans="1:35" x14ac:dyDescent="0.25">
      <c r="A67" s="1">
        <v>6</v>
      </c>
      <c r="B67" s="120" t="s">
        <v>103</v>
      </c>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row>
    <row r="68" spans="1:35" x14ac:dyDescent="0.25">
      <c r="A68" s="1">
        <v>7</v>
      </c>
      <c r="B68" s="73" t="s">
        <v>47</v>
      </c>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row>
    <row r="69" spans="1:35" x14ac:dyDescent="0.25">
      <c r="A69" s="1">
        <v>8</v>
      </c>
      <c r="B69" s="1" t="s">
        <v>48</v>
      </c>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row>
    <row r="70" spans="1:35" x14ac:dyDescent="0.25">
      <c r="A70" s="1">
        <v>9</v>
      </c>
      <c r="B70" s="1" t="s">
        <v>106</v>
      </c>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row>
    <row r="71" spans="1:35" x14ac:dyDescent="0.25">
      <c r="A71" s="1">
        <v>10</v>
      </c>
      <c r="B71" s="1" t="s">
        <v>49</v>
      </c>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row>
    <row r="72" spans="1:35" x14ac:dyDescent="0.25">
      <c r="A72" s="1">
        <v>11</v>
      </c>
      <c r="B72" s="1" t="s">
        <v>113</v>
      </c>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row>
    <row r="73" spans="1:35" x14ac:dyDescent="0.25">
      <c r="A73" s="1">
        <v>12</v>
      </c>
      <c r="B73" s="1" t="s">
        <v>50</v>
      </c>
    </row>
    <row r="74" spans="1:35" x14ac:dyDescent="0.25">
      <c r="A74" s="1">
        <v>13</v>
      </c>
      <c r="B74" s="118" t="s">
        <v>100</v>
      </c>
    </row>
    <row r="77" spans="1:35" x14ac:dyDescent="0.25">
      <c r="B77" s="80"/>
    </row>
    <row r="81" spans="3:35" x14ac:dyDescent="0.25">
      <c r="C81" s="74"/>
      <c r="D81" s="74"/>
      <c r="E81" s="74"/>
      <c r="F81" s="74"/>
      <c r="G81" s="74"/>
      <c r="H81" s="74"/>
      <c r="I81" s="74"/>
      <c r="J81" s="74"/>
      <c r="K81" s="74"/>
      <c r="L81" s="74"/>
      <c r="M81" s="74"/>
      <c r="N81" s="74"/>
      <c r="O81" s="74"/>
      <c r="P81" s="74"/>
      <c r="Q81" s="74"/>
      <c r="R81" s="74"/>
      <c r="S81" s="74"/>
      <c r="T81" s="74"/>
      <c r="U81" s="74"/>
      <c r="V81" s="74"/>
      <c r="W81" s="74"/>
      <c r="X81" s="74"/>
      <c r="Y81" s="74"/>
      <c r="Z81" s="74"/>
      <c r="AA81" s="74"/>
      <c r="AB81" s="74"/>
      <c r="AC81" s="74"/>
      <c r="AD81" s="74"/>
      <c r="AE81" s="74"/>
      <c r="AF81" s="74"/>
      <c r="AG81" s="74"/>
      <c r="AH81" s="74"/>
      <c r="AI81" s="74"/>
    </row>
    <row r="82" spans="3:35" x14ac:dyDescent="0.25">
      <c r="C82" s="74"/>
      <c r="D82" s="74"/>
      <c r="E82" s="74"/>
      <c r="F82" s="74"/>
      <c r="G82" s="74"/>
      <c r="H82" s="74"/>
      <c r="I82" s="74"/>
      <c r="J82" s="74"/>
      <c r="K82" s="74"/>
      <c r="L82" s="74"/>
      <c r="M82" s="74"/>
      <c r="N82" s="74"/>
      <c r="O82" s="74"/>
      <c r="P82" s="74"/>
      <c r="Q82" s="74"/>
      <c r="R82" s="74"/>
      <c r="S82" s="74"/>
      <c r="T82" s="74"/>
      <c r="U82" s="74"/>
      <c r="V82" s="74"/>
      <c r="W82" s="74"/>
      <c r="X82" s="74"/>
      <c r="Y82" s="74"/>
      <c r="Z82" s="74"/>
      <c r="AA82" s="74"/>
      <c r="AB82" s="74"/>
      <c r="AC82" s="74"/>
      <c r="AD82" s="74"/>
      <c r="AE82" s="74"/>
      <c r="AF82" s="74"/>
      <c r="AG82" s="74"/>
      <c r="AH82" s="74"/>
      <c r="AI82" s="74"/>
    </row>
    <row r="83" spans="3:35" x14ac:dyDescent="0.25">
      <c r="C83" s="74"/>
      <c r="D83" s="74"/>
      <c r="E83" s="74"/>
      <c r="F83" s="74"/>
      <c r="G83" s="74"/>
      <c r="H83" s="74"/>
      <c r="I83" s="74"/>
      <c r="J83" s="74"/>
      <c r="K83" s="74"/>
      <c r="L83" s="74"/>
      <c r="M83" s="74"/>
      <c r="N83" s="74"/>
      <c r="O83" s="74"/>
      <c r="P83" s="74"/>
      <c r="Q83" s="74"/>
      <c r="R83" s="74"/>
      <c r="S83" s="74"/>
      <c r="T83" s="74"/>
      <c r="U83" s="74"/>
      <c r="V83" s="74"/>
      <c r="W83" s="74"/>
      <c r="X83" s="74"/>
      <c r="Y83" s="74"/>
      <c r="Z83" s="74"/>
      <c r="AA83" s="74"/>
      <c r="AB83" s="74"/>
      <c r="AC83" s="74"/>
      <c r="AD83" s="74"/>
      <c r="AE83" s="74"/>
      <c r="AF83" s="74"/>
      <c r="AG83" s="74"/>
      <c r="AH83" s="74"/>
      <c r="AI83" s="74"/>
    </row>
    <row r="84" spans="3:35" x14ac:dyDescent="0.25">
      <c r="C84" s="74"/>
      <c r="D84" s="74"/>
      <c r="E84" s="74"/>
      <c r="F84" s="74"/>
      <c r="G84" s="74"/>
      <c r="H84" s="74"/>
      <c r="I84" s="74"/>
      <c r="J84" s="74"/>
      <c r="K84" s="74"/>
      <c r="L84" s="74"/>
      <c r="M84" s="74"/>
      <c r="N84" s="74"/>
      <c r="O84" s="74"/>
      <c r="P84" s="74"/>
      <c r="Q84" s="74"/>
      <c r="R84" s="74"/>
      <c r="S84" s="74"/>
      <c r="T84" s="74"/>
      <c r="U84" s="74"/>
      <c r="V84" s="74"/>
      <c r="W84" s="74"/>
      <c r="X84" s="74"/>
      <c r="Y84" s="74"/>
      <c r="Z84" s="74"/>
      <c r="AA84" s="74"/>
      <c r="AB84" s="74"/>
      <c r="AC84" s="74"/>
      <c r="AD84" s="74"/>
      <c r="AE84" s="74"/>
      <c r="AF84" s="74"/>
      <c r="AG84" s="74"/>
      <c r="AH84" s="74"/>
      <c r="AI84" s="74"/>
    </row>
    <row r="85" spans="3:35" x14ac:dyDescent="0.25">
      <c r="C85" s="74"/>
      <c r="D85" s="74"/>
      <c r="E85" s="74"/>
      <c r="F85" s="74"/>
      <c r="G85" s="74"/>
      <c r="H85" s="74"/>
      <c r="I85" s="74"/>
      <c r="J85" s="74"/>
      <c r="K85" s="74"/>
      <c r="L85" s="74"/>
      <c r="M85" s="74"/>
      <c r="N85" s="74"/>
      <c r="O85" s="74"/>
      <c r="P85" s="74"/>
      <c r="Q85" s="74"/>
      <c r="R85" s="74"/>
      <c r="S85" s="74"/>
      <c r="T85" s="74"/>
      <c r="U85" s="74"/>
      <c r="V85" s="74"/>
      <c r="W85" s="74"/>
      <c r="X85" s="74"/>
      <c r="Y85" s="74"/>
      <c r="Z85" s="74"/>
      <c r="AA85" s="74"/>
      <c r="AB85" s="74"/>
      <c r="AC85" s="74"/>
      <c r="AD85" s="74"/>
      <c r="AE85" s="74"/>
      <c r="AF85" s="74"/>
      <c r="AG85" s="74"/>
      <c r="AH85" s="74"/>
      <c r="AI85" s="74"/>
    </row>
    <row r="92" spans="3:35" x14ac:dyDescent="0.25">
      <c r="C92" s="74"/>
      <c r="D92" s="74"/>
      <c r="E92" s="74"/>
      <c r="F92" s="74"/>
      <c r="G92" s="74"/>
      <c r="H92" s="74"/>
      <c r="I92" s="74"/>
      <c r="J92" s="74"/>
      <c r="K92" s="74"/>
      <c r="L92" s="74"/>
      <c r="M92" s="74"/>
      <c r="N92" s="74"/>
      <c r="O92" s="74"/>
      <c r="P92" s="74"/>
      <c r="Q92" s="74"/>
      <c r="R92" s="74"/>
      <c r="S92" s="74"/>
      <c r="T92" s="74"/>
      <c r="U92" s="74"/>
      <c r="V92" s="74"/>
      <c r="W92" s="74"/>
      <c r="X92" s="74"/>
      <c r="Y92" s="74"/>
      <c r="Z92" s="74"/>
      <c r="AA92" s="74"/>
      <c r="AB92" s="74"/>
      <c r="AC92" s="74"/>
      <c r="AD92" s="74"/>
      <c r="AE92" s="74"/>
      <c r="AF92" s="74"/>
      <c r="AG92" s="74"/>
      <c r="AH92" s="74"/>
      <c r="AI92" s="74"/>
    </row>
    <row r="93" spans="3:35" x14ac:dyDescent="0.25">
      <c r="C93" s="74"/>
      <c r="D93" s="74"/>
      <c r="E93" s="74"/>
      <c r="F93" s="74"/>
      <c r="G93" s="74"/>
      <c r="H93" s="74"/>
      <c r="I93" s="74"/>
      <c r="J93" s="74"/>
      <c r="K93" s="74"/>
      <c r="L93" s="74"/>
      <c r="M93" s="74"/>
      <c r="N93" s="74"/>
      <c r="O93" s="74"/>
      <c r="P93" s="74"/>
      <c r="Q93" s="74"/>
      <c r="R93" s="74"/>
      <c r="S93" s="74"/>
      <c r="T93" s="74"/>
      <c r="U93" s="74"/>
      <c r="V93" s="74"/>
      <c r="W93" s="74"/>
      <c r="X93" s="74"/>
      <c r="Y93" s="74"/>
      <c r="Z93" s="74"/>
      <c r="AA93" s="74"/>
      <c r="AB93" s="74"/>
      <c r="AC93" s="74"/>
      <c r="AD93" s="74"/>
      <c r="AE93" s="74"/>
      <c r="AF93" s="74"/>
      <c r="AG93" s="74"/>
      <c r="AH93" s="74"/>
      <c r="AI93" s="74"/>
    </row>
    <row r="94" spans="3:35" x14ac:dyDescent="0.25">
      <c r="C94" s="74"/>
      <c r="D94" s="74"/>
      <c r="E94" s="74"/>
      <c r="F94" s="74"/>
      <c r="G94" s="74"/>
      <c r="H94" s="74"/>
      <c r="I94" s="74"/>
      <c r="J94" s="74"/>
      <c r="K94" s="74"/>
      <c r="L94" s="74"/>
      <c r="M94" s="74"/>
      <c r="N94" s="74"/>
      <c r="O94" s="74"/>
      <c r="P94" s="74"/>
      <c r="Q94" s="74"/>
      <c r="R94" s="74"/>
      <c r="S94" s="74"/>
      <c r="T94" s="74"/>
      <c r="U94" s="74"/>
      <c r="V94" s="74"/>
      <c r="W94" s="74"/>
      <c r="X94" s="74"/>
      <c r="Y94" s="74"/>
      <c r="Z94" s="74"/>
      <c r="AA94" s="74"/>
      <c r="AB94" s="74"/>
      <c r="AC94" s="74"/>
      <c r="AD94" s="74"/>
      <c r="AE94" s="74"/>
      <c r="AF94" s="74"/>
      <c r="AG94" s="74"/>
      <c r="AH94" s="74"/>
      <c r="AI94" s="74"/>
    </row>
    <row r="95" spans="3:35" x14ac:dyDescent="0.25">
      <c r="C95" s="74"/>
      <c r="D95" s="74"/>
      <c r="E95" s="74"/>
      <c r="F95" s="74"/>
      <c r="G95" s="74"/>
      <c r="H95" s="74"/>
      <c r="I95" s="74"/>
      <c r="J95" s="74"/>
      <c r="K95" s="74"/>
      <c r="L95" s="74"/>
      <c r="M95" s="74"/>
      <c r="N95" s="74"/>
      <c r="O95" s="74"/>
      <c r="P95" s="74"/>
      <c r="Q95" s="74"/>
      <c r="R95" s="74"/>
      <c r="S95" s="74"/>
      <c r="T95" s="74"/>
      <c r="U95" s="74"/>
      <c r="V95" s="74"/>
      <c r="W95" s="74"/>
      <c r="X95" s="74"/>
      <c r="Y95" s="74"/>
      <c r="Z95" s="74"/>
      <c r="AA95" s="74"/>
      <c r="AB95" s="74"/>
      <c r="AC95" s="74"/>
      <c r="AD95" s="74"/>
      <c r="AE95" s="74"/>
      <c r="AF95" s="74"/>
      <c r="AG95" s="74"/>
      <c r="AH95" s="74"/>
      <c r="AI95" s="74"/>
    </row>
    <row r="96" spans="3:35" x14ac:dyDescent="0.25">
      <c r="C96" s="74"/>
      <c r="D96" s="74"/>
      <c r="E96" s="74"/>
      <c r="F96" s="74"/>
      <c r="G96" s="74"/>
      <c r="H96" s="74"/>
      <c r="I96" s="74"/>
      <c r="J96" s="74"/>
      <c r="K96" s="74"/>
      <c r="L96" s="74"/>
      <c r="M96" s="74"/>
      <c r="N96" s="74"/>
      <c r="O96" s="74"/>
      <c r="P96" s="74"/>
      <c r="Q96" s="74"/>
      <c r="R96" s="74"/>
      <c r="S96" s="74"/>
      <c r="T96" s="74"/>
      <c r="U96" s="74"/>
      <c r="V96" s="74"/>
      <c r="W96" s="74"/>
      <c r="X96" s="74"/>
      <c r="Y96" s="74"/>
      <c r="Z96" s="74"/>
      <c r="AA96" s="74"/>
      <c r="AB96" s="74"/>
      <c r="AC96" s="74"/>
      <c r="AD96" s="74"/>
      <c r="AE96" s="74"/>
      <c r="AF96" s="74"/>
      <c r="AG96" s="74"/>
      <c r="AH96" s="74"/>
      <c r="AI96" s="74"/>
    </row>
    <row r="97" spans="3:35" x14ac:dyDescent="0.25">
      <c r="C97" s="74"/>
      <c r="D97" s="74"/>
      <c r="E97" s="74"/>
      <c r="F97" s="74"/>
      <c r="G97" s="74"/>
      <c r="H97" s="74"/>
      <c r="I97" s="74"/>
      <c r="J97" s="74"/>
      <c r="K97" s="74"/>
      <c r="L97" s="74"/>
      <c r="M97" s="74"/>
      <c r="N97" s="74"/>
      <c r="O97" s="74"/>
      <c r="P97" s="74"/>
      <c r="Q97" s="74"/>
      <c r="R97" s="74"/>
      <c r="S97" s="74"/>
      <c r="T97" s="74"/>
      <c r="U97" s="74"/>
      <c r="V97" s="74"/>
      <c r="W97" s="74"/>
      <c r="X97" s="74"/>
      <c r="Y97" s="74"/>
      <c r="Z97" s="74"/>
      <c r="AA97" s="74"/>
      <c r="AB97" s="74"/>
      <c r="AC97" s="74"/>
      <c r="AD97" s="74"/>
      <c r="AE97" s="74"/>
      <c r="AF97" s="74"/>
      <c r="AG97" s="74"/>
      <c r="AH97" s="74"/>
      <c r="AI97" s="74"/>
    </row>
    <row r="98" spans="3:35" x14ac:dyDescent="0.25">
      <c r="C98" s="74"/>
      <c r="D98" s="74"/>
      <c r="E98" s="74"/>
      <c r="F98" s="74"/>
      <c r="G98" s="74"/>
      <c r="H98" s="74"/>
      <c r="I98" s="74"/>
      <c r="J98" s="74"/>
      <c r="K98" s="74"/>
      <c r="L98" s="74"/>
      <c r="M98" s="74"/>
      <c r="N98" s="74"/>
      <c r="O98" s="74"/>
      <c r="P98" s="74"/>
      <c r="Q98" s="74"/>
      <c r="R98" s="74"/>
      <c r="S98" s="74"/>
      <c r="T98" s="74"/>
      <c r="U98" s="74"/>
      <c r="V98" s="74"/>
      <c r="W98" s="74"/>
      <c r="X98" s="74"/>
      <c r="Y98" s="74"/>
      <c r="Z98" s="74"/>
      <c r="AA98" s="74"/>
      <c r="AB98" s="74"/>
      <c r="AC98" s="74"/>
      <c r="AD98" s="74"/>
      <c r="AE98" s="74"/>
      <c r="AF98" s="74"/>
      <c r="AG98" s="74"/>
      <c r="AH98" s="74"/>
      <c r="AI98" s="74"/>
    </row>
    <row r="99" spans="3:35" x14ac:dyDescent="0.25">
      <c r="C99" s="74"/>
      <c r="D99" s="74"/>
      <c r="E99" s="74"/>
      <c r="F99" s="74"/>
      <c r="G99" s="74"/>
      <c r="H99" s="74"/>
      <c r="I99" s="74"/>
      <c r="J99" s="74"/>
      <c r="K99" s="74"/>
      <c r="L99" s="74"/>
      <c r="M99" s="74"/>
      <c r="N99" s="74"/>
      <c r="O99" s="74"/>
      <c r="P99" s="74"/>
      <c r="Q99" s="74"/>
      <c r="R99" s="74"/>
      <c r="S99" s="74"/>
      <c r="T99" s="74"/>
      <c r="U99" s="74"/>
      <c r="V99" s="74"/>
      <c r="W99" s="74"/>
      <c r="X99" s="74"/>
      <c r="Y99" s="74"/>
      <c r="Z99" s="74"/>
      <c r="AA99" s="74"/>
      <c r="AB99" s="74"/>
      <c r="AC99" s="74"/>
      <c r="AD99" s="74"/>
      <c r="AE99" s="74"/>
      <c r="AF99" s="74"/>
      <c r="AG99" s="74"/>
      <c r="AH99" s="74"/>
      <c r="AI99" s="74"/>
    </row>
    <row r="100" spans="3:35" x14ac:dyDescent="0.25">
      <c r="C100" s="74"/>
      <c r="D100" s="74"/>
      <c r="E100" s="74"/>
      <c r="F100" s="74"/>
      <c r="G100" s="74"/>
      <c r="H100" s="74"/>
      <c r="I100" s="74"/>
      <c r="J100" s="74"/>
      <c r="K100" s="74"/>
      <c r="L100" s="74"/>
      <c r="M100" s="74"/>
      <c r="N100" s="74"/>
      <c r="O100" s="74"/>
      <c r="P100" s="74"/>
      <c r="Q100" s="74"/>
      <c r="R100" s="74"/>
      <c r="S100" s="74"/>
      <c r="T100" s="74"/>
      <c r="U100" s="74"/>
      <c r="V100" s="74"/>
      <c r="W100" s="74"/>
      <c r="X100" s="74"/>
      <c r="Y100" s="74"/>
      <c r="Z100" s="74"/>
      <c r="AA100" s="74"/>
      <c r="AB100" s="74"/>
      <c r="AC100" s="74"/>
      <c r="AD100" s="74"/>
      <c r="AE100" s="74"/>
      <c r="AF100" s="74"/>
      <c r="AG100" s="74"/>
      <c r="AH100" s="74"/>
      <c r="AI100" s="74"/>
    </row>
    <row r="101" spans="3:35" x14ac:dyDescent="0.25">
      <c r="C101" s="74"/>
      <c r="D101" s="74"/>
      <c r="E101" s="74"/>
      <c r="F101" s="74"/>
      <c r="G101" s="74"/>
      <c r="H101" s="74"/>
      <c r="I101" s="74"/>
      <c r="J101" s="74"/>
      <c r="K101" s="74"/>
      <c r="L101" s="74"/>
      <c r="M101" s="74"/>
      <c r="N101" s="74"/>
      <c r="O101" s="74"/>
      <c r="P101" s="74"/>
      <c r="Q101" s="74"/>
      <c r="R101" s="74"/>
      <c r="S101" s="74"/>
      <c r="T101" s="74"/>
      <c r="U101" s="74"/>
      <c r="V101" s="74"/>
      <c r="W101" s="74"/>
      <c r="X101" s="74"/>
      <c r="Y101" s="74"/>
      <c r="Z101" s="74"/>
      <c r="AA101" s="74"/>
      <c r="AB101" s="74"/>
      <c r="AC101" s="74"/>
      <c r="AD101" s="74"/>
      <c r="AE101" s="74"/>
      <c r="AF101" s="74"/>
      <c r="AG101" s="74"/>
      <c r="AH101" s="74"/>
      <c r="AI101" s="74"/>
    </row>
    <row r="102" spans="3:35" x14ac:dyDescent="0.25">
      <c r="C102" s="74"/>
      <c r="D102" s="74"/>
      <c r="E102" s="74"/>
      <c r="F102" s="74"/>
      <c r="G102" s="74"/>
      <c r="H102" s="74"/>
      <c r="I102" s="74"/>
      <c r="J102" s="74"/>
      <c r="K102" s="74"/>
      <c r="L102" s="74"/>
      <c r="M102" s="74"/>
      <c r="N102" s="74"/>
      <c r="O102" s="74"/>
      <c r="P102" s="74"/>
      <c r="Q102" s="74"/>
      <c r="R102" s="74"/>
      <c r="S102" s="74"/>
      <c r="T102" s="74"/>
      <c r="U102" s="74"/>
      <c r="V102" s="74"/>
      <c r="W102" s="74"/>
      <c r="X102" s="74"/>
      <c r="Y102" s="74"/>
      <c r="Z102" s="74"/>
      <c r="AA102" s="74"/>
      <c r="AB102" s="74"/>
      <c r="AC102" s="74"/>
      <c r="AD102" s="74"/>
      <c r="AE102" s="74"/>
      <c r="AF102" s="74"/>
      <c r="AG102" s="74"/>
      <c r="AH102" s="74"/>
      <c r="AI102" s="74"/>
    </row>
    <row r="103" spans="3:35" x14ac:dyDescent="0.25">
      <c r="C103" s="74"/>
      <c r="D103" s="74"/>
      <c r="E103" s="74"/>
      <c r="F103" s="74"/>
      <c r="G103" s="74"/>
      <c r="H103" s="74"/>
      <c r="I103" s="74"/>
      <c r="J103" s="74"/>
      <c r="K103" s="74"/>
      <c r="L103" s="74"/>
      <c r="M103" s="74"/>
      <c r="N103" s="74"/>
      <c r="O103" s="74"/>
      <c r="P103" s="74"/>
      <c r="Q103" s="74"/>
      <c r="R103" s="74"/>
      <c r="S103" s="74"/>
      <c r="T103" s="74"/>
      <c r="U103" s="74"/>
      <c r="V103" s="74"/>
      <c r="W103" s="74"/>
      <c r="X103" s="74"/>
      <c r="Y103" s="74"/>
      <c r="Z103" s="74"/>
      <c r="AA103" s="74"/>
      <c r="AB103" s="74"/>
      <c r="AC103" s="74"/>
      <c r="AD103" s="74"/>
      <c r="AE103" s="74"/>
      <c r="AF103" s="74"/>
      <c r="AG103" s="74"/>
      <c r="AH103" s="74"/>
      <c r="AI103" s="74"/>
    </row>
    <row r="104" spans="3:35" x14ac:dyDescent="0.25">
      <c r="C104" s="74"/>
      <c r="D104" s="74"/>
      <c r="E104" s="74"/>
      <c r="F104" s="74"/>
      <c r="G104" s="74"/>
      <c r="H104" s="74"/>
      <c r="I104" s="74"/>
      <c r="J104" s="74"/>
      <c r="K104" s="74"/>
      <c r="L104" s="74"/>
      <c r="M104" s="74"/>
      <c r="N104" s="74"/>
      <c r="O104" s="74"/>
      <c r="P104" s="74"/>
      <c r="Q104" s="74"/>
      <c r="R104" s="74"/>
      <c r="S104" s="74"/>
      <c r="T104" s="74"/>
      <c r="U104" s="74"/>
      <c r="V104" s="74"/>
      <c r="W104" s="74"/>
      <c r="X104" s="74"/>
      <c r="Y104" s="74"/>
      <c r="Z104" s="74"/>
      <c r="AA104" s="74"/>
      <c r="AB104" s="74"/>
      <c r="AC104" s="74"/>
      <c r="AD104" s="74"/>
      <c r="AE104" s="74"/>
      <c r="AF104" s="74"/>
      <c r="AG104" s="74"/>
      <c r="AH104" s="74"/>
      <c r="AI104" s="74"/>
    </row>
    <row r="105" spans="3:35" x14ac:dyDescent="0.25">
      <c r="C105" s="74"/>
      <c r="D105" s="74"/>
      <c r="E105" s="74"/>
      <c r="F105" s="74"/>
      <c r="G105" s="74"/>
      <c r="H105" s="74"/>
      <c r="I105" s="74"/>
      <c r="J105" s="74"/>
      <c r="K105" s="74"/>
      <c r="L105" s="74"/>
      <c r="M105" s="74"/>
      <c r="N105" s="74"/>
      <c r="O105" s="74"/>
      <c r="P105" s="74"/>
      <c r="Q105" s="74"/>
      <c r="R105" s="74"/>
      <c r="S105" s="74"/>
      <c r="T105" s="74"/>
      <c r="U105" s="74"/>
      <c r="V105" s="74"/>
      <c r="W105" s="74"/>
      <c r="X105" s="74"/>
      <c r="Y105" s="74"/>
      <c r="Z105" s="74"/>
      <c r="AA105" s="74"/>
      <c r="AB105" s="74"/>
      <c r="AC105" s="74"/>
      <c r="AD105" s="74"/>
      <c r="AE105" s="74"/>
      <c r="AF105" s="74"/>
      <c r="AG105" s="74"/>
      <c r="AH105" s="74"/>
      <c r="AI105" s="74"/>
    </row>
    <row r="106" spans="3:35" x14ac:dyDescent="0.25">
      <c r="C106" s="74"/>
      <c r="D106" s="74"/>
      <c r="E106" s="74"/>
      <c r="F106" s="74"/>
      <c r="G106" s="74"/>
      <c r="H106" s="74"/>
      <c r="I106" s="74"/>
      <c r="J106" s="74"/>
      <c r="K106" s="74"/>
      <c r="L106" s="74"/>
      <c r="M106" s="74"/>
      <c r="N106" s="74"/>
      <c r="O106" s="74"/>
      <c r="P106" s="74"/>
      <c r="Q106" s="74"/>
      <c r="R106" s="74"/>
      <c r="S106" s="74"/>
      <c r="T106" s="74"/>
      <c r="U106" s="74"/>
      <c r="V106" s="74"/>
      <c r="W106" s="74"/>
      <c r="X106" s="74"/>
      <c r="Y106" s="74"/>
      <c r="Z106" s="74"/>
      <c r="AA106" s="74"/>
      <c r="AB106" s="74"/>
      <c r="AC106" s="74"/>
      <c r="AD106" s="74"/>
      <c r="AE106" s="74"/>
      <c r="AF106" s="74"/>
      <c r="AG106" s="74"/>
      <c r="AH106" s="74"/>
      <c r="AI106" s="74"/>
    </row>
    <row r="107" spans="3:35" x14ac:dyDescent="0.25">
      <c r="C107" s="74"/>
      <c r="D107" s="74"/>
      <c r="E107" s="74"/>
      <c r="F107" s="74"/>
      <c r="G107" s="74"/>
      <c r="H107" s="74"/>
      <c r="I107" s="74"/>
      <c r="J107" s="74"/>
      <c r="K107" s="74"/>
      <c r="L107" s="74"/>
      <c r="M107" s="74"/>
      <c r="N107" s="74"/>
      <c r="O107" s="74"/>
      <c r="P107" s="74"/>
      <c r="Q107" s="74"/>
      <c r="R107" s="74"/>
      <c r="S107" s="74"/>
      <c r="T107" s="74"/>
      <c r="U107" s="74"/>
      <c r="V107" s="74"/>
      <c r="W107" s="74"/>
      <c r="X107" s="74"/>
      <c r="Y107" s="74"/>
      <c r="Z107" s="74"/>
      <c r="AA107" s="74"/>
      <c r="AB107" s="74"/>
      <c r="AC107" s="74"/>
      <c r="AD107" s="74"/>
      <c r="AE107" s="74"/>
      <c r="AF107" s="74"/>
      <c r="AG107" s="74"/>
      <c r="AH107" s="74"/>
      <c r="AI107" s="74"/>
    </row>
    <row r="108" spans="3:35" x14ac:dyDescent="0.25">
      <c r="C108" s="74"/>
      <c r="D108" s="74"/>
      <c r="E108" s="74"/>
      <c r="F108" s="74"/>
      <c r="G108" s="74"/>
      <c r="H108" s="74"/>
      <c r="I108" s="74"/>
      <c r="J108" s="74"/>
      <c r="K108" s="74"/>
      <c r="L108" s="74"/>
      <c r="M108" s="74"/>
      <c r="N108" s="74"/>
      <c r="O108" s="74"/>
      <c r="P108" s="74"/>
      <c r="Q108" s="74"/>
      <c r="R108" s="74"/>
      <c r="S108" s="74"/>
      <c r="T108" s="74"/>
      <c r="U108" s="74"/>
      <c r="V108" s="74"/>
      <c r="W108" s="74"/>
      <c r="X108" s="74"/>
      <c r="Y108" s="74"/>
      <c r="Z108" s="74"/>
      <c r="AA108" s="74"/>
      <c r="AB108" s="74"/>
      <c r="AC108" s="74"/>
      <c r="AD108" s="74"/>
      <c r="AE108" s="74"/>
      <c r="AF108" s="74"/>
      <c r="AG108" s="74"/>
      <c r="AH108" s="74"/>
      <c r="AI108" s="74"/>
    </row>
    <row r="109" spans="3:35" x14ac:dyDescent="0.25">
      <c r="C109" s="74"/>
      <c r="D109" s="74"/>
      <c r="E109" s="74"/>
      <c r="F109" s="74"/>
      <c r="G109" s="74"/>
      <c r="H109" s="74"/>
      <c r="I109" s="74"/>
      <c r="J109" s="74"/>
      <c r="K109" s="74"/>
      <c r="L109" s="74"/>
      <c r="M109" s="74"/>
      <c r="N109" s="74"/>
      <c r="O109" s="74"/>
      <c r="P109" s="74"/>
      <c r="Q109" s="74"/>
      <c r="R109" s="74"/>
      <c r="S109" s="74"/>
      <c r="T109" s="74"/>
      <c r="U109" s="74"/>
      <c r="V109" s="74"/>
      <c r="W109" s="74"/>
      <c r="X109" s="74"/>
      <c r="Y109" s="74"/>
      <c r="Z109" s="74"/>
      <c r="AA109" s="74"/>
      <c r="AB109" s="74"/>
      <c r="AC109" s="74"/>
      <c r="AD109" s="74"/>
      <c r="AE109" s="74"/>
      <c r="AF109" s="74"/>
      <c r="AG109" s="74"/>
      <c r="AH109" s="74"/>
      <c r="AI109" s="74"/>
    </row>
    <row r="110" spans="3:35" x14ac:dyDescent="0.25">
      <c r="C110" s="74"/>
      <c r="D110" s="74"/>
      <c r="E110" s="74"/>
      <c r="F110" s="74"/>
      <c r="G110" s="74"/>
      <c r="H110" s="74"/>
      <c r="I110" s="74"/>
      <c r="J110" s="74"/>
      <c r="K110" s="74"/>
      <c r="L110" s="74"/>
      <c r="M110" s="74"/>
      <c r="N110" s="74"/>
      <c r="O110" s="74"/>
      <c r="P110" s="74"/>
      <c r="Q110" s="74"/>
      <c r="R110" s="74"/>
      <c r="S110" s="74"/>
      <c r="T110" s="74"/>
      <c r="U110" s="74"/>
      <c r="V110" s="74"/>
      <c r="W110" s="74"/>
      <c r="X110" s="74"/>
      <c r="Y110" s="74"/>
      <c r="Z110" s="74"/>
      <c r="AA110" s="74"/>
      <c r="AB110" s="74"/>
      <c r="AC110" s="74"/>
      <c r="AD110" s="74"/>
      <c r="AE110" s="74"/>
      <c r="AF110" s="74"/>
      <c r="AG110" s="74"/>
      <c r="AH110" s="74"/>
      <c r="AI110" s="74"/>
    </row>
    <row r="119" spans="3:35" x14ac:dyDescent="0.25">
      <c r="C119" s="74"/>
      <c r="D119" s="74"/>
      <c r="E119" s="74"/>
      <c r="F119" s="74"/>
      <c r="G119" s="74"/>
      <c r="H119" s="74"/>
      <c r="I119" s="74"/>
      <c r="J119" s="74"/>
      <c r="K119" s="74"/>
      <c r="L119" s="74"/>
      <c r="M119" s="74"/>
      <c r="N119" s="74"/>
      <c r="O119" s="74"/>
      <c r="P119" s="74"/>
      <c r="Q119" s="74"/>
      <c r="R119" s="74"/>
      <c r="S119" s="74"/>
      <c r="T119" s="74"/>
      <c r="U119" s="74"/>
      <c r="V119" s="74"/>
      <c r="W119" s="74"/>
      <c r="X119" s="74"/>
      <c r="Y119" s="74"/>
      <c r="Z119" s="74"/>
      <c r="AA119" s="74"/>
      <c r="AB119" s="74"/>
      <c r="AC119" s="74"/>
      <c r="AD119" s="74"/>
      <c r="AE119" s="74"/>
      <c r="AF119" s="74"/>
      <c r="AG119" s="74"/>
      <c r="AH119" s="74"/>
      <c r="AI119" s="74"/>
    </row>
    <row r="120" spans="3:35" x14ac:dyDescent="0.25">
      <c r="C120" s="74"/>
      <c r="D120" s="74"/>
      <c r="E120" s="74"/>
      <c r="F120" s="74"/>
      <c r="G120" s="74"/>
      <c r="H120" s="74"/>
      <c r="I120" s="74"/>
      <c r="J120" s="74"/>
      <c r="K120" s="74"/>
      <c r="L120" s="74"/>
      <c r="M120" s="74"/>
      <c r="N120" s="74"/>
      <c r="O120" s="74"/>
      <c r="P120" s="74"/>
      <c r="Q120" s="74"/>
      <c r="R120" s="74"/>
      <c r="S120" s="74"/>
      <c r="T120" s="74"/>
      <c r="U120" s="74"/>
      <c r="V120" s="74"/>
      <c r="W120" s="74"/>
      <c r="X120" s="74"/>
      <c r="Y120" s="74"/>
      <c r="Z120" s="74"/>
      <c r="AA120" s="74"/>
      <c r="AB120" s="74"/>
      <c r="AC120" s="74"/>
      <c r="AD120" s="74"/>
      <c r="AE120" s="74"/>
      <c r="AF120" s="74"/>
      <c r="AG120" s="74"/>
      <c r="AH120" s="74"/>
      <c r="AI120" s="74"/>
    </row>
    <row r="121" spans="3:35" x14ac:dyDescent="0.25">
      <c r="C121" s="74"/>
      <c r="D121" s="74"/>
      <c r="E121" s="74"/>
      <c r="F121" s="74"/>
      <c r="G121" s="74"/>
      <c r="H121" s="74"/>
      <c r="I121" s="74"/>
      <c r="J121" s="74"/>
      <c r="K121" s="74"/>
      <c r="L121" s="74"/>
      <c r="M121" s="74"/>
      <c r="N121" s="74"/>
      <c r="O121" s="74"/>
      <c r="P121" s="74"/>
      <c r="Q121" s="74"/>
      <c r="R121" s="74"/>
      <c r="S121" s="74"/>
      <c r="T121" s="74"/>
      <c r="U121" s="74"/>
      <c r="V121" s="74"/>
      <c r="W121" s="74"/>
      <c r="X121" s="74"/>
      <c r="Y121" s="74"/>
      <c r="Z121" s="74"/>
      <c r="AA121" s="74"/>
      <c r="AB121" s="74"/>
      <c r="AC121" s="74"/>
      <c r="AD121" s="74"/>
      <c r="AE121" s="74"/>
      <c r="AF121" s="74"/>
      <c r="AG121" s="74"/>
      <c r="AH121" s="74"/>
      <c r="AI121" s="74"/>
    </row>
    <row r="122" spans="3:35" x14ac:dyDescent="0.25">
      <c r="C122" s="74"/>
      <c r="D122" s="74"/>
      <c r="E122" s="74"/>
      <c r="F122" s="74"/>
      <c r="G122" s="74"/>
      <c r="H122" s="74"/>
      <c r="I122" s="74"/>
      <c r="J122" s="74"/>
      <c r="K122" s="74"/>
      <c r="L122" s="74"/>
      <c r="M122" s="74"/>
      <c r="N122" s="74"/>
      <c r="O122" s="74"/>
      <c r="P122" s="74"/>
      <c r="Q122" s="74"/>
      <c r="R122" s="74"/>
      <c r="S122" s="74"/>
      <c r="T122" s="74"/>
      <c r="U122" s="74"/>
      <c r="V122" s="74"/>
      <c r="W122" s="74"/>
      <c r="X122" s="74"/>
      <c r="Y122" s="74"/>
      <c r="Z122" s="74"/>
      <c r="AA122" s="74"/>
      <c r="AB122" s="74"/>
      <c r="AC122" s="74"/>
      <c r="AD122" s="74"/>
      <c r="AE122" s="74"/>
      <c r="AF122" s="74"/>
      <c r="AG122" s="74"/>
      <c r="AH122" s="74"/>
      <c r="AI122" s="74"/>
    </row>
    <row r="123" spans="3:35" x14ac:dyDescent="0.25">
      <c r="C123" s="74"/>
      <c r="D123" s="74"/>
      <c r="E123" s="74"/>
      <c r="F123" s="74"/>
      <c r="G123" s="74"/>
      <c r="H123" s="74"/>
      <c r="I123" s="74"/>
      <c r="J123" s="74"/>
      <c r="K123" s="74"/>
      <c r="L123" s="74"/>
      <c r="M123" s="74"/>
      <c r="N123" s="74"/>
      <c r="O123" s="74"/>
      <c r="P123" s="74"/>
      <c r="Q123" s="74"/>
      <c r="R123" s="74"/>
      <c r="S123" s="74"/>
      <c r="T123" s="74"/>
      <c r="U123" s="74"/>
      <c r="V123" s="74"/>
      <c r="W123" s="74"/>
      <c r="X123" s="74"/>
      <c r="Y123" s="74"/>
      <c r="Z123" s="74"/>
      <c r="AA123" s="74"/>
      <c r="AB123" s="74"/>
      <c r="AC123" s="74"/>
      <c r="AD123" s="74"/>
      <c r="AE123" s="74"/>
      <c r="AF123" s="74"/>
      <c r="AG123" s="74"/>
      <c r="AH123" s="74"/>
      <c r="AI123" s="74"/>
    </row>
    <row r="124" spans="3:35" x14ac:dyDescent="0.25">
      <c r="C124" s="74"/>
      <c r="D124" s="74"/>
      <c r="E124" s="74"/>
      <c r="F124" s="74"/>
      <c r="G124" s="74"/>
      <c r="H124" s="74"/>
      <c r="I124" s="74"/>
      <c r="J124" s="74"/>
      <c r="K124" s="74"/>
      <c r="L124" s="74"/>
      <c r="M124" s="74"/>
      <c r="N124" s="74"/>
      <c r="O124" s="74"/>
      <c r="P124" s="74"/>
      <c r="Q124" s="74"/>
      <c r="R124" s="74"/>
      <c r="S124" s="74"/>
      <c r="T124" s="74"/>
      <c r="U124" s="74"/>
      <c r="V124" s="74"/>
      <c r="W124" s="74"/>
      <c r="X124" s="74"/>
      <c r="Y124" s="74"/>
      <c r="Z124" s="74"/>
      <c r="AA124" s="74"/>
      <c r="AB124" s="74"/>
      <c r="AC124" s="74"/>
      <c r="AD124" s="74"/>
      <c r="AE124" s="74"/>
      <c r="AF124" s="74"/>
      <c r="AG124" s="74"/>
      <c r="AH124" s="74"/>
      <c r="AI124" s="74"/>
    </row>
    <row r="125" spans="3:35" x14ac:dyDescent="0.25">
      <c r="C125" s="74"/>
      <c r="D125" s="74"/>
      <c r="E125" s="74"/>
      <c r="F125" s="74"/>
      <c r="G125" s="74"/>
      <c r="H125" s="74"/>
      <c r="I125" s="74"/>
      <c r="J125" s="74"/>
      <c r="K125" s="74"/>
      <c r="L125" s="74"/>
      <c r="M125" s="74"/>
      <c r="N125" s="74"/>
      <c r="O125" s="74"/>
      <c r="P125" s="74"/>
      <c r="Q125" s="74"/>
      <c r="R125" s="74"/>
      <c r="S125" s="74"/>
      <c r="T125" s="74"/>
      <c r="U125" s="74"/>
      <c r="V125" s="74"/>
      <c r="W125" s="74"/>
      <c r="X125" s="74"/>
      <c r="Y125" s="74"/>
      <c r="Z125" s="74"/>
      <c r="AA125" s="74"/>
      <c r="AB125" s="74"/>
      <c r="AC125" s="74"/>
      <c r="AD125" s="74"/>
      <c r="AE125" s="74"/>
      <c r="AF125" s="74"/>
      <c r="AG125" s="74"/>
      <c r="AH125" s="74"/>
      <c r="AI125" s="74"/>
    </row>
    <row r="138" spans="3:35" x14ac:dyDescent="0.25">
      <c r="C138" s="74"/>
      <c r="D138" s="74"/>
      <c r="E138" s="74"/>
      <c r="F138" s="74"/>
      <c r="G138" s="74"/>
      <c r="H138" s="74"/>
      <c r="I138" s="74"/>
      <c r="J138" s="74"/>
      <c r="K138" s="74"/>
      <c r="L138" s="74"/>
      <c r="M138" s="74"/>
      <c r="N138" s="74"/>
      <c r="O138" s="74"/>
      <c r="P138" s="74"/>
      <c r="Q138" s="74"/>
      <c r="R138" s="74"/>
      <c r="S138" s="74"/>
      <c r="T138" s="74"/>
      <c r="U138" s="74"/>
      <c r="V138" s="74"/>
      <c r="W138" s="74"/>
      <c r="X138" s="74"/>
      <c r="Y138" s="74"/>
      <c r="Z138" s="74"/>
      <c r="AA138" s="74"/>
      <c r="AB138" s="74"/>
      <c r="AC138" s="74"/>
      <c r="AD138" s="74"/>
      <c r="AE138" s="74"/>
      <c r="AF138" s="74"/>
      <c r="AG138" s="74"/>
      <c r="AH138" s="74"/>
      <c r="AI138" s="74"/>
    </row>
    <row r="139" spans="3:35" x14ac:dyDescent="0.25">
      <c r="C139" s="74"/>
      <c r="D139" s="74"/>
      <c r="E139" s="74"/>
      <c r="F139" s="74"/>
      <c r="G139" s="74"/>
      <c r="H139" s="74"/>
      <c r="I139" s="74"/>
      <c r="J139" s="74"/>
      <c r="K139" s="74"/>
      <c r="L139" s="74"/>
      <c r="M139" s="74"/>
      <c r="N139" s="74"/>
      <c r="O139" s="74"/>
      <c r="P139" s="74"/>
      <c r="Q139" s="74"/>
      <c r="R139" s="74"/>
      <c r="S139" s="74"/>
      <c r="T139" s="74"/>
      <c r="U139" s="74"/>
      <c r="V139" s="74"/>
      <c r="W139" s="74"/>
      <c r="X139" s="74"/>
      <c r="Y139" s="74"/>
      <c r="Z139" s="74"/>
      <c r="AA139" s="74"/>
      <c r="AB139" s="74"/>
      <c r="AC139" s="74"/>
      <c r="AD139" s="74"/>
      <c r="AE139" s="74"/>
      <c r="AF139" s="74"/>
      <c r="AG139" s="74"/>
      <c r="AH139" s="74"/>
      <c r="AI139" s="74"/>
    </row>
    <row r="140" spans="3:35" x14ac:dyDescent="0.25">
      <c r="C140" s="74"/>
      <c r="D140" s="74"/>
      <c r="E140" s="74"/>
      <c r="F140" s="74"/>
      <c r="G140" s="74"/>
      <c r="H140" s="74"/>
      <c r="I140" s="74"/>
      <c r="J140" s="74"/>
      <c r="K140" s="74"/>
      <c r="L140" s="74"/>
      <c r="M140" s="74"/>
      <c r="N140" s="74"/>
      <c r="O140" s="74"/>
      <c r="P140" s="74"/>
      <c r="Q140" s="74"/>
      <c r="R140" s="74"/>
      <c r="S140" s="74"/>
      <c r="T140" s="74"/>
      <c r="U140" s="74"/>
      <c r="V140" s="74"/>
      <c r="W140" s="74"/>
      <c r="X140" s="74"/>
      <c r="Y140" s="74"/>
      <c r="Z140" s="74"/>
      <c r="AA140" s="74"/>
      <c r="AB140" s="74"/>
      <c r="AC140" s="74"/>
      <c r="AD140" s="74"/>
      <c r="AE140" s="74"/>
      <c r="AF140" s="74"/>
      <c r="AG140" s="74"/>
      <c r="AH140" s="74"/>
      <c r="AI140" s="74"/>
    </row>
    <row r="141" spans="3:35" x14ac:dyDescent="0.25">
      <c r="C141" s="74"/>
      <c r="D141" s="74"/>
      <c r="E141" s="74"/>
      <c r="F141" s="74"/>
      <c r="G141" s="74"/>
      <c r="H141" s="74"/>
      <c r="I141" s="74"/>
      <c r="J141" s="74"/>
      <c r="K141" s="74"/>
      <c r="L141" s="74"/>
      <c r="M141" s="74"/>
      <c r="N141" s="74"/>
      <c r="O141" s="74"/>
      <c r="P141" s="74"/>
      <c r="Q141" s="74"/>
      <c r="R141" s="74"/>
      <c r="S141" s="74"/>
      <c r="T141" s="74"/>
      <c r="U141" s="74"/>
      <c r="V141" s="74"/>
      <c r="W141" s="74"/>
      <c r="X141" s="74"/>
      <c r="Y141" s="74"/>
      <c r="Z141" s="74"/>
      <c r="AA141" s="74"/>
      <c r="AB141" s="74"/>
      <c r="AC141" s="74"/>
      <c r="AD141" s="74"/>
      <c r="AE141" s="74"/>
      <c r="AF141" s="74"/>
      <c r="AG141" s="74"/>
      <c r="AH141" s="74"/>
      <c r="AI141" s="74"/>
    </row>
    <row r="142" spans="3:35" x14ac:dyDescent="0.25">
      <c r="C142" s="74"/>
      <c r="D142" s="74"/>
      <c r="E142" s="74"/>
      <c r="F142" s="74"/>
      <c r="G142" s="74"/>
      <c r="H142" s="74"/>
      <c r="I142" s="74"/>
      <c r="J142" s="74"/>
      <c r="K142" s="74"/>
      <c r="L142" s="74"/>
      <c r="M142" s="74"/>
      <c r="N142" s="74"/>
      <c r="O142" s="74"/>
      <c r="P142" s="74"/>
      <c r="Q142" s="74"/>
      <c r="R142" s="74"/>
      <c r="S142" s="74"/>
      <c r="T142" s="74"/>
      <c r="U142" s="74"/>
      <c r="V142" s="74"/>
      <c r="W142" s="74"/>
      <c r="X142" s="74"/>
      <c r="Y142" s="74"/>
      <c r="Z142" s="74"/>
      <c r="AA142" s="74"/>
      <c r="AB142" s="74"/>
      <c r="AC142" s="74"/>
      <c r="AD142" s="74"/>
      <c r="AE142" s="74"/>
      <c r="AF142" s="74"/>
      <c r="AG142" s="74"/>
      <c r="AH142" s="74"/>
      <c r="AI142" s="74"/>
    </row>
    <row r="143" spans="3:35" x14ac:dyDescent="0.25">
      <c r="C143" s="74"/>
      <c r="D143" s="74"/>
      <c r="E143" s="74"/>
      <c r="F143" s="74"/>
      <c r="G143" s="74"/>
      <c r="H143" s="74"/>
      <c r="I143" s="74"/>
      <c r="J143" s="74"/>
      <c r="K143" s="74"/>
      <c r="L143" s="74"/>
      <c r="M143" s="74"/>
      <c r="N143" s="74"/>
      <c r="O143" s="74"/>
      <c r="P143" s="74"/>
      <c r="Q143" s="74"/>
      <c r="R143" s="74"/>
      <c r="S143" s="74"/>
      <c r="T143" s="74"/>
      <c r="U143" s="74"/>
      <c r="V143" s="74"/>
      <c r="W143" s="74"/>
      <c r="X143" s="74"/>
      <c r="Y143" s="74"/>
      <c r="Z143" s="74"/>
      <c r="AA143" s="74"/>
      <c r="AB143" s="74"/>
      <c r="AC143" s="74"/>
      <c r="AD143" s="74"/>
      <c r="AE143" s="74"/>
      <c r="AF143" s="74"/>
      <c r="AG143" s="74"/>
      <c r="AH143" s="74"/>
      <c r="AI143" s="74"/>
    </row>
    <row r="144" spans="3:35" x14ac:dyDescent="0.25">
      <c r="C144" s="74"/>
      <c r="D144" s="74"/>
      <c r="E144" s="74"/>
      <c r="F144" s="74"/>
      <c r="G144" s="74"/>
      <c r="H144" s="74"/>
      <c r="I144" s="74"/>
      <c r="J144" s="74"/>
      <c r="K144" s="74"/>
      <c r="L144" s="74"/>
      <c r="M144" s="74"/>
      <c r="N144" s="74"/>
      <c r="O144" s="74"/>
      <c r="P144" s="74"/>
      <c r="Q144" s="74"/>
      <c r="R144" s="74"/>
      <c r="S144" s="74"/>
      <c r="T144" s="74"/>
      <c r="U144" s="74"/>
      <c r="V144" s="74"/>
      <c r="W144" s="74"/>
      <c r="X144" s="74"/>
      <c r="Y144" s="74"/>
      <c r="Z144" s="74"/>
      <c r="AA144" s="74"/>
      <c r="AB144" s="74"/>
      <c r="AC144" s="74"/>
      <c r="AD144" s="74"/>
      <c r="AE144" s="74"/>
      <c r="AF144" s="74"/>
      <c r="AG144" s="74"/>
      <c r="AH144" s="74"/>
      <c r="AI144" s="74"/>
    </row>
    <row r="145" spans="3:35" x14ac:dyDescent="0.25">
      <c r="C145" s="74"/>
      <c r="D145" s="74"/>
      <c r="E145" s="74"/>
      <c r="F145" s="74"/>
      <c r="G145" s="74"/>
      <c r="H145" s="74"/>
      <c r="I145" s="74"/>
      <c r="J145" s="74"/>
      <c r="K145" s="74"/>
      <c r="L145" s="74"/>
      <c r="M145" s="74"/>
      <c r="N145" s="74"/>
      <c r="O145" s="74"/>
      <c r="P145" s="74"/>
      <c r="Q145" s="74"/>
      <c r="R145" s="74"/>
      <c r="S145" s="74"/>
      <c r="T145" s="74"/>
      <c r="U145" s="74"/>
      <c r="V145" s="74"/>
      <c r="W145" s="74"/>
      <c r="X145" s="74"/>
      <c r="Y145" s="74"/>
      <c r="Z145" s="74"/>
      <c r="AA145" s="74"/>
      <c r="AB145" s="74"/>
      <c r="AC145" s="74"/>
      <c r="AD145" s="74"/>
      <c r="AE145" s="74"/>
      <c r="AF145" s="74"/>
      <c r="AG145" s="74"/>
      <c r="AH145" s="74"/>
      <c r="AI145" s="74"/>
    </row>
    <row r="146" spans="3:35" x14ac:dyDescent="0.25">
      <c r="C146" s="74"/>
      <c r="D146" s="74"/>
      <c r="E146" s="74"/>
      <c r="F146" s="74"/>
      <c r="G146" s="74"/>
      <c r="H146" s="74"/>
      <c r="I146" s="74"/>
      <c r="J146" s="74"/>
      <c r="K146" s="74"/>
      <c r="L146" s="74"/>
      <c r="M146" s="74"/>
      <c r="N146" s="74"/>
      <c r="O146" s="74"/>
      <c r="P146" s="74"/>
      <c r="Q146" s="74"/>
      <c r="R146" s="74"/>
      <c r="S146" s="74"/>
      <c r="T146" s="74"/>
      <c r="U146" s="74"/>
      <c r="V146" s="74"/>
      <c r="W146" s="74"/>
      <c r="X146" s="74"/>
      <c r="Y146" s="74"/>
      <c r="Z146" s="74"/>
      <c r="AA146" s="74"/>
      <c r="AB146" s="74"/>
      <c r="AC146" s="74"/>
      <c r="AD146" s="74"/>
      <c r="AE146" s="74"/>
      <c r="AF146" s="74"/>
      <c r="AG146" s="74"/>
      <c r="AH146" s="74"/>
      <c r="AI146" s="74"/>
    </row>
    <row r="147" spans="3:35" x14ac:dyDescent="0.25">
      <c r="C147" s="74"/>
      <c r="D147" s="74"/>
      <c r="E147" s="74"/>
      <c r="F147" s="74"/>
      <c r="G147" s="74"/>
      <c r="H147" s="74"/>
      <c r="I147" s="74"/>
      <c r="J147" s="74"/>
      <c r="K147" s="74"/>
      <c r="L147" s="74"/>
      <c r="M147" s="74"/>
      <c r="N147" s="74"/>
      <c r="O147" s="74"/>
      <c r="P147" s="74"/>
      <c r="Q147" s="74"/>
      <c r="R147" s="74"/>
      <c r="S147" s="74"/>
      <c r="T147" s="74"/>
      <c r="U147" s="74"/>
      <c r="V147" s="74"/>
      <c r="W147" s="74"/>
      <c r="X147" s="74"/>
      <c r="Y147" s="74"/>
      <c r="Z147" s="74"/>
      <c r="AA147" s="74"/>
      <c r="AB147" s="74"/>
      <c r="AC147" s="74"/>
      <c r="AD147" s="74"/>
      <c r="AE147" s="74"/>
      <c r="AF147" s="74"/>
      <c r="AG147" s="74"/>
      <c r="AH147" s="74"/>
      <c r="AI147" s="74"/>
    </row>
    <row r="148" spans="3:35" x14ac:dyDescent="0.25">
      <c r="C148" s="74"/>
      <c r="D148" s="74"/>
      <c r="E148" s="74"/>
      <c r="F148" s="74"/>
      <c r="G148" s="74"/>
      <c r="H148" s="74"/>
      <c r="I148" s="74"/>
      <c r="J148" s="74"/>
      <c r="K148" s="74"/>
      <c r="L148" s="74"/>
      <c r="M148" s="74"/>
      <c r="N148" s="74"/>
      <c r="O148" s="74"/>
      <c r="P148" s="74"/>
      <c r="Q148" s="74"/>
      <c r="R148" s="74"/>
      <c r="S148" s="74"/>
      <c r="T148" s="74"/>
      <c r="U148" s="74"/>
      <c r="V148" s="74"/>
      <c r="W148" s="74"/>
      <c r="X148" s="74"/>
      <c r="Y148" s="74"/>
      <c r="Z148" s="74"/>
      <c r="AA148" s="74"/>
      <c r="AB148" s="74"/>
      <c r="AC148" s="74"/>
      <c r="AD148" s="74"/>
      <c r="AE148" s="74"/>
      <c r="AF148" s="74"/>
      <c r="AG148" s="74"/>
      <c r="AH148" s="74"/>
      <c r="AI148" s="74"/>
    </row>
    <row r="149" spans="3:35" x14ac:dyDescent="0.25">
      <c r="C149" s="74"/>
      <c r="D149" s="74"/>
      <c r="E149" s="74"/>
      <c r="F149" s="74"/>
      <c r="G149" s="74"/>
      <c r="H149" s="74"/>
      <c r="I149" s="74"/>
      <c r="J149" s="74"/>
      <c r="K149" s="74"/>
      <c r="L149" s="74"/>
      <c r="M149" s="74"/>
      <c r="N149" s="74"/>
      <c r="O149" s="74"/>
      <c r="P149" s="74"/>
      <c r="Q149" s="74"/>
      <c r="R149" s="74"/>
      <c r="S149" s="74"/>
      <c r="T149" s="74"/>
      <c r="U149" s="74"/>
      <c r="V149" s="74"/>
      <c r="W149" s="74"/>
      <c r="X149" s="74"/>
      <c r="Y149" s="74"/>
      <c r="Z149" s="74"/>
      <c r="AA149" s="74"/>
      <c r="AB149" s="74"/>
      <c r="AC149" s="74"/>
      <c r="AD149" s="74"/>
      <c r="AE149" s="74"/>
      <c r="AF149" s="74"/>
      <c r="AG149" s="74"/>
      <c r="AH149" s="74"/>
      <c r="AI149" s="74"/>
    </row>
    <row r="150" spans="3:35" x14ac:dyDescent="0.25">
      <c r="C150" s="74"/>
      <c r="D150" s="74"/>
      <c r="E150" s="74"/>
      <c r="F150" s="74"/>
      <c r="G150" s="74"/>
      <c r="H150" s="74"/>
      <c r="I150" s="74"/>
      <c r="J150" s="74"/>
      <c r="K150" s="74"/>
      <c r="L150" s="74"/>
      <c r="M150" s="74"/>
      <c r="N150" s="74"/>
      <c r="O150" s="74"/>
      <c r="P150" s="74"/>
      <c r="Q150" s="74"/>
      <c r="R150" s="74"/>
      <c r="S150" s="74"/>
      <c r="T150" s="74"/>
      <c r="U150" s="74"/>
      <c r="V150" s="74"/>
      <c r="W150" s="74"/>
      <c r="X150" s="74"/>
      <c r="Y150" s="74"/>
      <c r="Z150" s="74"/>
      <c r="AA150" s="74"/>
      <c r="AB150" s="74"/>
      <c r="AC150" s="74"/>
      <c r="AD150" s="74"/>
      <c r="AE150" s="74"/>
      <c r="AF150" s="74"/>
      <c r="AG150" s="74"/>
      <c r="AH150" s="74"/>
      <c r="AI150" s="74"/>
    </row>
    <row r="151" spans="3:35" x14ac:dyDescent="0.25">
      <c r="C151" s="74"/>
      <c r="D151" s="74"/>
      <c r="E151" s="74"/>
      <c r="F151" s="74"/>
      <c r="G151" s="74"/>
      <c r="H151" s="74"/>
      <c r="I151" s="74"/>
      <c r="J151" s="74"/>
      <c r="K151" s="74"/>
      <c r="L151" s="74"/>
      <c r="M151" s="74"/>
      <c r="N151" s="74"/>
      <c r="O151" s="74"/>
      <c r="P151" s="74"/>
      <c r="Q151" s="74"/>
      <c r="R151" s="74"/>
      <c r="S151" s="74"/>
      <c r="T151" s="74"/>
      <c r="U151" s="74"/>
      <c r="V151" s="74"/>
      <c r="W151" s="74"/>
      <c r="X151" s="74"/>
      <c r="Y151" s="74"/>
      <c r="Z151" s="74"/>
      <c r="AA151" s="74"/>
      <c r="AB151" s="74"/>
      <c r="AC151" s="74"/>
      <c r="AD151" s="74"/>
      <c r="AE151" s="74"/>
      <c r="AF151" s="74"/>
      <c r="AG151" s="74"/>
      <c r="AH151" s="74"/>
      <c r="AI151" s="74"/>
    </row>
  </sheetData>
  <mergeCells count="13">
    <mergeCell ref="AG3:AI3"/>
    <mergeCell ref="B3:B5"/>
    <mergeCell ref="C3:E3"/>
    <mergeCell ref="F3:H3"/>
    <mergeCell ref="I3:K3"/>
    <mergeCell ref="L3:N3"/>
    <mergeCell ref="O3:Q3"/>
    <mergeCell ref="C5:AI5"/>
    <mergeCell ref="R3:T3"/>
    <mergeCell ref="U3:W3"/>
    <mergeCell ref="X3:Z3"/>
    <mergeCell ref="AA3:AC3"/>
    <mergeCell ref="AD3:AF3"/>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69"/>
  <sheetViews>
    <sheetView zoomScale="80" zoomScaleNormal="80" workbookViewId="0">
      <pane ySplit="3" topLeftCell="A4" activePane="bottomLeft" state="frozen"/>
      <selection sqref="A1:AB1"/>
      <selection pane="bottomLeft" activeCell="B2" sqref="B2"/>
    </sheetView>
  </sheetViews>
  <sheetFormatPr defaultColWidth="7.5703125" defaultRowHeight="12.75" x14ac:dyDescent="0.2"/>
  <cols>
    <col min="1" max="1" width="3.28515625" style="62" customWidth="1"/>
    <col min="2" max="2" width="39.28515625" style="60" customWidth="1"/>
    <col min="3" max="6" width="15" style="62" customWidth="1"/>
    <col min="7" max="7" width="15.28515625" style="62" customWidth="1"/>
    <col min="8" max="8" width="15" style="62" customWidth="1"/>
    <col min="9" max="9" width="18.7109375" style="62" customWidth="1"/>
    <col min="10" max="10" width="17.85546875" style="62" customWidth="1"/>
    <col min="11" max="12" width="15" style="62" customWidth="1"/>
    <col min="13" max="16384" width="7.5703125" style="62"/>
  </cols>
  <sheetData>
    <row r="1" spans="2:12" ht="15" customHeight="1" x14ac:dyDescent="0.25">
      <c r="B1" s="27" t="s">
        <v>78</v>
      </c>
      <c r="E1" s="28"/>
      <c r="F1" s="63"/>
    </row>
    <row r="2" spans="2:12" ht="15" customHeight="1" x14ac:dyDescent="0.2"/>
    <row r="3" spans="2:12" ht="45" customHeight="1" x14ac:dyDescent="0.2">
      <c r="B3" s="64" t="s">
        <v>59</v>
      </c>
      <c r="C3" s="65" t="s">
        <v>3</v>
      </c>
      <c r="D3" s="65" t="s">
        <v>79</v>
      </c>
      <c r="E3" s="65" t="s">
        <v>2</v>
      </c>
      <c r="F3" s="65" t="s">
        <v>80</v>
      </c>
      <c r="G3" s="65" t="s">
        <v>32</v>
      </c>
      <c r="H3" s="65" t="s">
        <v>92</v>
      </c>
      <c r="I3" s="65" t="s">
        <v>93</v>
      </c>
      <c r="J3" s="65" t="s">
        <v>94</v>
      </c>
      <c r="K3" s="65" t="s">
        <v>98</v>
      </c>
      <c r="L3" s="109" t="s">
        <v>33</v>
      </c>
    </row>
    <row r="4" spans="2:12" x14ac:dyDescent="0.2">
      <c r="B4" s="89">
        <v>2013</v>
      </c>
      <c r="C4" s="92">
        <v>0.68</v>
      </c>
      <c r="D4" s="92">
        <v>0.73</v>
      </c>
      <c r="E4" s="92">
        <v>0.82</v>
      </c>
      <c r="F4" s="92">
        <v>0.81</v>
      </c>
      <c r="G4" s="92">
        <v>0.81</v>
      </c>
      <c r="H4" s="92">
        <v>0.86</v>
      </c>
      <c r="I4" s="92">
        <v>0.9</v>
      </c>
      <c r="J4" s="92">
        <v>0.92</v>
      </c>
      <c r="K4" s="106">
        <v>0.93</v>
      </c>
      <c r="L4" s="110">
        <v>0.84</v>
      </c>
    </row>
    <row r="5" spans="2:12" x14ac:dyDescent="0.2">
      <c r="B5" s="89">
        <v>2014</v>
      </c>
      <c r="C5" s="92">
        <v>0.66</v>
      </c>
      <c r="D5" s="92">
        <v>0.72</v>
      </c>
      <c r="E5" s="92">
        <v>0.8</v>
      </c>
      <c r="F5" s="92">
        <v>0.8</v>
      </c>
      <c r="G5" s="92">
        <v>0.81</v>
      </c>
      <c r="H5" s="92">
        <v>0.86</v>
      </c>
      <c r="I5" s="92">
        <v>0.9</v>
      </c>
      <c r="J5" s="92">
        <v>0.92</v>
      </c>
      <c r="K5" s="106">
        <v>0.92</v>
      </c>
      <c r="L5" s="110">
        <v>0.83</v>
      </c>
    </row>
    <row r="6" spans="2:12" x14ac:dyDescent="0.2">
      <c r="B6" s="89">
        <v>2015</v>
      </c>
      <c r="C6" s="92">
        <v>0.72</v>
      </c>
      <c r="D6" s="92">
        <v>0.72</v>
      </c>
      <c r="E6" s="92">
        <v>0.8</v>
      </c>
      <c r="F6" s="92">
        <v>0.8</v>
      </c>
      <c r="G6" s="92">
        <v>0.81</v>
      </c>
      <c r="H6" s="92">
        <v>0.86</v>
      </c>
      <c r="I6" s="92">
        <v>0.89</v>
      </c>
      <c r="J6" s="92">
        <v>0.92</v>
      </c>
      <c r="K6" s="106">
        <v>0.93</v>
      </c>
      <c r="L6" s="110">
        <v>0.84</v>
      </c>
    </row>
    <row r="7" spans="2:12" x14ac:dyDescent="0.2">
      <c r="B7" s="89">
        <v>2016</v>
      </c>
      <c r="C7" s="92">
        <v>0.64</v>
      </c>
      <c r="D7" s="92">
        <v>0.7</v>
      </c>
      <c r="E7" s="92">
        <v>0.76</v>
      </c>
      <c r="F7" s="92">
        <v>0.77</v>
      </c>
      <c r="G7" s="92">
        <v>0.8</v>
      </c>
      <c r="H7" s="92">
        <v>0.86</v>
      </c>
      <c r="I7" s="92">
        <v>0.89</v>
      </c>
      <c r="J7" s="92">
        <v>0.92</v>
      </c>
      <c r="K7" s="106">
        <v>0.93</v>
      </c>
      <c r="L7" s="110">
        <v>0.83</v>
      </c>
    </row>
    <row r="8" spans="2:12" x14ac:dyDescent="0.2">
      <c r="B8" s="89">
        <v>2017</v>
      </c>
      <c r="C8" s="92">
        <v>0.75</v>
      </c>
      <c r="D8" s="92">
        <v>0.68</v>
      </c>
      <c r="E8" s="92">
        <v>0.76</v>
      </c>
      <c r="F8" s="92">
        <v>0.75</v>
      </c>
      <c r="G8" s="92">
        <v>0.79</v>
      </c>
      <c r="H8" s="92">
        <v>0.86</v>
      </c>
      <c r="I8" s="92">
        <v>0.89</v>
      </c>
      <c r="J8" s="92">
        <v>0.92</v>
      </c>
      <c r="K8" s="106">
        <v>0.93</v>
      </c>
      <c r="L8" s="110">
        <v>0.82</v>
      </c>
    </row>
    <row r="9" spans="2:12" x14ac:dyDescent="0.2">
      <c r="B9" s="89">
        <v>2018</v>
      </c>
      <c r="C9" s="92">
        <v>0.74</v>
      </c>
      <c r="D9" s="92">
        <v>0.71</v>
      </c>
      <c r="E9" s="92">
        <v>0.74</v>
      </c>
      <c r="F9" s="92">
        <v>0.75</v>
      </c>
      <c r="G9" s="92">
        <v>0.8</v>
      </c>
      <c r="H9" s="92">
        <v>0.86</v>
      </c>
      <c r="I9" s="92">
        <v>0.9</v>
      </c>
      <c r="J9" s="92">
        <v>0.92</v>
      </c>
      <c r="K9" s="106">
        <v>0.93</v>
      </c>
      <c r="L9" s="110">
        <v>0.83</v>
      </c>
    </row>
    <row r="10" spans="2:12" x14ac:dyDescent="0.2">
      <c r="B10" s="89">
        <v>2019</v>
      </c>
      <c r="C10" s="92">
        <v>0.79</v>
      </c>
      <c r="D10" s="92">
        <v>0.71</v>
      </c>
      <c r="E10" s="92">
        <v>0.74</v>
      </c>
      <c r="F10" s="92">
        <v>0.76</v>
      </c>
      <c r="G10" s="92">
        <v>0.79</v>
      </c>
      <c r="H10" s="92">
        <v>0.86</v>
      </c>
      <c r="I10" s="92">
        <v>0.9</v>
      </c>
      <c r="J10" s="92">
        <v>0.92</v>
      </c>
      <c r="K10" s="106">
        <v>0.93</v>
      </c>
      <c r="L10" s="110">
        <v>0.83</v>
      </c>
    </row>
    <row r="11" spans="2:12" x14ac:dyDescent="0.2">
      <c r="B11" s="89">
        <v>2020</v>
      </c>
      <c r="C11" s="92">
        <v>0.69</v>
      </c>
      <c r="D11" s="92">
        <v>0.68</v>
      </c>
      <c r="E11" s="92">
        <v>0.72</v>
      </c>
      <c r="F11" s="92">
        <v>0.75</v>
      </c>
      <c r="G11" s="92">
        <v>0.78</v>
      </c>
      <c r="H11" s="92">
        <v>0.88</v>
      </c>
      <c r="I11" s="92">
        <v>0.91</v>
      </c>
      <c r="J11" s="92">
        <v>0.93</v>
      </c>
      <c r="K11" s="106">
        <v>0.93</v>
      </c>
      <c r="L11" s="110">
        <v>0.83</v>
      </c>
    </row>
    <row r="12" spans="2:12" x14ac:dyDescent="0.2">
      <c r="B12" s="89">
        <v>2021</v>
      </c>
      <c r="C12" s="93">
        <v>0.73</v>
      </c>
      <c r="D12" s="93">
        <v>0.69</v>
      </c>
      <c r="E12" s="93">
        <v>0.73</v>
      </c>
      <c r="F12" s="93">
        <v>0.75</v>
      </c>
      <c r="G12" s="93">
        <v>0.79</v>
      </c>
      <c r="H12" s="93">
        <v>0.86</v>
      </c>
      <c r="I12" s="93">
        <v>0.91</v>
      </c>
      <c r="J12" s="93">
        <v>0.92</v>
      </c>
      <c r="K12" s="107">
        <v>0.93</v>
      </c>
      <c r="L12" s="111">
        <v>0.83</v>
      </c>
    </row>
    <row r="13" spans="2:12" x14ac:dyDescent="0.2">
      <c r="B13" s="89">
        <v>2022</v>
      </c>
      <c r="C13" s="93">
        <v>0.69</v>
      </c>
      <c r="D13" s="93">
        <v>0.68</v>
      </c>
      <c r="E13" s="93">
        <v>0.72</v>
      </c>
      <c r="F13" s="93">
        <v>0.73</v>
      </c>
      <c r="G13" s="93">
        <v>0.77</v>
      </c>
      <c r="H13" s="93">
        <v>0.86</v>
      </c>
      <c r="I13" s="93">
        <v>0.89</v>
      </c>
      <c r="J13" s="93">
        <v>0.91</v>
      </c>
      <c r="K13" s="107">
        <v>0.93</v>
      </c>
      <c r="L13" s="111">
        <v>0.82</v>
      </c>
    </row>
    <row r="14" spans="2:12" x14ac:dyDescent="0.2">
      <c r="B14" s="89">
        <v>2023</v>
      </c>
      <c r="C14" s="93">
        <v>0.66</v>
      </c>
      <c r="D14" s="93">
        <v>0.7</v>
      </c>
      <c r="E14" s="93">
        <v>0.75</v>
      </c>
      <c r="F14" s="93">
        <v>0.75</v>
      </c>
      <c r="G14" s="93">
        <v>0.79</v>
      </c>
      <c r="H14" s="93">
        <v>0.88</v>
      </c>
      <c r="I14" s="93">
        <v>0.89</v>
      </c>
      <c r="J14" s="93">
        <v>0.92</v>
      </c>
      <c r="K14" s="107">
        <v>0.93</v>
      </c>
      <c r="L14" s="111">
        <v>0.83</v>
      </c>
    </row>
    <row r="15" spans="2:12" x14ac:dyDescent="0.2">
      <c r="B15" s="89">
        <v>2024</v>
      </c>
      <c r="C15" s="94">
        <v>0.76</v>
      </c>
      <c r="D15" s="94">
        <v>0.72</v>
      </c>
      <c r="E15" s="94">
        <v>0.77</v>
      </c>
      <c r="F15" s="94">
        <v>0.78</v>
      </c>
      <c r="G15" s="94">
        <v>0.8</v>
      </c>
      <c r="H15" s="94">
        <v>0.88</v>
      </c>
      <c r="I15" s="94">
        <v>0.9</v>
      </c>
      <c r="J15" s="94">
        <v>0.93</v>
      </c>
      <c r="K15" s="108">
        <v>0.92</v>
      </c>
      <c r="L15" s="112">
        <v>0.85</v>
      </c>
    </row>
    <row r="16" spans="2:12" x14ac:dyDescent="0.2">
      <c r="B16" s="36"/>
      <c r="C16" s="66"/>
      <c r="D16" s="66"/>
      <c r="E16" s="66"/>
      <c r="F16" s="66"/>
      <c r="G16" s="66"/>
      <c r="H16" s="66"/>
      <c r="I16" s="66"/>
      <c r="J16" s="66"/>
      <c r="K16" s="66"/>
      <c r="L16" s="66"/>
    </row>
    <row r="17" spans="2:12" x14ac:dyDescent="0.2">
      <c r="B17" s="145" t="s">
        <v>111</v>
      </c>
      <c r="C17" s="145"/>
      <c r="D17" s="145"/>
      <c r="E17" s="145"/>
      <c r="F17" s="145"/>
      <c r="G17" s="145"/>
      <c r="H17" s="145"/>
      <c r="I17" s="145"/>
      <c r="J17" s="145"/>
      <c r="K17" s="145"/>
      <c r="L17" s="145"/>
    </row>
    <row r="18" spans="2:12" x14ac:dyDescent="0.2">
      <c r="B18" s="90" t="s">
        <v>35</v>
      </c>
      <c r="C18" s="90"/>
      <c r="D18" s="90"/>
      <c r="E18" s="90"/>
      <c r="F18" s="90"/>
      <c r="G18" s="90"/>
      <c r="H18" s="90"/>
      <c r="I18" s="90"/>
      <c r="J18" s="90"/>
      <c r="K18" s="67"/>
      <c r="L18" s="114"/>
    </row>
    <row r="19" spans="2:12" x14ac:dyDescent="0.2">
      <c r="B19" s="89" t="s">
        <v>107</v>
      </c>
      <c r="C19" s="92">
        <v>0.77</v>
      </c>
      <c r="D19" s="92">
        <v>0.71</v>
      </c>
      <c r="E19" s="92">
        <v>0.77</v>
      </c>
      <c r="F19" s="92">
        <v>0.79</v>
      </c>
      <c r="G19" s="92">
        <v>0.85</v>
      </c>
      <c r="H19" s="92">
        <v>0.84</v>
      </c>
      <c r="I19" s="92">
        <v>0.9</v>
      </c>
      <c r="J19" s="92">
        <v>0.9</v>
      </c>
      <c r="K19" s="106">
        <v>0.89</v>
      </c>
      <c r="L19" s="110">
        <v>0.84</v>
      </c>
    </row>
    <row r="20" spans="2:12" x14ac:dyDescent="0.2">
      <c r="B20" s="89" t="s">
        <v>14</v>
      </c>
      <c r="C20" s="92">
        <v>0.77</v>
      </c>
      <c r="D20" s="92">
        <v>0.74</v>
      </c>
      <c r="E20" s="92">
        <v>0.77</v>
      </c>
      <c r="F20" s="92">
        <v>0.78</v>
      </c>
      <c r="G20" s="92">
        <v>0.81</v>
      </c>
      <c r="H20" s="92">
        <v>0.9</v>
      </c>
      <c r="I20" s="92">
        <v>0.91</v>
      </c>
      <c r="J20" s="92">
        <v>0.93</v>
      </c>
      <c r="K20" s="106">
        <v>0.92</v>
      </c>
      <c r="L20" s="110">
        <v>0.86</v>
      </c>
    </row>
    <row r="21" spans="2:12" x14ac:dyDescent="0.2">
      <c r="B21" s="89" t="s">
        <v>15</v>
      </c>
      <c r="C21" s="92">
        <v>0.74</v>
      </c>
      <c r="D21" s="92">
        <v>0.71</v>
      </c>
      <c r="E21" s="92">
        <v>0.77</v>
      </c>
      <c r="F21" s="92">
        <v>0.77</v>
      </c>
      <c r="G21" s="92">
        <v>0.79</v>
      </c>
      <c r="H21" s="92">
        <v>0.86</v>
      </c>
      <c r="I21" s="92">
        <v>0.88</v>
      </c>
      <c r="J21" s="92">
        <v>0.92</v>
      </c>
      <c r="K21" s="106">
        <v>0.91</v>
      </c>
      <c r="L21" s="110">
        <v>0.84</v>
      </c>
    </row>
    <row r="22" spans="2:12" x14ac:dyDescent="0.2">
      <c r="B22" s="91" t="s">
        <v>36</v>
      </c>
      <c r="C22" s="95"/>
      <c r="D22" s="95"/>
      <c r="E22" s="95"/>
      <c r="F22" s="95"/>
      <c r="G22" s="95"/>
      <c r="H22" s="95"/>
      <c r="I22" s="95"/>
      <c r="J22" s="95"/>
      <c r="K22" s="113"/>
      <c r="L22" s="115"/>
    </row>
    <row r="23" spans="2:12" x14ac:dyDescent="0.2">
      <c r="B23" s="89" t="s">
        <v>4</v>
      </c>
      <c r="C23" s="92">
        <v>0.77</v>
      </c>
      <c r="D23" s="92">
        <v>0.71</v>
      </c>
      <c r="E23" s="92">
        <v>0.74</v>
      </c>
      <c r="F23" s="92">
        <v>0.8</v>
      </c>
      <c r="G23" s="92">
        <v>0.78</v>
      </c>
      <c r="H23" s="92">
        <v>0.91</v>
      </c>
      <c r="I23" s="92"/>
      <c r="J23" s="92">
        <v>0.95</v>
      </c>
      <c r="K23" s="106"/>
      <c r="L23" s="110">
        <v>0.74</v>
      </c>
    </row>
    <row r="24" spans="2:12" x14ac:dyDescent="0.2">
      <c r="B24" s="89" t="s">
        <v>5</v>
      </c>
      <c r="C24" s="92">
        <v>0.74</v>
      </c>
      <c r="D24" s="92">
        <v>0.7</v>
      </c>
      <c r="E24" s="92">
        <v>0.78</v>
      </c>
      <c r="F24" s="92">
        <v>0.8</v>
      </c>
      <c r="G24" s="92">
        <v>0.78</v>
      </c>
      <c r="H24" s="92">
        <v>0.88</v>
      </c>
      <c r="I24" s="92">
        <v>0.93</v>
      </c>
      <c r="J24" s="92">
        <v>0.93</v>
      </c>
      <c r="K24" s="106">
        <v>1</v>
      </c>
      <c r="L24" s="110">
        <v>0.85</v>
      </c>
    </row>
    <row r="25" spans="2:12" x14ac:dyDescent="0.2">
      <c r="B25" s="89" t="s">
        <v>6</v>
      </c>
      <c r="C25" s="92">
        <v>0.75</v>
      </c>
      <c r="D25" s="92">
        <v>0.72</v>
      </c>
      <c r="E25" s="92">
        <v>0.77</v>
      </c>
      <c r="F25" s="92">
        <v>0.79</v>
      </c>
      <c r="G25" s="92">
        <v>0.81</v>
      </c>
      <c r="H25" s="92">
        <v>0.89</v>
      </c>
      <c r="I25" s="92">
        <v>0.93</v>
      </c>
      <c r="J25" s="92">
        <v>0.94</v>
      </c>
      <c r="K25" s="106">
        <v>0.96</v>
      </c>
      <c r="L25" s="110">
        <v>0.88</v>
      </c>
    </row>
    <row r="26" spans="2:12" x14ac:dyDescent="0.2">
      <c r="B26" s="89" t="s">
        <v>7</v>
      </c>
      <c r="C26" s="92">
        <v>0.74</v>
      </c>
      <c r="D26" s="92">
        <v>0.73</v>
      </c>
      <c r="E26" s="92">
        <v>0.75</v>
      </c>
      <c r="F26" s="92">
        <v>0.76</v>
      </c>
      <c r="G26" s="92">
        <v>0.8</v>
      </c>
      <c r="H26" s="92">
        <v>0.87</v>
      </c>
      <c r="I26" s="92">
        <v>0.9</v>
      </c>
      <c r="J26" s="92">
        <v>0.91</v>
      </c>
      <c r="K26" s="106">
        <v>0.91</v>
      </c>
      <c r="L26" s="110">
        <v>0.83</v>
      </c>
    </row>
    <row r="27" spans="2:12" x14ac:dyDescent="0.2">
      <c r="B27" s="89" t="s">
        <v>61</v>
      </c>
      <c r="C27" s="92">
        <v>0.77</v>
      </c>
      <c r="D27" s="92">
        <v>0.75</v>
      </c>
      <c r="E27" s="92">
        <v>0.78</v>
      </c>
      <c r="F27" s="92">
        <v>0.77</v>
      </c>
      <c r="G27" s="92">
        <v>0.81</v>
      </c>
      <c r="H27" s="92">
        <v>0.88</v>
      </c>
      <c r="I27" s="92">
        <v>0.89</v>
      </c>
      <c r="J27" s="92">
        <v>0.91</v>
      </c>
      <c r="K27" s="106">
        <v>0.89</v>
      </c>
      <c r="L27" s="110">
        <v>0.82</v>
      </c>
    </row>
    <row r="28" spans="2:12" x14ac:dyDescent="0.2">
      <c r="B28" s="91" t="s">
        <v>37</v>
      </c>
      <c r="C28" s="95"/>
      <c r="D28" s="95"/>
      <c r="E28" s="95"/>
      <c r="F28" s="95"/>
      <c r="G28" s="95"/>
      <c r="H28" s="95"/>
      <c r="I28" s="95"/>
      <c r="J28" s="95"/>
      <c r="K28" s="113"/>
      <c r="L28" s="115"/>
    </row>
    <row r="29" spans="2:12" x14ac:dyDescent="0.2">
      <c r="B29" s="89" t="s">
        <v>38</v>
      </c>
      <c r="C29" s="92">
        <v>0.78</v>
      </c>
      <c r="D29" s="92">
        <v>0.74</v>
      </c>
      <c r="E29" s="92">
        <v>0.79</v>
      </c>
      <c r="F29" s="92">
        <v>0.81</v>
      </c>
      <c r="G29" s="92">
        <v>0.83</v>
      </c>
      <c r="H29" s="92">
        <v>0.9</v>
      </c>
      <c r="I29" s="92">
        <v>0.92</v>
      </c>
      <c r="J29" s="92">
        <v>0.94</v>
      </c>
      <c r="K29" s="106">
        <v>0.94</v>
      </c>
      <c r="L29" s="110">
        <v>0.88</v>
      </c>
    </row>
    <row r="30" spans="2:12" x14ac:dyDescent="0.2">
      <c r="B30" s="89" t="s">
        <v>39</v>
      </c>
      <c r="C30" s="92">
        <v>0.73</v>
      </c>
      <c r="D30" s="92">
        <v>0.69</v>
      </c>
      <c r="E30" s="92">
        <v>0.71</v>
      </c>
      <c r="F30" s="92">
        <v>0.7</v>
      </c>
      <c r="G30" s="92">
        <v>0.75</v>
      </c>
      <c r="H30" s="92">
        <v>0.85</v>
      </c>
      <c r="I30" s="92">
        <v>0.86</v>
      </c>
      <c r="J30" s="92">
        <v>0.89</v>
      </c>
      <c r="K30" s="106">
        <v>0.86</v>
      </c>
      <c r="L30" s="110">
        <v>0.77</v>
      </c>
    </row>
    <row r="31" spans="2:12" x14ac:dyDescent="0.2">
      <c r="B31" s="89" t="s">
        <v>40</v>
      </c>
      <c r="C31" s="92">
        <v>0.71</v>
      </c>
      <c r="D31" s="92">
        <v>0.71</v>
      </c>
      <c r="E31" s="92">
        <v>0.71</v>
      </c>
      <c r="F31" s="92">
        <v>0.72</v>
      </c>
      <c r="G31" s="92">
        <v>0.7</v>
      </c>
      <c r="H31" s="92">
        <v>0.78</v>
      </c>
      <c r="I31" s="92">
        <v>0.87</v>
      </c>
      <c r="J31" s="92">
        <v>0.83</v>
      </c>
      <c r="K31" s="106">
        <v>0.83</v>
      </c>
      <c r="L31" s="110">
        <v>0.75</v>
      </c>
    </row>
    <row r="32" spans="2:12" x14ac:dyDescent="0.2">
      <c r="B32" s="89" t="s">
        <v>9</v>
      </c>
      <c r="C32" s="92">
        <v>0.83</v>
      </c>
      <c r="D32" s="92">
        <v>0.81</v>
      </c>
      <c r="E32" s="92">
        <v>0.83</v>
      </c>
      <c r="F32" s="92">
        <v>0.83</v>
      </c>
      <c r="G32" s="92">
        <v>0.82</v>
      </c>
      <c r="H32" s="92">
        <v>0.89</v>
      </c>
      <c r="I32" s="92">
        <v>0.9</v>
      </c>
      <c r="J32" s="92">
        <v>0.93</v>
      </c>
      <c r="K32" s="106">
        <v>0.92</v>
      </c>
      <c r="L32" s="110">
        <v>0.88</v>
      </c>
    </row>
    <row r="33" spans="2:12" x14ac:dyDescent="0.2">
      <c r="B33" s="89" t="s">
        <v>10</v>
      </c>
      <c r="C33" s="92">
        <v>0.75</v>
      </c>
      <c r="D33" s="92">
        <v>0.75</v>
      </c>
      <c r="E33" s="92">
        <v>0.79</v>
      </c>
      <c r="F33" s="92">
        <v>0.78</v>
      </c>
      <c r="G33" s="92">
        <v>0.79</v>
      </c>
      <c r="H33" s="92">
        <v>0.87</v>
      </c>
      <c r="I33" s="92">
        <v>0.87</v>
      </c>
      <c r="J33" s="92">
        <v>0.91</v>
      </c>
      <c r="K33" s="106">
        <v>0.91</v>
      </c>
      <c r="L33" s="110">
        <v>0.84</v>
      </c>
    </row>
    <row r="34" spans="2:12" x14ac:dyDescent="0.2">
      <c r="B34" s="91" t="s">
        <v>41</v>
      </c>
      <c r="C34" s="95"/>
      <c r="D34" s="95"/>
      <c r="E34" s="95"/>
      <c r="F34" s="95"/>
      <c r="G34" s="95"/>
      <c r="H34" s="95"/>
      <c r="I34" s="95"/>
      <c r="J34" s="95"/>
      <c r="K34" s="113"/>
      <c r="L34" s="115"/>
    </row>
    <row r="35" spans="2:12" x14ac:dyDescent="0.2">
      <c r="B35" s="89" t="s">
        <v>11</v>
      </c>
      <c r="C35" s="92"/>
      <c r="D35" s="92"/>
      <c r="E35" s="92">
        <v>0.84</v>
      </c>
      <c r="F35" s="92">
        <v>0.74</v>
      </c>
      <c r="G35" s="92">
        <v>0.8</v>
      </c>
      <c r="H35" s="92">
        <v>0.88</v>
      </c>
      <c r="I35" s="92">
        <v>0.92</v>
      </c>
      <c r="J35" s="92">
        <v>0.93</v>
      </c>
      <c r="K35" s="106">
        <v>0.93</v>
      </c>
      <c r="L35" s="110">
        <v>0.89</v>
      </c>
    </row>
    <row r="36" spans="2:12" x14ac:dyDescent="0.2">
      <c r="B36" s="89" t="s">
        <v>90</v>
      </c>
      <c r="C36" s="92">
        <v>0.75</v>
      </c>
      <c r="D36" s="92">
        <v>0.71</v>
      </c>
      <c r="E36" s="92">
        <v>0.76</v>
      </c>
      <c r="F36" s="92">
        <v>0.81</v>
      </c>
      <c r="G36" s="92">
        <v>0.82</v>
      </c>
      <c r="H36" s="92">
        <v>0.91</v>
      </c>
      <c r="I36" s="92">
        <v>0.85</v>
      </c>
      <c r="J36" s="92">
        <v>0.91</v>
      </c>
      <c r="K36" s="106">
        <v>0.73</v>
      </c>
      <c r="L36" s="110">
        <v>0.82</v>
      </c>
    </row>
    <row r="37" spans="2:12" x14ac:dyDescent="0.2">
      <c r="B37" s="89" t="s">
        <v>42</v>
      </c>
      <c r="C37" s="92">
        <v>0.75</v>
      </c>
      <c r="D37" s="92">
        <v>0.69</v>
      </c>
      <c r="E37" s="92">
        <v>0.75</v>
      </c>
      <c r="F37" s="92">
        <v>0.69</v>
      </c>
      <c r="G37" s="92">
        <v>0.74</v>
      </c>
      <c r="H37" s="92">
        <v>0.84</v>
      </c>
      <c r="I37" s="92"/>
      <c r="J37" s="92">
        <v>0.85</v>
      </c>
      <c r="K37" s="106">
        <v>0.78</v>
      </c>
      <c r="L37" s="110">
        <v>0.73</v>
      </c>
    </row>
    <row r="38" spans="2:12" x14ac:dyDescent="0.2">
      <c r="B38" s="89" t="s">
        <v>13</v>
      </c>
      <c r="C38" s="92">
        <v>0.78</v>
      </c>
      <c r="D38" s="92">
        <v>0.77</v>
      </c>
      <c r="E38" s="92">
        <v>0.79</v>
      </c>
      <c r="F38" s="92">
        <v>0.82</v>
      </c>
      <c r="G38" s="92">
        <v>0.81</v>
      </c>
      <c r="H38" s="92">
        <v>0.86</v>
      </c>
      <c r="I38" s="92">
        <v>0.91</v>
      </c>
      <c r="J38" s="92">
        <v>0.9</v>
      </c>
      <c r="K38" s="106">
        <v>0.85</v>
      </c>
      <c r="L38" s="110">
        <v>0.81</v>
      </c>
    </row>
    <row r="39" spans="2:12" x14ac:dyDescent="0.2">
      <c r="B39" s="91" t="s">
        <v>81</v>
      </c>
      <c r="C39" s="95"/>
      <c r="D39" s="95"/>
      <c r="E39" s="95"/>
      <c r="F39" s="95"/>
      <c r="G39" s="95"/>
      <c r="H39" s="95"/>
      <c r="I39" s="95"/>
      <c r="J39" s="95"/>
      <c r="K39" s="113"/>
      <c r="L39" s="115"/>
    </row>
    <row r="40" spans="2:12" x14ac:dyDescent="0.2">
      <c r="B40" s="89" t="s">
        <v>82</v>
      </c>
      <c r="C40" s="92">
        <v>0.76</v>
      </c>
      <c r="D40" s="92">
        <v>0.72</v>
      </c>
      <c r="E40" s="92">
        <v>0.77</v>
      </c>
      <c r="F40" s="92">
        <v>0.78</v>
      </c>
      <c r="G40" s="92">
        <v>0.82</v>
      </c>
      <c r="H40" s="92">
        <v>0.89</v>
      </c>
      <c r="I40" s="92">
        <v>0.93</v>
      </c>
      <c r="J40" s="92">
        <v>0.93</v>
      </c>
      <c r="K40" s="106">
        <v>0.92</v>
      </c>
      <c r="L40" s="110">
        <v>0.86</v>
      </c>
    </row>
    <row r="41" spans="2:12" x14ac:dyDescent="0.2">
      <c r="B41" s="89" t="s">
        <v>83</v>
      </c>
      <c r="C41" s="92">
        <v>0.75</v>
      </c>
      <c r="D41" s="92">
        <v>0.81</v>
      </c>
      <c r="E41" s="92">
        <v>0.74</v>
      </c>
      <c r="F41" s="92">
        <v>0.76</v>
      </c>
      <c r="G41" s="92">
        <v>0.77</v>
      </c>
      <c r="H41" s="92">
        <v>0.84</v>
      </c>
      <c r="I41" s="92">
        <v>0.88</v>
      </c>
      <c r="J41" s="92">
        <v>0.9</v>
      </c>
      <c r="K41" s="106">
        <v>0.9</v>
      </c>
      <c r="L41" s="110">
        <v>0.81</v>
      </c>
    </row>
    <row r="42" spans="2:12" x14ac:dyDescent="0.2">
      <c r="B42" s="91" t="s">
        <v>43</v>
      </c>
      <c r="C42" s="95"/>
      <c r="D42" s="95"/>
      <c r="E42" s="95"/>
      <c r="F42" s="95"/>
      <c r="G42" s="95"/>
      <c r="H42" s="95"/>
      <c r="I42" s="95"/>
      <c r="J42" s="95"/>
      <c r="K42" s="113"/>
      <c r="L42" s="115"/>
    </row>
    <row r="43" spans="2:12" x14ac:dyDescent="0.2">
      <c r="B43" s="89" t="s">
        <v>16</v>
      </c>
      <c r="C43" s="92">
        <v>0.68</v>
      </c>
      <c r="D43" s="92">
        <v>0.63</v>
      </c>
      <c r="E43" s="92">
        <v>0.7</v>
      </c>
      <c r="F43" s="92">
        <v>0.74</v>
      </c>
      <c r="G43" s="92">
        <v>0.8</v>
      </c>
      <c r="H43" s="92">
        <v>0.86</v>
      </c>
      <c r="I43" s="92">
        <v>0.92</v>
      </c>
      <c r="J43" s="92">
        <v>0.9</v>
      </c>
      <c r="K43" s="106">
        <v>0.94</v>
      </c>
      <c r="L43" s="110">
        <v>0.85</v>
      </c>
    </row>
    <row r="44" spans="2:12" x14ac:dyDescent="0.2">
      <c r="B44" s="89" t="s">
        <v>17</v>
      </c>
      <c r="C44" s="92">
        <v>0.94</v>
      </c>
      <c r="D44" s="92">
        <v>0.7</v>
      </c>
      <c r="E44" s="92">
        <v>0.66</v>
      </c>
      <c r="F44" s="92">
        <v>0.65</v>
      </c>
      <c r="G44" s="92">
        <v>0.77</v>
      </c>
      <c r="H44" s="92">
        <v>0.83</v>
      </c>
      <c r="I44" s="92">
        <v>0.85</v>
      </c>
      <c r="J44" s="92">
        <v>0.89</v>
      </c>
      <c r="K44" s="106">
        <v>0.87</v>
      </c>
      <c r="L44" s="110">
        <v>0.83</v>
      </c>
    </row>
    <row r="45" spans="2:12" x14ac:dyDescent="0.2">
      <c r="B45" s="89" t="s">
        <v>18</v>
      </c>
      <c r="C45" s="92">
        <v>0.93</v>
      </c>
      <c r="D45" s="92">
        <v>0.61</v>
      </c>
      <c r="E45" s="92">
        <v>0.77</v>
      </c>
      <c r="F45" s="92">
        <v>0.85</v>
      </c>
      <c r="G45" s="92">
        <v>0.77</v>
      </c>
      <c r="H45" s="92">
        <v>0.8</v>
      </c>
      <c r="I45" s="92">
        <v>0.88</v>
      </c>
      <c r="J45" s="92">
        <v>0.94</v>
      </c>
      <c r="K45" s="106">
        <v>0.91</v>
      </c>
      <c r="L45" s="110">
        <v>0.85</v>
      </c>
    </row>
    <row r="46" spans="2:12" x14ac:dyDescent="0.2">
      <c r="B46" s="89" t="s">
        <v>19</v>
      </c>
      <c r="C46" s="92">
        <v>0.67</v>
      </c>
      <c r="D46" s="92">
        <v>0.62</v>
      </c>
      <c r="E46" s="92">
        <v>0.79</v>
      </c>
      <c r="F46" s="92">
        <v>0.84</v>
      </c>
      <c r="G46" s="92">
        <v>0.86</v>
      </c>
      <c r="H46" s="92">
        <v>0.9</v>
      </c>
      <c r="I46" s="92">
        <v>0.92</v>
      </c>
      <c r="J46" s="92">
        <v>0.95</v>
      </c>
      <c r="K46" s="106">
        <v>0.94</v>
      </c>
      <c r="L46" s="110">
        <v>0.85</v>
      </c>
    </row>
    <row r="47" spans="2:12" x14ac:dyDescent="0.2">
      <c r="B47" s="89" t="s">
        <v>20</v>
      </c>
      <c r="C47" s="92">
        <v>0.6</v>
      </c>
      <c r="D47" s="92">
        <v>0.8</v>
      </c>
      <c r="E47" s="92">
        <v>0.75</v>
      </c>
      <c r="F47" s="92">
        <v>0.73</v>
      </c>
      <c r="G47" s="92">
        <v>0.87</v>
      </c>
      <c r="H47" s="92">
        <v>0.92</v>
      </c>
      <c r="I47" s="92">
        <v>0.89</v>
      </c>
      <c r="J47" s="92">
        <v>0.89</v>
      </c>
      <c r="K47" s="106">
        <v>0.9</v>
      </c>
      <c r="L47" s="110">
        <v>0.82</v>
      </c>
    </row>
    <row r="48" spans="2:12" x14ac:dyDescent="0.2">
      <c r="B48" s="89" t="s">
        <v>21</v>
      </c>
      <c r="C48" s="92">
        <v>0.83</v>
      </c>
      <c r="D48" s="92">
        <v>0.69</v>
      </c>
      <c r="E48" s="92">
        <v>0.75</v>
      </c>
      <c r="F48" s="92">
        <v>0.81</v>
      </c>
      <c r="G48" s="92">
        <v>0.87</v>
      </c>
      <c r="H48" s="92">
        <v>0.94</v>
      </c>
      <c r="I48" s="92">
        <v>0.94</v>
      </c>
      <c r="J48" s="92">
        <v>0.94</v>
      </c>
      <c r="K48" s="106">
        <v>0.94</v>
      </c>
      <c r="L48" s="110">
        <v>0.92</v>
      </c>
    </row>
    <row r="49" spans="1:12" x14ac:dyDescent="0.2">
      <c r="B49" s="89" t="s">
        <v>22</v>
      </c>
      <c r="C49" s="92">
        <v>0.8</v>
      </c>
      <c r="D49" s="92">
        <v>0.75</v>
      </c>
      <c r="E49" s="92">
        <v>0.72</v>
      </c>
      <c r="F49" s="92">
        <v>0.81</v>
      </c>
      <c r="G49" s="92">
        <v>0.83</v>
      </c>
      <c r="H49" s="92">
        <v>0.9</v>
      </c>
      <c r="I49" s="92">
        <v>0.94</v>
      </c>
      <c r="J49" s="92">
        <v>0.92</v>
      </c>
      <c r="K49" s="106">
        <v>0.92</v>
      </c>
      <c r="L49" s="110">
        <v>0.9</v>
      </c>
    </row>
    <row r="50" spans="1:12" x14ac:dyDescent="0.2">
      <c r="B50" s="89" t="s">
        <v>23</v>
      </c>
      <c r="C50" s="92">
        <v>0.78</v>
      </c>
      <c r="D50" s="92">
        <v>0.71</v>
      </c>
      <c r="E50" s="92">
        <v>0.75</v>
      </c>
      <c r="F50" s="92">
        <v>0.78</v>
      </c>
      <c r="G50" s="92">
        <v>0.76</v>
      </c>
      <c r="H50" s="92">
        <v>0.88</v>
      </c>
      <c r="I50" s="92">
        <v>0.82</v>
      </c>
      <c r="J50" s="92">
        <v>0.91</v>
      </c>
      <c r="K50" s="106">
        <v>0.93</v>
      </c>
      <c r="L50" s="110">
        <v>0.84</v>
      </c>
    </row>
    <row r="51" spans="1:12" x14ac:dyDescent="0.2">
      <c r="B51" s="89" t="s">
        <v>24</v>
      </c>
      <c r="C51" s="92">
        <v>0.76</v>
      </c>
      <c r="D51" s="92">
        <v>0.72</v>
      </c>
      <c r="E51" s="92">
        <v>0.78</v>
      </c>
      <c r="F51" s="92">
        <v>0.74</v>
      </c>
      <c r="G51" s="92">
        <v>0.78</v>
      </c>
      <c r="H51" s="92">
        <v>0.87</v>
      </c>
      <c r="I51" s="92">
        <v>0.87</v>
      </c>
      <c r="J51" s="92">
        <v>0.92</v>
      </c>
      <c r="K51" s="106">
        <v>0.9</v>
      </c>
      <c r="L51" s="110">
        <v>0.82</v>
      </c>
    </row>
    <row r="52" spans="1:12" x14ac:dyDescent="0.2">
      <c r="B52" s="89" t="s">
        <v>25</v>
      </c>
      <c r="C52" s="92">
        <v>0.74</v>
      </c>
      <c r="D52" s="92">
        <v>0.78</v>
      </c>
      <c r="E52" s="92">
        <v>0.74</v>
      </c>
      <c r="F52" s="92">
        <v>0.75</v>
      </c>
      <c r="G52" s="92">
        <v>0.83</v>
      </c>
      <c r="H52" s="92">
        <v>0.89</v>
      </c>
      <c r="I52" s="92">
        <v>0.93</v>
      </c>
      <c r="J52" s="92">
        <v>0.93</v>
      </c>
      <c r="K52" s="106">
        <v>0.88</v>
      </c>
      <c r="L52" s="110">
        <v>0.86</v>
      </c>
    </row>
    <row r="53" spans="1:12" x14ac:dyDescent="0.2">
      <c r="B53" s="89" t="s">
        <v>26</v>
      </c>
      <c r="C53" s="92">
        <v>0.76</v>
      </c>
      <c r="D53" s="92">
        <v>0.73</v>
      </c>
      <c r="E53" s="92">
        <v>0.79</v>
      </c>
      <c r="F53" s="92">
        <v>0.83</v>
      </c>
      <c r="G53" s="92">
        <v>0.91</v>
      </c>
      <c r="H53" s="92">
        <v>0.87</v>
      </c>
      <c r="I53" s="92">
        <v>1</v>
      </c>
      <c r="J53" s="92">
        <v>1</v>
      </c>
      <c r="K53" s="106">
        <v>1</v>
      </c>
      <c r="L53" s="110">
        <v>0.81</v>
      </c>
    </row>
    <row r="54" spans="1:12" x14ac:dyDescent="0.2">
      <c r="B54" s="89" t="s">
        <v>27</v>
      </c>
      <c r="C54" s="92">
        <v>0.77</v>
      </c>
      <c r="D54" s="92">
        <v>0.77</v>
      </c>
      <c r="E54" s="92">
        <v>0.75</v>
      </c>
      <c r="F54" s="92">
        <v>0.79</v>
      </c>
      <c r="G54" s="92">
        <v>0.7</v>
      </c>
      <c r="H54" s="92">
        <v>0.87</v>
      </c>
      <c r="I54" s="92">
        <v>0.87</v>
      </c>
      <c r="J54" s="92">
        <v>0.88</v>
      </c>
      <c r="K54" s="106">
        <v>0.91</v>
      </c>
      <c r="L54" s="110">
        <v>0.78</v>
      </c>
    </row>
    <row r="55" spans="1:12" x14ac:dyDescent="0.2">
      <c r="B55" s="52"/>
      <c r="C55" s="52"/>
      <c r="D55" s="52"/>
      <c r="E55" s="52"/>
      <c r="F55" s="52"/>
      <c r="G55" s="52"/>
      <c r="H55" s="52"/>
      <c r="I55" s="52"/>
      <c r="J55" s="52"/>
      <c r="K55" s="68"/>
      <c r="L55" s="116"/>
    </row>
    <row r="56" spans="1:12" x14ac:dyDescent="0.2">
      <c r="B56" s="60" t="s">
        <v>84</v>
      </c>
    </row>
    <row r="57" spans="1:12" x14ac:dyDescent="0.2">
      <c r="A57" s="69">
        <v>1</v>
      </c>
      <c r="B57" s="60" t="s">
        <v>85</v>
      </c>
    </row>
    <row r="58" spans="1:12" x14ac:dyDescent="0.2">
      <c r="A58" s="69">
        <v>2</v>
      </c>
      <c r="B58" s="60" t="s">
        <v>86</v>
      </c>
    </row>
    <row r="59" spans="1:12" x14ac:dyDescent="0.2">
      <c r="A59" s="69">
        <v>3</v>
      </c>
      <c r="B59" s="30" t="s">
        <v>87</v>
      </c>
    </row>
    <row r="60" spans="1:12" x14ac:dyDescent="0.2">
      <c r="A60" s="69">
        <v>4</v>
      </c>
      <c r="B60" s="1" t="s">
        <v>48</v>
      </c>
    </row>
    <row r="61" spans="1:12" x14ac:dyDescent="0.2">
      <c r="A61" s="69">
        <v>5</v>
      </c>
      <c r="B61" s="118" t="s">
        <v>100</v>
      </c>
    </row>
    <row r="62" spans="1:12" x14ac:dyDescent="0.2">
      <c r="A62" s="69">
        <v>6</v>
      </c>
      <c r="B62" s="60" t="s">
        <v>88</v>
      </c>
    </row>
    <row r="69" spans="3:12" s="60" customFormat="1" x14ac:dyDescent="0.2">
      <c r="C69" s="62"/>
      <c r="D69" s="62"/>
      <c r="E69" s="62"/>
      <c r="F69" s="62"/>
      <c r="G69" s="62"/>
      <c r="H69" s="62"/>
      <c r="I69" s="62"/>
      <c r="J69" s="62"/>
      <c r="K69" s="62"/>
      <c r="L69" s="62"/>
    </row>
  </sheetData>
  <mergeCells count="1">
    <mergeCell ref="B17:L17"/>
  </mergeCells>
  <pageMargins left="0.75" right="0.75" top="0.5" bottom="0.5" header="0.5" footer="0.5"/>
  <pageSetup paperSize="9"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Index</vt:lpstr>
      <vt:lpstr>Technical notes</vt:lpstr>
      <vt:lpstr>LNR.1</vt:lpstr>
      <vt:lpstr>LNR.2</vt:lpstr>
      <vt:lpstr>LNR.3</vt:lpstr>
      <vt:lpstr>LNR.4</vt:lpstr>
    </vt:vector>
  </TitlesOfParts>
  <Company>Ministry of Education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Ajay Karthiek Malempati</dc:creator>
  <cp:lastModifiedBy>Preethi Jose</cp:lastModifiedBy>
  <dcterms:created xsi:type="dcterms:W3CDTF">2020-06-08T00:30:44Z</dcterms:created>
  <dcterms:modified xsi:type="dcterms:W3CDTF">2025-08-14T21:12:56Z</dcterms:modified>
</cp:coreProperties>
</file>