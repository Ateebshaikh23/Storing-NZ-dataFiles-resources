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Z:\TSPA\Analysis &amp; Reports\Outcomes\2020 Education and earnings\"/>
    </mc:Choice>
  </mc:AlternateContent>
  <bookViews>
    <workbookView xWindow="0" yWindow="0" windowWidth="24780" windowHeight="9480" tabRatio="791"/>
  </bookViews>
  <sheets>
    <sheet name="Index" sheetId="67" r:id="rId1"/>
    <sheet name="IDI Disclaimer" sheetId="7" r:id="rId2"/>
    <sheet name="SLE.1" sheetId="72" r:id="rId3"/>
    <sheet name="SLE.2" sheetId="81" r:id="rId4"/>
    <sheet name="SLE.3" sheetId="83" r:id="rId5"/>
    <sheet name="SLE.4" sheetId="85" r:id="rId6"/>
    <sheet name="SLE.5" sheetId="86" r:id="rId7"/>
  </sheets>
  <definedNames>
    <definedName name="_xlnm._FilterDatabase" localSheetId="2" hidden="1">SLE.1!#REF!</definedName>
    <definedName name="_xlnm._FilterDatabase" localSheetId="3" hidden="1">SLE.2!#REF!</definedName>
    <definedName name="_xlnm._FilterDatabase" localSheetId="4" hidden="1">SLE.3!#REF!</definedName>
    <definedName name="_xlnm._FilterDatabase" localSheetId="5" hidden="1">SLE.4!#REF!</definedName>
    <definedName name="_xlnm._FilterDatabase" localSheetId="6" hidden="1">SLE.5!#REF!</definedName>
  </definedNames>
  <calcPr calcId="152511"/>
</workbook>
</file>

<file path=xl/calcChain.xml><?xml version="1.0" encoding="utf-8"?>
<calcChain xmlns="http://schemas.openxmlformats.org/spreadsheetml/2006/main">
  <c r="B8" i="67" l="1"/>
  <c r="B7" i="67"/>
  <c r="B6" i="67"/>
  <c r="B5" i="67"/>
  <c r="B4" i="67"/>
</calcChain>
</file>

<file path=xl/sharedStrings.xml><?xml version="1.0" encoding="utf-8"?>
<sst xmlns="http://schemas.openxmlformats.org/spreadsheetml/2006/main" count="190" uniqueCount="71">
  <si>
    <t>IDI Disclaimer.</t>
  </si>
  <si>
    <t>IDI Disclaimer</t>
  </si>
  <si>
    <t>Back to Index</t>
  </si>
  <si>
    <t>Highest level of qualification</t>
  </si>
  <si>
    <t>Proportion of leavers by their highest attainment nine years later</t>
  </si>
  <si>
    <t>Annual earnings per leaver nine years after leaving school</t>
  </si>
  <si>
    <t>Earnings relative to those with no qualification</t>
  </si>
  <si>
    <t>Earnings relative to those with Level 2 school as their highest qualification</t>
  </si>
  <si>
    <t>Earnings relative to those with a degree or higher</t>
  </si>
  <si>
    <t>No qualification</t>
  </si>
  <si>
    <t>Level 1 school</t>
  </si>
  <si>
    <t>Level 2 school</t>
  </si>
  <si>
    <t>Level 3 school (No UE)</t>
  </si>
  <si>
    <t>University Entrance (UE)</t>
  </si>
  <si>
    <t>Diploma</t>
  </si>
  <si>
    <t>Degree or higher</t>
  </si>
  <si>
    <t xml:space="preserve">Includes qualifications gained in New Zealand either in the workplace, or at tertiary education providers. </t>
  </si>
  <si>
    <t xml:space="preserve">Ministry of Education analysis of Statistics New Zealand Integrated Data Infrastructure (IDI) data. </t>
  </si>
  <si>
    <t>Level 3 post-school certificate</t>
  </si>
  <si>
    <t>Level 4 post-school certificate</t>
  </si>
  <si>
    <t>Cumulative earnings per leaver nine years after leaving school</t>
  </si>
  <si>
    <t>Percent who are employed</t>
  </si>
  <si>
    <t>Cumulative earnings: employed and non-employed</t>
  </si>
  <si>
    <t>Cumulative earnings: employed only</t>
  </si>
  <si>
    <t>Annual earnings: 
employed only</t>
  </si>
  <si>
    <t>Annual earnings: 
employed and non-employed</t>
  </si>
  <si>
    <t xml:space="preserve">A person is counted as being employed if they received taxable income from employment, including self-employment, and if that was their predominant activity during the year. </t>
  </si>
  <si>
    <t xml:space="preserve">‘Non-employed’ is anyone who is not employed, including those not in the labour force. </t>
  </si>
  <si>
    <t>Average earnings  = total earnings / total number of leavers, rather than median earnings.</t>
  </si>
  <si>
    <t>Highest  school qualification</t>
  </si>
  <si>
    <t>Highest tertiary qualification</t>
  </si>
  <si>
    <t>None</t>
  </si>
  <si>
    <t>Level 1-2 certificate</t>
  </si>
  <si>
    <t>Level 3 certificate</t>
  </si>
  <si>
    <t>Level 4 certificate</t>
  </si>
  <si>
    <t>Level 5-7 Diploma</t>
  </si>
  <si>
    <t>Average cumulative earnings after nine years</t>
  </si>
  <si>
    <t>Cumulative earnings relative to someone with the same school qualification and no tertiary qualification</t>
  </si>
  <si>
    <t>Average annual earnings after nine years</t>
  </si>
  <si>
    <t>Annual earnings relative to someone with the same school qualification and no tertiary qualification</t>
  </si>
  <si>
    <t>Average annual earnings</t>
  </si>
  <si>
    <t>After 1 year</t>
  </si>
  <si>
    <t>After 2 years</t>
  </si>
  <si>
    <t>After 3 years</t>
  </si>
  <si>
    <t>After 4 years</t>
  </si>
  <si>
    <t>After 5 years</t>
  </si>
  <si>
    <t>After 6 years</t>
  </si>
  <si>
    <t>After 7 years</t>
  </si>
  <si>
    <t>After 8 years</t>
  </si>
  <si>
    <t>After 9 years</t>
  </si>
  <si>
    <t>School leaving year</t>
  </si>
  <si>
    <t>Average cumulative earnings</t>
  </si>
  <si>
    <t xml:space="preserve">Annual earnings relate to the taxable earnings in 2018 of people who left school in 2009 and who were living in New Zealand in 2018, whether working or not. </t>
  </si>
  <si>
    <t>Relative earnings are the earnings of people with a particular qualification divided by the earnings of people with the given reference qualification.</t>
  </si>
  <si>
    <t>All earnings are in nominal dollars, i.e. they have not been adjusted for inflation.</t>
  </si>
  <si>
    <t>School qualifications include NCEA as well as any equivalent-level non-NCEA attainment.</t>
  </si>
  <si>
    <t xml:space="preserve">Annual earnings relate to all taxable earnings for the specified year for people who left school in 2009 and who were living in New Zealand that year, whether working or not. </t>
  </si>
  <si>
    <t>Cumulative earnings relate to all taxable earnings received between 2010 and the specified year for people who left school in 2009 and who were living in New Zealand that year, whether working or not.</t>
  </si>
  <si>
    <t>Cumulative earnings relate to all taxable earnings received between 2010 and 2018 for people who left school in 2009 and who were living in New Zealand in 2018, whether working or not.</t>
  </si>
  <si>
    <t>SLE.1</t>
  </si>
  <si>
    <t>SLE.2</t>
  </si>
  <si>
    <t>SLE.3</t>
  </si>
  <si>
    <t>SLE.4</t>
  </si>
  <si>
    <t>SLE.5</t>
  </si>
  <si>
    <t>Earnings of school leavers: Index</t>
  </si>
  <si>
    <t>Annual and cumulative earnings of those who left school in 2009 by their highest level of qualification nine years later</t>
  </si>
  <si>
    <t>Annual and cumulative earnings of those who left school in 2009 by both highest school attainment and highest tertiary attainment</t>
  </si>
  <si>
    <t>Annual and cumulative earnings by year after leaving school for 2009 to 2017 school leavers</t>
  </si>
  <si>
    <t>Annual and cumulative earnings of those who left school in 2009 by their highest level of qualification nine years later: Employed and non-employed versus employed only</t>
  </si>
  <si>
    <t>Level 1-2 post-school certificate</t>
  </si>
  <si>
    <t>Annual and cumulative earnings of those who left school in 2009 by highest level of qualification nine years later and by year after leaving school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</si>
</sst>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
  </numFmts>
  <fonts count="7">
    <font>
      <sz val="11"/>
      <color theme="1"/>
      <name val="Calibri"/>
      <family val="2"/>
      <scheme val="minor"/>
    </font>
    <font>
      <b/>
      <sz val="11"/>
      <color theme="1"/>
      <name val="Calibri"/>
      <family val="2"/>
      <scheme val="minor"/>
    </font>
    <font>
      <b/>
      <sz val="14"/>
      <color theme="1"/>
      <name val="Calibri"/>
      <family val="2"/>
      <scheme val="minor"/>
    </font>
    <font>
      <sz val="10"/>
      <color theme="1"/>
      <name val="Arial Mäori"/>
      <family val="2"/>
    </font>
    <font>
      <u/>
      <sz val="11"/>
      <color theme="10"/>
      <name val="Calibri"/>
      <family val="2"/>
    </font>
    <font>
      <sz val="11"/>
      <color theme="1"/>
      <name val="Calibri"/>
      <family val="2"/>
      <scheme val="minor"/>
    </font>
    <font>
      <sz val="10"/>
      <color theme="1"/>
      <name val="Calibri"/>
      <family val="2"/>
      <scheme val="minor"/>
    </font>
  </fonts>
  <fills count="2">
    <fill>
      <patternFill patternType="none"/>
    </fill>
    <fill>
      <patternFill patternType="gray125"/>
    </fill>
  </fills>
  <borders count="1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1">
    <xf numFmtId="0" fontId="0" fillId="0" borderId="0"/>
    <xf numFmtId="0" fontId="3" fillId="0" borderId="0"/>
    <xf numFmtId="0" fontId="4" fillId="0" borderId="0" applyNumberFormat="0" applyFill="0" applyBorder="0" applyAlignment="0" applyProtection="0">
      <alignment vertical="top"/>
      <protection locked="0"/>
    </xf>
    <xf numFmtId="0" fontId="3" fillId="0" borderId="0"/>
    <xf numFmtId="0" fontId="5" fillId="0" borderId="0"/>
    <xf numFmtId="0" fontId="5" fillId="0" borderId="0"/>
    <xf numFmtId="0" fontId="5" fillId="0" borderId="0"/>
    <xf numFmtId="0" fontId="5" fillId="0" borderId="0"/>
    <xf numFmtId="0" fontId="3" fillId="0" borderId="0"/>
    <xf numFmtId="0" fontId="5" fillId="0" borderId="0"/>
    <xf numFmtId="9" fontId="5" fillId="0" borderId="0" applyFont="0" applyFill="0" applyBorder="0" applyAlignment="0" applyProtection="0"/>
  </cellStyleXfs>
  <cellXfs count="60">
    <xf numFmtId="0" fontId="0" fillId="0" borderId="0" xfId="0"/>
    <xf numFmtId="0" fontId="0" fillId="0" borderId="0" xfId="0"/>
    <xf numFmtId="0" fontId="0" fillId="0" borderId="0" xfId="0" applyAlignment="1">
      <alignment horizontal="center"/>
    </xf>
    <xf numFmtId="0" fontId="2" fillId="0" borderId="0" xfId="0" applyFont="1" applyAlignment="1">
      <alignment horizontal="left"/>
    </xf>
    <xf numFmtId="0" fontId="0" fillId="0" borderId="0" xfId="0" applyAlignment="1">
      <alignment wrapText="1"/>
    </xf>
    <xf numFmtId="9" fontId="0" fillId="0" borderId="0" xfId="0" applyNumberFormat="1"/>
    <xf numFmtId="0" fontId="2" fillId="0" borderId="0" xfId="0" applyFont="1"/>
    <xf numFmtId="0" fontId="4" fillId="0" borderId="0" xfId="2" applyAlignment="1" applyProtection="1"/>
    <xf numFmtId="0" fontId="0" fillId="0" borderId="0" xfId="0" applyFont="1" applyAlignment="1">
      <alignment horizontal="left"/>
    </xf>
    <xf numFmtId="49" fontId="6" fillId="0" borderId="0" xfId="1" applyNumberFormat="1" applyFont="1"/>
    <xf numFmtId="0" fontId="1" fillId="0" borderId="1" xfId="0" applyFont="1" applyBorder="1" applyAlignment="1">
      <alignment horizontal="center" vertical="center" wrapText="1"/>
    </xf>
    <xf numFmtId="9" fontId="1" fillId="0" borderId="1" xfId="0" applyNumberFormat="1" applyFont="1" applyBorder="1" applyAlignment="1">
      <alignment horizontal="center" vertical="center" wrapText="1"/>
    </xf>
    <xf numFmtId="9" fontId="0" fillId="0" borderId="0" xfId="0" applyNumberFormat="1" applyFont="1"/>
    <xf numFmtId="0" fontId="4" fillId="0" borderId="0" xfId="2" quotePrefix="1" applyAlignment="1" applyProtection="1"/>
    <xf numFmtId="0" fontId="4" fillId="0" borderId="0" xfId="2" applyAlignment="1" applyProtection="1">
      <alignment horizontal="left"/>
    </xf>
    <xf numFmtId="9" fontId="1" fillId="0" borderId="5" xfId="0" applyNumberFormat="1" applyFont="1" applyBorder="1" applyAlignment="1">
      <alignment horizontal="center" vertical="center" wrapText="1"/>
    </xf>
    <xf numFmtId="49" fontId="0" fillId="0" borderId="10" xfId="0" applyNumberFormat="1" applyFont="1" applyBorder="1"/>
    <xf numFmtId="9" fontId="0" fillId="0" borderId="10" xfId="10" applyFont="1" applyBorder="1" applyAlignment="1">
      <alignment horizontal="center"/>
    </xf>
    <xf numFmtId="49" fontId="0" fillId="0" borderId="11" xfId="0" applyNumberFormat="1" applyFont="1" applyBorder="1"/>
    <xf numFmtId="9" fontId="0" fillId="0" borderId="11" xfId="10" applyFont="1" applyBorder="1" applyAlignment="1">
      <alignment horizontal="center"/>
    </xf>
    <xf numFmtId="49" fontId="0" fillId="0" borderId="6" xfId="0" applyNumberFormat="1" applyFont="1" applyBorder="1"/>
    <xf numFmtId="9" fontId="0" fillId="0" borderId="6" xfId="10" applyFont="1" applyBorder="1" applyAlignment="1">
      <alignment horizontal="center"/>
    </xf>
    <xf numFmtId="2" fontId="0" fillId="0" borderId="10" xfId="0" applyNumberFormat="1" applyFont="1" applyBorder="1" applyAlignment="1">
      <alignment horizontal="center"/>
    </xf>
    <xf numFmtId="2" fontId="0" fillId="0" borderId="11" xfId="0" applyNumberFormat="1" applyFont="1" applyBorder="1" applyAlignment="1">
      <alignment horizontal="center"/>
    </xf>
    <xf numFmtId="2" fontId="0" fillId="0" borderId="6" xfId="0" applyNumberFormat="1" applyFont="1" applyBorder="1" applyAlignment="1">
      <alignment horizontal="center"/>
    </xf>
    <xf numFmtId="0" fontId="6" fillId="0" borderId="0" xfId="0" applyFont="1" applyAlignment="1"/>
    <xf numFmtId="164" fontId="0" fillId="0" borderId="10" xfId="0" applyNumberFormat="1" applyFont="1" applyBorder="1" applyAlignment="1">
      <alignment horizontal="center"/>
    </xf>
    <xf numFmtId="164" fontId="0" fillId="0" borderId="11" xfId="0" applyNumberFormat="1" applyFont="1" applyBorder="1" applyAlignment="1">
      <alignment horizontal="center"/>
    </xf>
    <xf numFmtId="164" fontId="0" fillId="0" borderId="6" xfId="0" applyNumberFormat="1" applyFont="1" applyBorder="1" applyAlignment="1">
      <alignment horizontal="center"/>
    </xf>
    <xf numFmtId="0" fontId="1" fillId="0" borderId="1" xfId="0" applyFont="1" applyBorder="1" applyAlignment="1">
      <alignment horizontal="left" vertical="center" wrapText="1"/>
    </xf>
    <xf numFmtId="2" fontId="0" fillId="0" borderId="0" xfId="0" applyNumberFormat="1" applyFont="1" applyBorder="1" applyAlignment="1">
      <alignment horizontal="center"/>
    </xf>
    <xf numFmtId="49" fontId="0" fillId="0" borderId="0" xfId="0" applyNumberFormat="1" applyFont="1" applyBorder="1"/>
    <xf numFmtId="9" fontId="0" fillId="0" borderId="0" xfId="10" applyFont="1" applyBorder="1" applyAlignment="1">
      <alignment horizontal="center"/>
    </xf>
    <xf numFmtId="164" fontId="0" fillId="0" borderId="0" xfId="0" applyNumberFormat="1" applyFont="1" applyBorder="1" applyAlignment="1">
      <alignment horizontal="center"/>
    </xf>
    <xf numFmtId="1" fontId="1" fillId="0" borderId="1" xfId="0" applyNumberFormat="1" applyFont="1" applyBorder="1" applyAlignment="1">
      <alignment horizontal="center" vertical="center" wrapText="1"/>
    </xf>
    <xf numFmtId="1" fontId="1" fillId="0" borderId="5" xfId="0" applyNumberFormat="1" applyFont="1" applyBorder="1" applyAlignment="1">
      <alignment horizontal="center" vertical="center" wrapText="1"/>
    </xf>
    <xf numFmtId="9" fontId="0" fillId="0" borderId="0" xfId="0" applyNumberFormat="1" applyAlignment="1">
      <alignment horizontal="right" indent="2"/>
    </xf>
    <xf numFmtId="9" fontId="0" fillId="0" borderId="0" xfId="10" applyFont="1" applyBorder="1" applyAlignment="1">
      <alignment horizontal="right" indent="2"/>
    </xf>
    <xf numFmtId="164" fontId="0" fillId="0" borderId="0" xfId="0" applyNumberFormat="1" applyFont="1" applyBorder="1" applyAlignment="1">
      <alignment horizontal="right" indent="2"/>
    </xf>
    <xf numFmtId="164" fontId="0" fillId="0" borderId="8" xfId="0" applyNumberFormat="1" applyFont="1" applyBorder="1" applyAlignment="1">
      <alignment horizontal="center"/>
    </xf>
    <xf numFmtId="164" fontId="0" fillId="0" borderId="9" xfId="0" applyNumberFormat="1" applyFont="1" applyBorder="1" applyAlignment="1">
      <alignment horizontal="center"/>
    </xf>
    <xf numFmtId="164" fontId="0" fillId="0" borderId="4" xfId="0" applyNumberFormat="1" applyFont="1" applyBorder="1" applyAlignment="1">
      <alignment horizontal="center"/>
    </xf>
    <xf numFmtId="164" fontId="0" fillId="0" borderId="10" xfId="0" applyNumberFormat="1" applyFont="1" applyBorder="1" applyAlignment="1">
      <alignment horizontal="right" indent="1"/>
    </xf>
    <xf numFmtId="164" fontId="0" fillId="0" borderId="11" xfId="0" applyNumberFormat="1" applyFont="1" applyBorder="1" applyAlignment="1">
      <alignment horizontal="right" indent="1"/>
    </xf>
    <xf numFmtId="164" fontId="0" fillId="0" borderId="6" xfId="0" applyNumberFormat="1" applyFont="1" applyBorder="1" applyAlignment="1">
      <alignment horizontal="right" indent="1"/>
    </xf>
    <xf numFmtId="0" fontId="4" fillId="0" borderId="7" xfId="2" applyBorder="1" applyAlignment="1" applyProtection="1">
      <alignment horizontal="left"/>
    </xf>
    <xf numFmtId="0" fontId="0" fillId="0" borderId="0" xfId="0"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9" fontId="1" fillId="0" borderId="1" xfId="0" applyNumberFormat="1" applyFont="1" applyBorder="1" applyAlignment="1">
      <alignment horizontal="center" vertical="center" wrapText="1"/>
    </xf>
    <xf numFmtId="9" fontId="1" fillId="0" borderId="2" xfId="0" applyNumberFormat="1" applyFont="1" applyBorder="1" applyAlignment="1">
      <alignment horizontal="center" vertical="center" wrapText="1"/>
    </xf>
    <xf numFmtId="9" fontId="1" fillId="0" borderId="3" xfId="0" applyNumberFormat="1" applyFont="1" applyBorder="1" applyAlignment="1">
      <alignment horizontal="center" vertical="center" wrapText="1"/>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6" xfId="0" applyFont="1" applyBorder="1" applyAlignment="1">
      <alignment horizontal="left" vertical="center" wrapText="1"/>
    </xf>
    <xf numFmtId="9" fontId="1" fillId="0" borderId="1" xfId="0" applyNumberFormat="1" applyFont="1" applyBorder="1" applyAlignment="1">
      <alignment horizontal="center" vertical="center"/>
    </xf>
    <xf numFmtId="9" fontId="1" fillId="0" borderId="2" xfId="0" applyNumberFormat="1" applyFont="1" applyBorder="1" applyAlignment="1">
      <alignment horizontal="center" vertical="center"/>
    </xf>
    <xf numFmtId="9" fontId="1" fillId="0" borderId="3" xfId="0" applyNumberFormat="1" applyFont="1" applyBorder="1" applyAlignment="1">
      <alignment horizontal="center" vertical="center"/>
    </xf>
  </cellXfs>
  <cellStyles count="11">
    <cellStyle name="Hyperlink" xfId="2" builtinId="8"/>
    <cellStyle name="Normal" xfId="0" builtinId="0"/>
    <cellStyle name="Normal 2" xfId="1"/>
    <cellStyle name="Normal 2 2" xfId="4"/>
    <cellStyle name="Normal 3" xfId="3"/>
    <cellStyle name="Normal 3 2" xfId="5"/>
    <cellStyle name="Normal 4" xfId="6"/>
    <cellStyle name="Normal 4 2" xfId="7"/>
    <cellStyle name="Normal 5" xfId="8"/>
    <cellStyle name="Normal 6" xfId="9"/>
    <cellStyle name="Percent" xfId="10" builtinId="5"/>
  </cellStyles>
  <dxfs count="19">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15875</xdr:rowOff>
    </xdr:from>
    <xdr:to>
      <xdr:col>0</xdr:col>
      <xdr:colOff>7630583</xdr:colOff>
      <xdr:row>13</xdr:row>
      <xdr:rowOff>10583</xdr:rowOff>
    </xdr:to>
    <xdr:sp macro="" textlink="">
      <xdr:nvSpPr>
        <xdr:cNvPr id="2" name="TextBox 1"/>
        <xdr:cNvSpPr txBox="1"/>
      </xdr:nvSpPr>
      <xdr:spPr>
        <a:xfrm>
          <a:off x="0" y="291042"/>
          <a:ext cx="7630583" cy="26722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a:solidFill>
                <a:schemeClr val="dk1"/>
              </a:solidFill>
              <a:effectLst/>
              <a:latin typeface="+mn-lt"/>
              <a:ea typeface="+mn-ea"/>
              <a:cs typeface="+mn-cs"/>
            </a:rPr>
            <a:t>The results in these tables are not official statistics. They have been created for research purposes from the Integrated Data Infrastructure (IDI), managed by Statistics New Zealand.</a:t>
          </a:r>
        </a:p>
        <a:p>
          <a:endParaRPr lang="en-NZ">
            <a:effectLst/>
          </a:endParaRPr>
        </a:p>
        <a:p>
          <a:r>
            <a:rPr lang="en-NZ" sz="1100">
              <a:solidFill>
                <a:schemeClr val="dk1"/>
              </a:solidFill>
              <a:effectLst/>
              <a:latin typeface="+mn-lt"/>
              <a:ea typeface="+mn-ea"/>
              <a:cs typeface="+mn-cs"/>
            </a:rPr>
            <a:t>The opinions, findings, recommendations, and conclusions expressed in this [report, paper etc.] are those of the author(s), not Statistics NZ.</a:t>
          </a:r>
        </a:p>
        <a:p>
          <a:endParaRPr lang="en-NZ">
            <a:effectLst/>
          </a:endParaRPr>
        </a:p>
        <a:p>
          <a:r>
            <a:rPr lang="en-NZ" sz="1100">
              <a:solidFill>
                <a:schemeClr val="dk1"/>
              </a:solidFill>
              <a:effectLst/>
              <a:latin typeface="+mn-lt"/>
              <a:ea typeface="+mn-ea"/>
              <a:cs typeface="+mn-cs"/>
            </a:rPr>
            <a:t>Access to the anonymised data used in this study was provided by Statistics NZ under the security and confidentiality provisions of the Statistics Act 1975. Only people authorised by the Statistics Act 1975 are allowed to see data about a particular person, household, business, or organisation, and the results in this [report, paper] have been confidentialised to protect these groups from identification and to keep their data safe.</a:t>
          </a:r>
        </a:p>
        <a:p>
          <a:endParaRPr lang="en-NZ">
            <a:effectLst/>
          </a:endParaRPr>
        </a:p>
        <a:p>
          <a:r>
            <a:rPr lang="en-NZ" sz="1100">
              <a:solidFill>
                <a:schemeClr val="dk1"/>
              </a:solidFill>
              <a:effectLst/>
              <a:latin typeface="+mn-lt"/>
              <a:ea typeface="+mn-ea"/>
              <a:cs typeface="+mn-cs"/>
            </a:rPr>
            <a:t>Careful consideration has been given to privacy, security, and confidentiality issues associated with using administrative and survey data in the IDI. Further detail can be found in the Privacy assessment for the Integrated Data Infrastructure available from www.stats.govt.nz.  </a:t>
          </a:r>
          <a:endParaRPr lang="en-NZ">
            <a:effectLst/>
          </a:endParaRPr>
        </a:p>
        <a:p>
          <a:endParaRPr lang="en-NZ"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A1:B8"/>
  <sheetViews>
    <sheetView tabSelected="1" zoomScale="80" zoomScaleNormal="80" workbookViewId="0">
      <pane ySplit="1" topLeftCell="A2" activePane="bottomLeft" state="frozen"/>
      <selection pane="bottomLeft"/>
    </sheetView>
  </sheetViews>
  <sheetFormatPr defaultRowHeight="15"/>
  <cols>
    <col min="1" max="1" width="13.85546875" customWidth="1"/>
    <col min="2" max="2" width="182.28515625" bestFit="1" customWidth="1"/>
  </cols>
  <sheetData>
    <row r="1" spans="1:2" ht="18.75">
      <c r="A1" s="6" t="s">
        <v>64</v>
      </c>
    </row>
    <row r="3" spans="1:2">
      <c r="A3" s="7" t="s">
        <v>1</v>
      </c>
    </row>
    <row r="4" spans="1:2" s="1" customFormat="1">
      <c r="A4" s="13" t="s">
        <v>59</v>
      </c>
      <c r="B4" s="8" t="str">
        <f>SLE.1!A1</f>
        <v>Annual and cumulative earnings of those who left school in 2009 by their highest level of qualification nine years later</v>
      </c>
    </row>
    <row r="5" spans="1:2">
      <c r="A5" s="13" t="s">
        <v>60</v>
      </c>
      <c r="B5" s="8" t="str">
        <f>SLE.2!A1</f>
        <v>Annual and cumulative earnings of those who left school in 2009 by their highest level of qualification nine years later: Employed and non-employed versus employed only</v>
      </c>
    </row>
    <row r="6" spans="1:2">
      <c r="A6" s="13" t="s">
        <v>61</v>
      </c>
      <c r="B6" s="8" t="str">
        <f>SLE.3!A1</f>
        <v>Annual and cumulative earnings of those who left school in 2009 by both highest school attainment and highest tertiary attainment</v>
      </c>
    </row>
    <row r="7" spans="1:2">
      <c r="A7" s="13" t="s">
        <v>62</v>
      </c>
      <c r="B7" s="8" t="str">
        <f>SLE.4!A1</f>
        <v>Annual and cumulative earnings of those who left school in 2009 by highest level of qualification nine years later and by year after leaving school</v>
      </c>
    </row>
    <row r="8" spans="1:2">
      <c r="A8" s="13" t="s">
        <v>63</v>
      </c>
      <c r="B8" s="8" t="str">
        <f>SLE.5!A1</f>
        <v>Annual and cumulative earnings by year after leaving school for 2009 to 2017 school leavers</v>
      </c>
    </row>
  </sheetData>
  <hyperlinks>
    <hyperlink ref="A3" location="'IDI Disclaimer'!A1" display="IDI Disclaimer"/>
    <hyperlink ref="A5" location="SLE.2!A1" display="SLE.2"/>
    <hyperlink ref="A4" location="SLE.1!A1" display="SLE.1"/>
    <hyperlink ref="A6" location="SLE.3!A1" display="SLE.3"/>
    <hyperlink ref="A7" location="SLE.4!A1" display="SLE.4"/>
    <hyperlink ref="A8" location="SLE.5!A1" display="SLE.5"/>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A1:A12"/>
  <sheetViews>
    <sheetView zoomScale="90" zoomScaleNormal="90" workbookViewId="0">
      <pane ySplit="1" topLeftCell="A2" activePane="bottomLeft" state="frozen"/>
      <selection pane="bottomLeft"/>
    </sheetView>
  </sheetViews>
  <sheetFormatPr defaultRowHeight="15"/>
  <cols>
    <col min="1" max="1" width="114.5703125" style="1" customWidth="1"/>
    <col min="2" max="16384" width="9.140625" style="1"/>
  </cols>
  <sheetData>
    <row r="1" spans="1:1" ht="21.75" customHeight="1">
      <c r="A1" s="3" t="s">
        <v>0</v>
      </c>
    </row>
    <row r="2" spans="1:1">
      <c r="A2" s="4"/>
    </row>
    <row r="3" spans="1:1">
      <c r="A3" s="4"/>
    </row>
    <row r="4" spans="1:1">
      <c r="A4" s="4"/>
    </row>
    <row r="5" spans="1:1">
      <c r="A5" s="4"/>
    </row>
    <row r="6" spans="1:1" ht="45.75" customHeight="1">
      <c r="A6" s="4"/>
    </row>
    <row r="7" spans="1:1">
      <c r="A7" s="4"/>
    </row>
    <row r="8" spans="1:1">
      <c r="A8" s="4"/>
    </row>
    <row r="9" spans="1:1">
      <c r="A9" s="4"/>
    </row>
    <row r="10" spans="1:1">
      <c r="A10" s="4"/>
    </row>
    <row r="11" spans="1:1">
      <c r="A11" s="4"/>
    </row>
    <row r="12" spans="1:1">
      <c r="A12" s="4"/>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BP22"/>
  <sheetViews>
    <sheetView zoomScale="80" zoomScaleNormal="80" workbookViewId="0">
      <pane xSplit="1" ySplit="2" topLeftCell="B3" activePane="bottomRight" state="frozen"/>
      <selection pane="topRight"/>
      <selection pane="bottomLeft"/>
      <selection pane="bottomRight"/>
    </sheetView>
  </sheetViews>
  <sheetFormatPr defaultRowHeight="15"/>
  <cols>
    <col min="1" max="1" width="46.85546875" style="2" customWidth="1"/>
    <col min="2" max="2" width="26.28515625" style="5" customWidth="1"/>
    <col min="3" max="3" width="5" style="5" customWidth="1"/>
    <col min="4" max="7" width="26.28515625" style="5" customWidth="1"/>
    <col min="8" max="8" width="5.42578125" style="5" customWidth="1"/>
    <col min="9" max="10" width="22.140625" style="5" customWidth="1"/>
    <col min="11" max="11" width="25.7109375" style="5" customWidth="1"/>
    <col min="12" max="12" width="25" style="5" customWidth="1"/>
    <col min="13" max="13" width="8.42578125" style="5" bestFit="1" customWidth="1"/>
    <col min="14" max="14" width="7.5703125" style="2" customWidth="1"/>
    <col min="15" max="15" width="7.5703125" style="1" customWidth="1"/>
    <col min="16" max="22" width="7.5703125" style="5" customWidth="1"/>
    <col min="23" max="24" width="8.42578125" style="5" bestFit="1" customWidth="1"/>
    <col min="25" max="25" width="7.5703125" style="2" customWidth="1"/>
    <col min="26" max="26" width="7.5703125" style="1" customWidth="1"/>
    <col min="27" max="33" width="7.5703125" style="5" customWidth="1"/>
    <col min="34" max="35" width="8.42578125" style="5" bestFit="1" customWidth="1"/>
    <col min="36" max="44" width="7.5703125" style="5" customWidth="1"/>
    <col min="45" max="46" width="8.42578125" style="5" bestFit="1" customWidth="1"/>
    <col min="47" max="55" width="7.5703125" style="5" customWidth="1"/>
    <col min="56" max="57" width="8.42578125" style="5" bestFit="1" customWidth="1"/>
    <col min="58" max="68" width="9.140625" style="5" customWidth="1"/>
    <col min="69" max="16384" width="9.140625" style="1"/>
  </cols>
  <sheetData>
    <row r="1" spans="1:12" ht="18.75">
      <c r="A1" s="3" t="s">
        <v>65</v>
      </c>
    </row>
    <row r="2" spans="1:12" ht="15.75" thickBot="1">
      <c r="A2" s="14" t="s">
        <v>2</v>
      </c>
    </row>
    <row r="3" spans="1:12" ht="60.75" thickBot="1">
      <c r="A3" s="29" t="s">
        <v>3</v>
      </c>
      <c r="B3" s="15" t="s">
        <v>4</v>
      </c>
      <c r="D3" s="11" t="s">
        <v>5</v>
      </c>
      <c r="E3" s="11" t="s">
        <v>6</v>
      </c>
      <c r="F3" s="11" t="s">
        <v>7</v>
      </c>
      <c r="G3" s="15" t="s">
        <v>8</v>
      </c>
      <c r="I3" s="11" t="s">
        <v>20</v>
      </c>
      <c r="J3" s="11" t="s">
        <v>6</v>
      </c>
      <c r="K3" s="11" t="s">
        <v>7</v>
      </c>
      <c r="L3" s="15" t="s">
        <v>8</v>
      </c>
    </row>
    <row r="4" spans="1:12">
      <c r="A4" s="16" t="s">
        <v>9</v>
      </c>
      <c r="B4" s="17">
        <v>0.11</v>
      </c>
      <c r="D4" s="26">
        <v>18000</v>
      </c>
      <c r="E4" s="22">
        <v>1</v>
      </c>
      <c r="F4" s="22">
        <v>0.51</v>
      </c>
      <c r="G4" s="22">
        <v>0.36</v>
      </c>
      <c r="I4" s="26">
        <v>105600</v>
      </c>
      <c r="J4" s="22">
        <v>1</v>
      </c>
      <c r="K4" s="22">
        <v>0.48</v>
      </c>
      <c r="L4" s="22">
        <v>0.5</v>
      </c>
    </row>
    <row r="5" spans="1:12">
      <c r="A5" s="18" t="s">
        <v>10</v>
      </c>
      <c r="B5" s="19">
        <v>0.06</v>
      </c>
      <c r="D5" s="27">
        <v>28900</v>
      </c>
      <c r="E5" s="23">
        <v>1.61</v>
      </c>
      <c r="F5" s="23">
        <v>0.83</v>
      </c>
      <c r="G5" s="23">
        <v>0.56999999999999995</v>
      </c>
      <c r="I5" s="27">
        <v>179700</v>
      </c>
      <c r="J5" s="23">
        <v>1.7</v>
      </c>
      <c r="K5" s="23">
        <v>0.82</v>
      </c>
      <c r="L5" s="23">
        <v>0.84</v>
      </c>
    </row>
    <row r="6" spans="1:12">
      <c r="A6" s="18" t="s">
        <v>11</v>
      </c>
      <c r="B6" s="19">
        <v>0.08</v>
      </c>
      <c r="D6" s="27">
        <v>35000</v>
      </c>
      <c r="E6" s="23">
        <v>1.94</v>
      </c>
      <c r="F6" s="23">
        <v>1</v>
      </c>
      <c r="G6" s="23">
        <v>0.69</v>
      </c>
      <c r="I6" s="27">
        <v>218500</v>
      </c>
      <c r="J6" s="23">
        <v>2.0699999999999998</v>
      </c>
      <c r="K6" s="23">
        <v>1</v>
      </c>
      <c r="L6" s="23">
        <v>1.03</v>
      </c>
    </row>
    <row r="7" spans="1:12">
      <c r="A7" s="18" t="s">
        <v>12</v>
      </c>
      <c r="B7" s="19">
        <v>0.01</v>
      </c>
      <c r="D7" s="27">
        <v>36100</v>
      </c>
      <c r="E7" s="23">
        <v>2.0099999999999998</v>
      </c>
      <c r="F7" s="23">
        <v>1.03</v>
      </c>
      <c r="G7" s="23">
        <v>0.72</v>
      </c>
      <c r="I7" s="27">
        <v>226400</v>
      </c>
      <c r="J7" s="23">
        <v>2.14</v>
      </c>
      <c r="K7" s="23">
        <v>1.04</v>
      </c>
      <c r="L7" s="23">
        <v>1.06</v>
      </c>
    </row>
    <row r="8" spans="1:12">
      <c r="A8" s="18" t="s">
        <v>13</v>
      </c>
      <c r="B8" s="19">
        <v>7.0000000000000007E-2</v>
      </c>
      <c r="D8" s="27">
        <v>43600</v>
      </c>
      <c r="E8" s="23">
        <v>2.42</v>
      </c>
      <c r="F8" s="23">
        <v>1.25</v>
      </c>
      <c r="G8" s="23">
        <v>0.87</v>
      </c>
      <c r="I8" s="27">
        <v>231200</v>
      </c>
      <c r="J8" s="23">
        <v>2.19</v>
      </c>
      <c r="K8" s="23">
        <v>1.06</v>
      </c>
      <c r="L8" s="23">
        <v>1.0900000000000001</v>
      </c>
    </row>
    <row r="9" spans="1:12">
      <c r="A9" s="18" t="s">
        <v>69</v>
      </c>
      <c r="B9" s="19">
        <v>0.05</v>
      </c>
      <c r="D9" s="27">
        <v>30400</v>
      </c>
      <c r="E9" s="23">
        <v>1.69</v>
      </c>
      <c r="F9" s="23">
        <v>0.87</v>
      </c>
      <c r="G9" s="23">
        <v>0.6</v>
      </c>
      <c r="I9" s="27">
        <v>181500</v>
      </c>
      <c r="J9" s="23">
        <v>1.72</v>
      </c>
      <c r="K9" s="23">
        <v>0.83</v>
      </c>
      <c r="L9" s="23">
        <v>0.85</v>
      </c>
    </row>
    <row r="10" spans="1:12">
      <c r="A10" s="18" t="s">
        <v>18</v>
      </c>
      <c r="B10" s="19">
        <v>0.09</v>
      </c>
      <c r="D10" s="27">
        <v>33100</v>
      </c>
      <c r="E10" s="23">
        <v>1.84</v>
      </c>
      <c r="F10" s="23">
        <v>0.95</v>
      </c>
      <c r="G10" s="23">
        <v>0.66</v>
      </c>
      <c r="I10" s="27">
        <v>196500</v>
      </c>
      <c r="J10" s="23">
        <v>1.86</v>
      </c>
      <c r="K10" s="23">
        <v>0.9</v>
      </c>
      <c r="L10" s="23">
        <v>0.92</v>
      </c>
    </row>
    <row r="11" spans="1:12">
      <c r="A11" s="18" t="s">
        <v>19</v>
      </c>
      <c r="B11" s="19">
        <v>0.14000000000000001</v>
      </c>
      <c r="D11" s="27">
        <v>40500</v>
      </c>
      <c r="E11" s="23">
        <v>2.25</v>
      </c>
      <c r="F11" s="23">
        <v>1.1599999999999999</v>
      </c>
      <c r="G11" s="23">
        <v>0.8</v>
      </c>
      <c r="I11" s="27">
        <v>241900</v>
      </c>
      <c r="J11" s="23">
        <v>2.29</v>
      </c>
      <c r="K11" s="23">
        <v>1.1100000000000001</v>
      </c>
      <c r="L11" s="23">
        <v>1.1399999999999999</v>
      </c>
    </row>
    <row r="12" spans="1:12">
      <c r="A12" s="18" t="s">
        <v>14</v>
      </c>
      <c r="B12" s="19">
        <v>7.0000000000000007E-2</v>
      </c>
      <c r="D12" s="27">
        <v>36800</v>
      </c>
      <c r="E12" s="23">
        <v>2.04</v>
      </c>
      <c r="F12" s="23">
        <v>1.05</v>
      </c>
      <c r="G12" s="23">
        <v>0.73</v>
      </c>
      <c r="I12" s="27">
        <v>201400</v>
      </c>
      <c r="J12" s="23">
        <v>1.91</v>
      </c>
      <c r="K12" s="23">
        <v>0.92</v>
      </c>
      <c r="L12" s="23">
        <v>0.95</v>
      </c>
    </row>
    <row r="13" spans="1:12" ht="15.75" thickBot="1">
      <c r="A13" s="20" t="s">
        <v>15</v>
      </c>
      <c r="B13" s="21">
        <v>0.3</v>
      </c>
      <c r="D13" s="28">
        <v>50400</v>
      </c>
      <c r="E13" s="24">
        <v>2.8</v>
      </c>
      <c r="F13" s="24">
        <v>1.44</v>
      </c>
      <c r="G13" s="24">
        <v>1</v>
      </c>
      <c r="I13" s="28">
        <v>212700</v>
      </c>
      <c r="J13" s="24">
        <v>2.0099999999999998</v>
      </c>
      <c r="K13" s="24">
        <v>0.97</v>
      </c>
      <c r="L13" s="24">
        <v>1</v>
      </c>
    </row>
    <row r="14" spans="1:12">
      <c r="A14" s="31"/>
      <c r="B14" s="32"/>
      <c r="C14" s="32"/>
      <c r="D14" s="33"/>
      <c r="E14" s="30"/>
      <c r="F14" s="30"/>
      <c r="G14" s="30"/>
    </row>
    <row r="15" spans="1:12">
      <c r="A15" s="9" t="s">
        <v>52</v>
      </c>
      <c r="B15"/>
      <c r="C15" s="1"/>
      <c r="D15"/>
      <c r="E15"/>
      <c r="F15"/>
      <c r="G15"/>
    </row>
    <row r="16" spans="1:12">
      <c r="A16" s="25" t="s">
        <v>58</v>
      </c>
      <c r="B16" s="1"/>
      <c r="C16" s="1"/>
      <c r="D16" s="1"/>
      <c r="E16" s="1"/>
      <c r="F16" s="1"/>
      <c r="G16" s="1"/>
    </row>
    <row r="17" spans="1:1">
      <c r="A17" s="25" t="s">
        <v>28</v>
      </c>
    </row>
    <row r="18" spans="1:1">
      <c r="A18" s="25" t="s">
        <v>53</v>
      </c>
    </row>
    <row r="19" spans="1:1">
      <c r="A19" s="25" t="s">
        <v>54</v>
      </c>
    </row>
    <row r="20" spans="1:1">
      <c r="A20" s="25" t="s">
        <v>55</v>
      </c>
    </row>
    <row r="21" spans="1:1">
      <c r="A21" s="25" t="s">
        <v>16</v>
      </c>
    </row>
    <row r="22" spans="1:1">
      <c r="A22" s="25" t="s">
        <v>17</v>
      </c>
    </row>
  </sheetData>
  <conditionalFormatting sqref="B14:G14 B4:B13 D4:G13">
    <cfRule type="expression" dxfId="18" priority="3">
      <formula>B4="S"</formula>
    </cfRule>
  </conditionalFormatting>
  <conditionalFormatting sqref="J4:L13">
    <cfRule type="expression" dxfId="17" priority="2">
      <formula>J4="S"</formula>
    </cfRule>
  </conditionalFormatting>
  <conditionalFormatting sqref="I4:I13">
    <cfRule type="expression" dxfId="16" priority="1">
      <formula>I4="S"</formula>
    </cfRule>
  </conditionalFormatting>
  <hyperlinks>
    <hyperlink ref="A2" location="Index!A1" display="Back to Index"/>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BO24"/>
  <sheetViews>
    <sheetView zoomScale="80" zoomScaleNormal="80" workbookViewId="0">
      <pane xSplit="1" ySplit="2" topLeftCell="B3" activePane="bottomRight" state="frozen"/>
      <selection pane="topRight"/>
      <selection pane="bottomLeft"/>
      <selection pane="bottomRight"/>
    </sheetView>
  </sheetViews>
  <sheetFormatPr defaultRowHeight="15"/>
  <cols>
    <col min="1" max="1" width="46.85546875" style="2" customWidth="1"/>
    <col min="2" max="6" width="28.140625" style="5" customWidth="1"/>
    <col min="7" max="10" width="7.5703125" style="5" customWidth="1"/>
    <col min="11" max="12" width="8.42578125" style="5" bestFit="1" customWidth="1"/>
    <col min="13" max="13" width="7.5703125" style="2" customWidth="1"/>
    <col min="14" max="14" width="7.5703125" style="1" customWidth="1"/>
    <col min="15" max="21" width="7.5703125" style="5" customWidth="1"/>
    <col min="22" max="23" width="8.42578125" style="5" bestFit="1" customWidth="1"/>
    <col min="24" max="24" width="7.5703125" style="2" customWidth="1"/>
    <col min="25" max="25" width="7.5703125" style="1" customWidth="1"/>
    <col min="26" max="32" width="7.5703125" style="5" customWidth="1"/>
    <col min="33" max="34" width="8.42578125" style="5" bestFit="1" customWidth="1"/>
    <col min="35" max="43" width="7.5703125" style="5" customWidth="1"/>
    <col min="44" max="45" width="8.42578125" style="5" bestFit="1" customWidth="1"/>
    <col min="46" max="54" width="7.5703125" style="5" customWidth="1"/>
    <col min="55" max="56" width="8.42578125" style="5" bestFit="1" customWidth="1"/>
    <col min="57" max="67" width="9.140625" style="5" customWidth="1"/>
    <col min="68" max="16384" width="9.140625" style="1"/>
  </cols>
  <sheetData>
    <row r="1" spans="1:6" ht="18.75">
      <c r="A1" s="3" t="s">
        <v>68</v>
      </c>
    </row>
    <row r="2" spans="1:6" ht="15.75" thickBot="1">
      <c r="A2" s="14" t="s">
        <v>2</v>
      </c>
    </row>
    <row r="3" spans="1:6" ht="45.75" thickBot="1">
      <c r="A3" s="29" t="s">
        <v>3</v>
      </c>
      <c r="B3" s="11" t="s">
        <v>21</v>
      </c>
      <c r="C3" s="11" t="s">
        <v>25</v>
      </c>
      <c r="D3" s="11" t="s">
        <v>24</v>
      </c>
      <c r="E3" s="11" t="s">
        <v>22</v>
      </c>
      <c r="F3" s="15" t="s">
        <v>23</v>
      </c>
    </row>
    <row r="4" spans="1:6">
      <c r="A4" s="16" t="s">
        <v>9</v>
      </c>
      <c r="B4" s="17">
        <v>0.45</v>
      </c>
      <c r="C4" s="26">
        <v>18000</v>
      </c>
      <c r="D4" s="26">
        <v>38400</v>
      </c>
      <c r="E4" s="26">
        <v>105600</v>
      </c>
      <c r="F4" s="26">
        <v>196000</v>
      </c>
    </row>
    <row r="5" spans="1:6">
      <c r="A5" s="18" t="s">
        <v>10</v>
      </c>
      <c r="B5" s="19">
        <v>0.64</v>
      </c>
      <c r="C5" s="27">
        <v>28900</v>
      </c>
      <c r="D5" s="27">
        <v>43400</v>
      </c>
      <c r="E5" s="27">
        <v>179700</v>
      </c>
      <c r="F5" s="27">
        <v>242800</v>
      </c>
    </row>
    <row r="6" spans="1:6">
      <c r="A6" s="18" t="s">
        <v>11</v>
      </c>
      <c r="B6" s="19">
        <v>0.72</v>
      </c>
      <c r="C6" s="27">
        <v>35000</v>
      </c>
      <c r="D6" s="27">
        <v>46400</v>
      </c>
      <c r="E6" s="27">
        <v>218500</v>
      </c>
      <c r="F6" s="27">
        <v>266500</v>
      </c>
    </row>
    <row r="7" spans="1:6">
      <c r="A7" s="18" t="s">
        <v>12</v>
      </c>
      <c r="B7" s="19">
        <v>0.74</v>
      </c>
      <c r="C7" s="27">
        <v>36100</v>
      </c>
      <c r="D7" s="27">
        <v>47700</v>
      </c>
      <c r="E7" s="27">
        <v>226400</v>
      </c>
      <c r="F7" s="27">
        <v>271100</v>
      </c>
    </row>
    <row r="8" spans="1:6">
      <c r="A8" s="18" t="s">
        <v>13</v>
      </c>
      <c r="B8" s="19">
        <v>0.71</v>
      </c>
      <c r="C8" s="27">
        <v>43600</v>
      </c>
      <c r="D8" s="27">
        <v>57000</v>
      </c>
      <c r="E8" s="27">
        <v>231200</v>
      </c>
      <c r="F8" s="27">
        <v>281300</v>
      </c>
    </row>
    <row r="9" spans="1:6">
      <c r="A9" s="18" t="s">
        <v>69</v>
      </c>
      <c r="B9" s="19">
        <v>0.67</v>
      </c>
      <c r="C9" s="27">
        <v>30400</v>
      </c>
      <c r="D9" s="27">
        <v>43600</v>
      </c>
      <c r="E9" s="27">
        <v>181500</v>
      </c>
      <c r="F9" s="27">
        <v>239700</v>
      </c>
    </row>
    <row r="10" spans="1:6">
      <c r="A10" s="18" t="s">
        <v>18</v>
      </c>
      <c r="B10" s="19">
        <v>0.69</v>
      </c>
      <c r="C10" s="27">
        <v>33100</v>
      </c>
      <c r="D10" s="27">
        <v>44900</v>
      </c>
      <c r="E10" s="27">
        <v>196500</v>
      </c>
      <c r="F10" s="27">
        <v>245900</v>
      </c>
    </row>
    <row r="11" spans="1:6">
      <c r="A11" s="18" t="s">
        <v>19</v>
      </c>
      <c r="B11" s="19">
        <v>0.74</v>
      </c>
      <c r="C11" s="27">
        <v>40500</v>
      </c>
      <c r="D11" s="27">
        <v>51500</v>
      </c>
      <c r="E11" s="27">
        <v>241900</v>
      </c>
      <c r="F11" s="27">
        <v>286600</v>
      </c>
    </row>
    <row r="12" spans="1:6">
      <c r="A12" s="18" t="s">
        <v>14</v>
      </c>
      <c r="B12" s="19">
        <v>0.71</v>
      </c>
      <c r="C12" s="27">
        <v>36800</v>
      </c>
      <c r="D12" s="27">
        <v>46900</v>
      </c>
      <c r="E12" s="27">
        <v>201400</v>
      </c>
      <c r="F12" s="27">
        <v>234900</v>
      </c>
    </row>
    <row r="13" spans="1:6" ht="15.75" thickBot="1">
      <c r="A13" s="20" t="s">
        <v>15</v>
      </c>
      <c r="B13" s="21">
        <v>0.79</v>
      </c>
      <c r="C13" s="28">
        <v>50400</v>
      </c>
      <c r="D13" s="28">
        <v>58200</v>
      </c>
      <c r="E13" s="28">
        <v>212700</v>
      </c>
      <c r="F13" s="28">
        <v>233800</v>
      </c>
    </row>
    <row r="14" spans="1:6">
      <c r="A14" s="31"/>
      <c r="B14" s="32"/>
      <c r="C14" s="33"/>
      <c r="D14" s="33"/>
      <c r="E14" s="33"/>
      <c r="F14" s="33"/>
    </row>
    <row r="15" spans="1:6">
      <c r="A15" s="25" t="s">
        <v>26</v>
      </c>
    </row>
    <row r="16" spans="1:6">
      <c r="A16" s="25" t="s">
        <v>27</v>
      </c>
    </row>
    <row r="17" spans="1:1">
      <c r="A17" s="9" t="s">
        <v>52</v>
      </c>
    </row>
    <row r="18" spans="1:1">
      <c r="A18" s="25" t="s">
        <v>58</v>
      </c>
    </row>
    <row r="19" spans="1:1">
      <c r="A19" s="25" t="s">
        <v>28</v>
      </c>
    </row>
    <row r="20" spans="1:1">
      <c r="A20" s="25" t="s">
        <v>53</v>
      </c>
    </row>
    <row r="21" spans="1:1">
      <c r="A21" s="25" t="s">
        <v>54</v>
      </c>
    </row>
    <row r="22" spans="1:1">
      <c r="A22" s="25" t="s">
        <v>55</v>
      </c>
    </row>
    <row r="23" spans="1:1">
      <c r="A23" s="25" t="s">
        <v>16</v>
      </c>
    </row>
    <row r="24" spans="1:1">
      <c r="A24" s="25" t="s">
        <v>17</v>
      </c>
    </row>
  </sheetData>
  <conditionalFormatting sqref="B4:F14">
    <cfRule type="expression" dxfId="15" priority="1">
      <formula>B4="S"</formula>
    </cfRule>
  </conditionalFormatting>
  <hyperlinks>
    <hyperlink ref="A2" location="Index!A1" display="Back to Index"/>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BP28"/>
  <sheetViews>
    <sheetView zoomScale="80" zoomScaleNormal="80" workbookViewId="0">
      <pane xSplit="1" ySplit="2" topLeftCell="B3" activePane="bottomRight" state="frozen"/>
      <selection pane="topRight"/>
      <selection pane="bottomLeft"/>
      <selection pane="bottomRight"/>
    </sheetView>
  </sheetViews>
  <sheetFormatPr defaultRowHeight="15"/>
  <cols>
    <col min="1" max="1" width="46.85546875" style="2" customWidth="1"/>
    <col min="2" max="2" width="12" style="5" customWidth="1"/>
    <col min="3" max="3" width="19.140625" style="5" bestFit="1" customWidth="1"/>
    <col min="4" max="5" width="17.140625" style="5" bestFit="1" customWidth="1"/>
    <col min="6" max="6" width="17.42578125" style="5" bestFit="1" customWidth="1"/>
    <col min="7" max="7" width="16.28515625" style="5" bestFit="1" customWidth="1"/>
    <col min="8" max="8" width="7.5703125" style="5" customWidth="1"/>
    <col min="9" max="9" width="18.5703125" style="5" customWidth="1"/>
    <col min="10" max="10" width="19.140625" style="5" bestFit="1" customWidth="1"/>
    <col min="11" max="12" width="17.140625" style="5" bestFit="1" customWidth="1"/>
    <col min="13" max="13" width="17.42578125" style="5" bestFit="1" customWidth="1"/>
    <col min="14" max="14" width="16.28515625" style="2" bestFit="1" customWidth="1"/>
    <col min="15" max="15" width="7.5703125" style="1" customWidth="1"/>
    <col min="16" max="22" width="7.5703125" style="5" customWidth="1"/>
    <col min="23" max="24" width="8.42578125" style="5" bestFit="1" customWidth="1"/>
    <col min="25" max="25" width="7.5703125" style="2" customWidth="1"/>
    <col min="26" max="26" width="7.5703125" style="1" customWidth="1"/>
    <col min="27" max="33" width="7.5703125" style="5" customWidth="1"/>
    <col min="34" max="35" width="8.42578125" style="5" bestFit="1" customWidth="1"/>
    <col min="36" max="44" width="7.5703125" style="5" customWidth="1"/>
    <col min="45" max="46" width="8.42578125" style="5" bestFit="1" customWidth="1"/>
    <col min="47" max="55" width="7.5703125" style="5" customWidth="1"/>
    <col min="56" max="57" width="8.42578125" style="5" bestFit="1" customWidth="1"/>
    <col min="58" max="68" width="9.140625" style="5" customWidth="1"/>
    <col min="69" max="16384" width="9.140625" style="1"/>
  </cols>
  <sheetData>
    <row r="1" spans="1:14" ht="18.75">
      <c r="A1" s="3" t="s">
        <v>66</v>
      </c>
    </row>
    <row r="2" spans="1:14" ht="15.75" thickBot="1">
      <c r="A2" s="14" t="s">
        <v>2</v>
      </c>
    </row>
    <row r="3" spans="1:14" ht="26.25" customHeight="1" thickBot="1">
      <c r="A3" s="54" t="s">
        <v>29</v>
      </c>
      <c r="B3" s="51" t="s">
        <v>38</v>
      </c>
      <c r="C3" s="52"/>
      <c r="D3" s="52"/>
      <c r="E3" s="52"/>
      <c r="F3" s="52"/>
      <c r="G3" s="53"/>
      <c r="H3" s="12"/>
      <c r="I3" s="51" t="s">
        <v>36</v>
      </c>
      <c r="J3" s="52"/>
      <c r="K3" s="52"/>
      <c r="L3" s="52"/>
      <c r="M3" s="52"/>
      <c r="N3" s="53"/>
    </row>
    <row r="4" spans="1:14" ht="15.75" customHeight="1" thickBot="1">
      <c r="A4" s="55"/>
      <c r="B4" s="48" t="s">
        <v>30</v>
      </c>
      <c r="C4" s="49"/>
      <c r="D4" s="49"/>
      <c r="E4" s="49"/>
      <c r="F4" s="49"/>
      <c r="G4" s="50"/>
      <c r="I4" s="48" t="s">
        <v>30</v>
      </c>
      <c r="J4" s="49"/>
      <c r="K4" s="49"/>
      <c r="L4" s="49"/>
      <c r="M4" s="49"/>
      <c r="N4" s="50"/>
    </row>
    <row r="5" spans="1:14" ht="26.25" customHeight="1" thickBot="1">
      <c r="A5" s="56"/>
      <c r="B5" s="11" t="s">
        <v>31</v>
      </c>
      <c r="C5" s="11" t="s">
        <v>32</v>
      </c>
      <c r="D5" s="11" t="s">
        <v>33</v>
      </c>
      <c r="E5" s="11" t="s">
        <v>34</v>
      </c>
      <c r="F5" s="15" t="s">
        <v>35</v>
      </c>
      <c r="G5" s="15" t="s">
        <v>15</v>
      </c>
      <c r="I5" s="11" t="s">
        <v>31</v>
      </c>
      <c r="J5" s="11" t="s">
        <v>32</v>
      </c>
      <c r="K5" s="11" t="s">
        <v>33</v>
      </c>
      <c r="L5" s="11" t="s">
        <v>34</v>
      </c>
      <c r="M5" s="15" t="s">
        <v>35</v>
      </c>
      <c r="N5" s="15" t="s">
        <v>15</v>
      </c>
    </row>
    <row r="6" spans="1:14">
      <c r="A6" s="16" t="s">
        <v>9</v>
      </c>
      <c r="B6" s="26">
        <v>18000</v>
      </c>
      <c r="C6" s="26">
        <v>20700</v>
      </c>
      <c r="D6" s="26">
        <v>23900</v>
      </c>
      <c r="E6" s="26">
        <v>28300</v>
      </c>
      <c r="F6" s="26">
        <v>22900</v>
      </c>
      <c r="G6" s="26">
        <v>38700</v>
      </c>
      <c r="I6" s="26">
        <v>105600</v>
      </c>
      <c r="J6" s="26">
        <v>117900</v>
      </c>
      <c r="K6" s="26">
        <v>134900</v>
      </c>
      <c r="L6" s="26">
        <v>156700</v>
      </c>
      <c r="M6" s="26">
        <v>122100</v>
      </c>
      <c r="N6" s="26">
        <v>156400</v>
      </c>
    </row>
    <row r="7" spans="1:14">
      <c r="A7" s="18" t="s">
        <v>10</v>
      </c>
      <c r="B7" s="27">
        <v>28900</v>
      </c>
      <c r="C7" s="27">
        <v>33600</v>
      </c>
      <c r="D7" s="27">
        <v>32400</v>
      </c>
      <c r="E7" s="27">
        <v>38800</v>
      </c>
      <c r="F7" s="27">
        <v>30400</v>
      </c>
      <c r="G7" s="27">
        <v>37000</v>
      </c>
      <c r="I7" s="27">
        <v>179700</v>
      </c>
      <c r="J7" s="27">
        <v>201400</v>
      </c>
      <c r="K7" s="27">
        <v>194500</v>
      </c>
      <c r="L7" s="27">
        <v>233500</v>
      </c>
      <c r="M7" s="27">
        <v>160800</v>
      </c>
      <c r="N7" s="27">
        <v>158600</v>
      </c>
    </row>
    <row r="8" spans="1:14">
      <c r="A8" s="18" t="s">
        <v>11</v>
      </c>
      <c r="B8" s="27">
        <v>35000</v>
      </c>
      <c r="C8" s="27">
        <v>35800</v>
      </c>
      <c r="D8" s="27">
        <v>38500</v>
      </c>
      <c r="E8" s="27">
        <v>43600</v>
      </c>
      <c r="F8" s="27">
        <v>36900</v>
      </c>
      <c r="G8" s="27">
        <v>41300</v>
      </c>
      <c r="I8" s="27">
        <v>218500</v>
      </c>
      <c r="J8" s="27">
        <v>225500</v>
      </c>
      <c r="K8" s="27">
        <v>231800</v>
      </c>
      <c r="L8" s="27">
        <v>264200</v>
      </c>
      <c r="M8" s="27">
        <v>203600</v>
      </c>
      <c r="N8" s="27">
        <v>182000</v>
      </c>
    </row>
    <row r="9" spans="1:14">
      <c r="A9" s="18" t="s">
        <v>12</v>
      </c>
      <c r="B9" s="27">
        <v>36100</v>
      </c>
      <c r="C9" s="27">
        <v>33400</v>
      </c>
      <c r="D9" s="27">
        <v>38400</v>
      </c>
      <c r="E9" s="27">
        <v>41700</v>
      </c>
      <c r="F9" s="27">
        <v>36300</v>
      </c>
      <c r="G9" s="27">
        <v>40900</v>
      </c>
      <c r="I9" s="27">
        <v>226400</v>
      </c>
      <c r="J9" s="27">
        <v>186500</v>
      </c>
      <c r="K9" s="27">
        <v>237600</v>
      </c>
      <c r="L9" s="27">
        <v>257300</v>
      </c>
      <c r="M9" s="27">
        <v>203900</v>
      </c>
      <c r="N9" s="27">
        <v>186100</v>
      </c>
    </row>
    <row r="10" spans="1:14" ht="15.75" thickBot="1">
      <c r="A10" s="20" t="s">
        <v>13</v>
      </c>
      <c r="B10" s="28">
        <v>43600</v>
      </c>
      <c r="C10" s="28">
        <v>43400</v>
      </c>
      <c r="D10" s="28">
        <v>42100</v>
      </c>
      <c r="E10" s="28">
        <v>48100</v>
      </c>
      <c r="F10" s="28">
        <v>43200</v>
      </c>
      <c r="G10" s="28">
        <v>52700</v>
      </c>
      <c r="I10" s="28">
        <v>231200</v>
      </c>
      <c r="J10" s="28">
        <v>243400</v>
      </c>
      <c r="K10" s="28">
        <v>250300</v>
      </c>
      <c r="L10" s="28">
        <v>278100</v>
      </c>
      <c r="M10" s="28">
        <v>237200</v>
      </c>
      <c r="N10" s="28">
        <v>220600</v>
      </c>
    </row>
    <row r="11" spans="1:14" ht="15.75" thickBot="1">
      <c r="A11" s="18"/>
      <c r="B11" s="39"/>
      <c r="C11" s="40"/>
      <c r="D11" s="40"/>
      <c r="E11" s="40"/>
      <c r="F11" s="40"/>
      <c r="G11" s="41"/>
      <c r="N11" s="5"/>
    </row>
    <row r="12" spans="1:14" ht="26.25" customHeight="1" thickBot="1">
      <c r="A12" s="54" t="s">
        <v>29</v>
      </c>
      <c r="B12" s="51" t="s">
        <v>39</v>
      </c>
      <c r="C12" s="52"/>
      <c r="D12" s="52"/>
      <c r="E12" s="52"/>
      <c r="F12" s="52"/>
      <c r="G12" s="53"/>
      <c r="H12" s="12"/>
      <c r="I12" s="51" t="s">
        <v>37</v>
      </c>
      <c r="J12" s="52"/>
      <c r="K12" s="52"/>
      <c r="L12" s="52"/>
      <c r="M12" s="52"/>
      <c r="N12" s="53"/>
    </row>
    <row r="13" spans="1:14" ht="15.75" customHeight="1" thickBot="1">
      <c r="A13" s="55"/>
      <c r="B13" s="48" t="s">
        <v>30</v>
      </c>
      <c r="C13" s="49"/>
      <c r="D13" s="49"/>
      <c r="E13" s="49"/>
      <c r="F13" s="49"/>
      <c r="G13" s="50"/>
      <c r="I13" s="48" t="s">
        <v>30</v>
      </c>
      <c r="J13" s="49"/>
      <c r="K13" s="49"/>
      <c r="L13" s="49"/>
      <c r="M13" s="49"/>
      <c r="N13" s="50"/>
    </row>
    <row r="14" spans="1:14" ht="26.25" customHeight="1" thickBot="1">
      <c r="A14" s="56"/>
      <c r="B14" s="11" t="s">
        <v>31</v>
      </c>
      <c r="C14" s="11" t="s">
        <v>32</v>
      </c>
      <c r="D14" s="11" t="s">
        <v>33</v>
      </c>
      <c r="E14" s="11" t="s">
        <v>34</v>
      </c>
      <c r="F14" s="15" t="s">
        <v>35</v>
      </c>
      <c r="G14" s="15" t="s">
        <v>15</v>
      </c>
      <c r="I14" s="11" t="s">
        <v>31</v>
      </c>
      <c r="J14" s="11" t="s">
        <v>32</v>
      </c>
      <c r="K14" s="11" t="s">
        <v>33</v>
      </c>
      <c r="L14" s="11" t="s">
        <v>34</v>
      </c>
      <c r="M14" s="15" t="s">
        <v>35</v>
      </c>
      <c r="N14" s="15" t="s">
        <v>15</v>
      </c>
    </row>
    <row r="15" spans="1:14">
      <c r="A15" s="16" t="s">
        <v>9</v>
      </c>
      <c r="B15" s="22">
        <v>1</v>
      </c>
      <c r="C15" s="22">
        <v>1.1499999999999999</v>
      </c>
      <c r="D15" s="22">
        <v>1.33</v>
      </c>
      <c r="E15" s="22">
        <v>1.57</v>
      </c>
      <c r="F15" s="22">
        <v>1.27</v>
      </c>
      <c r="G15" s="22">
        <v>2.15</v>
      </c>
      <c r="I15" s="22">
        <v>1</v>
      </c>
      <c r="J15" s="22">
        <v>1.1165197837743406</v>
      </c>
      <c r="K15" s="22">
        <v>1.2772500006153287</v>
      </c>
      <c r="L15" s="22">
        <v>1.4836764487004106</v>
      </c>
      <c r="M15" s="22">
        <v>1.1564310548574115</v>
      </c>
      <c r="N15" s="22">
        <v>1.481020153784171</v>
      </c>
    </row>
    <row r="16" spans="1:14">
      <c r="A16" s="18" t="s">
        <v>10</v>
      </c>
      <c r="B16" s="23">
        <v>1</v>
      </c>
      <c r="C16" s="23">
        <v>1.1599999999999999</v>
      </c>
      <c r="D16" s="23">
        <v>1.1200000000000001</v>
      </c>
      <c r="E16" s="23">
        <v>1.34</v>
      </c>
      <c r="F16" s="23">
        <v>1.05</v>
      </c>
      <c r="G16" s="23">
        <v>1.28</v>
      </c>
      <c r="I16" s="23">
        <v>1</v>
      </c>
      <c r="J16" s="23">
        <v>1.1211730408622633</v>
      </c>
      <c r="K16" s="23">
        <v>1.0827581116777598</v>
      </c>
      <c r="L16" s="23">
        <v>1.2998974731165192</v>
      </c>
      <c r="M16" s="23">
        <v>0.89490075726575802</v>
      </c>
      <c r="N16" s="23">
        <v>0.88289802468904244</v>
      </c>
    </row>
    <row r="17" spans="1:14">
      <c r="A17" s="18" t="s">
        <v>11</v>
      </c>
      <c r="B17" s="23">
        <v>1</v>
      </c>
      <c r="C17" s="23">
        <v>1.02</v>
      </c>
      <c r="D17" s="23">
        <v>1.1000000000000001</v>
      </c>
      <c r="E17" s="23">
        <v>1.25</v>
      </c>
      <c r="F17" s="23">
        <v>1.06</v>
      </c>
      <c r="G17" s="23">
        <v>1.18</v>
      </c>
      <c r="I17" s="23">
        <v>1</v>
      </c>
      <c r="J17" s="23">
        <v>1.0316643239200707</v>
      </c>
      <c r="K17" s="23">
        <v>1.0607475705577629</v>
      </c>
      <c r="L17" s="23">
        <v>1.2087154130527604</v>
      </c>
      <c r="M17" s="23">
        <v>0.93158951174444593</v>
      </c>
      <c r="N17" s="23">
        <v>0.83270907298255159</v>
      </c>
    </row>
    <row r="18" spans="1:14">
      <c r="A18" s="18" t="s">
        <v>12</v>
      </c>
      <c r="B18" s="23">
        <v>1</v>
      </c>
      <c r="C18" s="23">
        <v>0.93</v>
      </c>
      <c r="D18" s="23">
        <v>1.06</v>
      </c>
      <c r="E18" s="23">
        <v>1.1499999999999999</v>
      </c>
      <c r="F18" s="23">
        <v>1.01</v>
      </c>
      <c r="G18" s="23">
        <v>1.1299999999999999</v>
      </c>
      <c r="I18" s="23">
        <v>1</v>
      </c>
      <c r="J18" s="23">
        <v>0.82372665039069493</v>
      </c>
      <c r="K18" s="23">
        <v>1.0496079809483128</v>
      </c>
      <c r="L18" s="23">
        <v>1.1363628172197704</v>
      </c>
      <c r="M18" s="23">
        <v>0.90054657267754912</v>
      </c>
      <c r="N18" s="23">
        <v>0.8221493298698348</v>
      </c>
    </row>
    <row r="19" spans="1:14" ht="15.75" thickBot="1">
      <c r="A19" s="20" t="s">
        <v>13</v>
      </c>
      <c r="B19" s="24">
        <v>1</v>
      </c>
      <c r="C19" s="24">
        <v>1</v>
      </c>
      <c r="D19" s="24">
        <v>0.97</v>
      </c>
      <c r="E19" s="24">
        <v>1.1000000000000001</v>
      </c>
      <c r="F19" s="24">
        <v>0.99</v>
      </c>
      <c r="G19" s="24">
        <v>1.21</v>
      </c>
      <c r="I19" s="24">
        <v>1</v>
      </c>
      <c r="J19" s="24">
        <v>1.0526363298789851</v>
      </c>
      <c r="K19" s="24">
        <v>1.082535201240961</v>
      </c>
      <c r="L19" s="24">
        <v>1.2027009759995151</v>
      </c>
      <c r="M19" s="24">
        <v>1.025799171768178</v>
      </c>
      <c r="N19" s="24">
        <v>0.95415981394763361</v>
      </c>
    </row>
    <row r="20" spans="1:14">
      <c r="A20" s="18"/>
    </row>
    <row r="21" spans="1:14">
      <c r="A21" s="9" t="s">
        <v>52</v>
      </c>
      <c r="B21" s="1"/>
      <c r="C21" s="1"/>
      <c r="D21" s="1"/>
      <c r="E21" s="1"/>
      <c r="F21" s="1"/>
      <c r="G21" s="1"/>
    </row>
    <row r="22" spans="1:14">
      <c r="A22" s="25" t="s">
        <v>58</v>
      </c>
      <c r="B22" s="1"/>
      <c r="C22" s="1"/>
      <c r="D22" s="1"/>
      <c r="E22" s="1"/>
      <c r="F22" s="1"/>
      <c r="G22" s="1"/>
    </row>
    <row r="23" spans="1:14" ht="15.75" customHeight="1">
      <c r="A23" s="25" t="s">
        <v>28</v>
      </c>
    </row>
    <row r="24" spans="1:14" ht="15.75" customHeight="1">
      <c r="A24" s="25" t="s">
        <v>53</v>
      </c>
    </row>
    <row r="25" spans="1:14">
      <c r="A25" s="25" t="s">
        <v>54</v>
      </c>
    </row>
    <row r="26" spans="1:14">
      <c r="A26" s="25" t="s">
        <v>55</v>
      </c>
    </row>
    <row r="27" spans="1:14">
      <c r="A27" s="25" t="s">
        <v>16</v>
      </c>
    </row>
    <row r="28" spans="1:14">
      <c r="A28" s="25" t="s">
        <v>17</v>
      </c>
    </row>
  </sheetData>
  <mergeCells count="10">
    <mergeCell ref="A12:A14"/>
    <mergeCell ref="A3:A5"/>
    <mergeCell ref="B3:G3"/>
    <mergeCell ref="I3:N3"/>
    <mergeCell ref="B4:G4"/>
    <mergeCell ref="I4:N4"/>
    <mergeCell ref="B13:G13"/>
    <mergeCell ref="I13:N13"/>
    <mergeCell ref="B12:G12"/>
    <mergeCell ref="I12:N12"/>
  </mergeCells>
  <conditionalFormatting sqref="I15:M19">
    <cfRule type="expression" dxfId="14" priority="10">
      <formula>I15="S"</formula>
    </cfRule>
  </conditionalFormatting>
  <conditionalFormatting sqref="N15:N19">
    <cfRule type="expression" dxfId="13" priority="9">
      <formula>N15="S"</formula>
    </cfRule>
  </conditionalFormatting>
  <conditionalFormatting sqref="I6:M10">
    <cfRule type="expression" dxfId="12" priority="3">
      <formula>I6="S"</formula>
    </cfRule>
  </conditionalFormatting>
  <conditionalFormatting sqref="N6:N10">
    <cfRule type="expression" dxfId="11" priority="2">
      <formula>N6="S"</formula>
    </cfRule>
  </conditionalFormatting>
  <conditionalFormatting sqref="B6:G11 B15:G19">
    <cfRule type="expression" dxfId="10" priority="8">
      <formula>#REF!="S"</formula>
    </cfRule>
  </conditionalFormatting>
  <hyperlinks>
    <hyperlink ref="A2" location="Index!A1" display="Back to Index"/>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BP23"/>
  <sheetViews>
    <sheetView zoomScale="80" zoomScaleNormal="80" workbookViewId="0">
      <pane xSplit="1" ySplit="2" topLeftCell="B3" activePane="bottomRight" state="frozen"/>
      <selection pane="topRight"/>
      <selection pane="bottomLeft"/>
      <selection pane="bottomRight"/>
    </sheetView>
  </sheetViews>
  <sheetFormatPr defaultRowHeight="15"/>
  <cols>
    <col min="1" max="1" width="46.85546875" style="2" customWidth="1"/>
    <col min="2" max="2" width="9.85546875" style="36" customWidth="1"/>
    <col min="3" max="10" width="11.42578125" style="36" customWidth="1"/>
    <col min="11" max="11" width="8.42578125" style="5" bestFit="1" customWidth="1"/>
    <col min="12" max="12" width="10.7109375" style="5" bestFit="1" customWidth="1"/>
    <col min="13" max="13" width="10.7109375" style="2" bestFit="1" customWidth="1"/>
    <col min="14" max="14" width="10.7109375" style="1" bestFit="1" customWidth="1"/>
    <col min="15" max="16" width="10.7109375" style="5" bestFit="1" customWidth="1"/>
    <col min="17" max="20" width="11.7109375" style="5" bestFit="1" customWidth="1"/>
    <col min="21" max="21" width="7.5703125" style="5" customWidth="1"/>
    <col min="22" max="23" width="8.42578125" style="5" bestFit="1" customWidth="1"/>
    <col min="24" max="24" width="7.5703125" style="2" customWidth="1"/>
    <col min="25" max="25" width="7.5703125" style="1" customWidth="1"/>
    <col min="26" max="32" width="7.5703125" style="5" customWidth="1"/>
    <col min="33" max="34" width="8.42578125" style="5" bestFit="1" customWidth="1"/>
    <col min="35" max="43" width="7.5703125" style="5" customWidth="1"/>
    <col min="44" max="45" width="8.42578125" style="5" bestFit="1" customWidth="1"/>
    <col min="46" max="54" width="7.5703125" style="5" customWidth="1"/>
    <col min="55" max="56" width="8.42578125" style="5" bestFit="1" customWidth="1"/>
    <col min="57" max="67" width="9.140625" style="5" customWidth="1"/>
    <col min="68" max="16384" width="9.140625" style="1"/>
  </cols>
  <sheetData>
    <row r="1" spans="1:68" ht="18.75">
      <c r="A1" s="3" t="s">
        <v>70</v>
      </c>
    </row>
    <row r="2" spans="1:68" ht="24" customHeight="1" thickBot="1">
      <c r="A2" s="14" t="s">
        <v>2</v>
      </c>
    </row>
    <row r="3" spans="1:68" ht="24" customHeight="1" thickBot="1">
      <c r="A3" s="14"/>
      <c r="B3" s="57" t="s">
        <v>40</v>
      </c>
      <c r="C3" s="58"/>
      <c r="D3" s="58"/>
      <c r="E3" s="58"/>
      <c r="F3" s="58"/>
      <c r="G3" s="58"/>
      <c r="H3" s="58"/>
      <c r="I3" s="58"/>
      <c r="J3" s="59"/>
      <c r="L3" s="57" t="s">
        <v>51</v>
      </c>
      <c r="M3" s="58"/>
      <c r="N3" s="58"/>
      <c r="O3" s="58"/>
      <c r="P3" s="58"/>
      <c r="Q3" s="58"/>
      <c r="R3" s="58"/>
      <c r="S3" s="58"/>
      <c r="T3" s="59"/>
    </row>
    <row r="4" spans="1:68" ht="35.25" customHeight="1" thickBot="1">
      <c r="A4" s="29" t="s">
        <v>3</v>
      </c>
      <c r="B4" s="34" t="s">
        <v>41</v>
      </c>
      <c r="C4" s="34" t="s">
        <v>42</v>
      </c>
      <c r="D4" s="34" t="s">
        <v>43</v>
      </c>
      <c r="E4" s="34" t="s">
        <v>44</v>
      </c>
      <c r="F4" s="34" t="s">
        <v>45</v>
      </c>
      <c r="G4" s="34" t="s">
        <v>46</v>
      </c>
      <c r="H4" s="34" t="s">
        <v>47</v>
      </c>
      <c r="I4" s="34" t="s">
        <v>48</v>
      </c>
      <c r="J4" s="35" t="s">
        <v>49</v>
      </c>
      <c r="L4" s="34" t="s">
        <v>41</v>
      </c>
      <c r="M4" s="34" t="s">
        <v>42</v>
      </c>
      <c r="N4" s="34" t="s">
        <v>43</v>
      </c>
      <c r="O4" s="34" t="s">
        <v>44</v>
      </c>
      <c r="P4" s="34" t="s">
        <v>45</v>
      </c>
      <c r="Q4" s="34" t="s">
        <v>46</v>
      </c>
      <c r="R4" s="34" t="s">
        <v>47</v>
      </c>
      <c r="S4" s="34" t="s">
        <v>48</v>
      </c>
      <c r="T4" s="35" t="s">
        <v>49</v>
      </c>
    </row>
    <row r="5" spans="1:68">
      <c r="A5" s="16" t="s">
        <v>9</v>
      </c>
      <c r="B5" s="42">
        <v>5200</v>
      </c>
      <c r="C5" s="42">
        <v>7400</v>
      </c>
      <c r="D5" s="42">
        <v>9500</v>
      </c>
      <c r="E5" s="42">
        <v>11100</v>
      </c>
      <c r="F5" s="42">
        <v>12600</v>
      </c>
      <c r="G5" s="42">
        <v>13800</v>
      </c>
      <c r="H5" s="42">
        <v>15100</v>
      </c>
      <c r="I5" s="42">
        <v>16700</v>
      </c>
      <c r="J5" s="42">
        <v>18000</v>
      </c>
      <c r="L5" s="42">
        <v>5200</v>
      </c>
      <c r="M5" s="42">
        <v>12500</v>
      </c>
      <c r="N5" s="42">
        <v>21800</v>
      </c>
      <c r="O5" s="42">
        <v>32600</v>
      </c>
      <c r="P5" s="42">
        <v>44800</v>
      </c>
      <c r="Q5" s="42">
        <v>57900</v>
      </c>
      <c r="R5" s="42">
        <v>72500</v>
      </c>
      <c r="S5" s="42">
        <v>88600</v>
      </c>
      <c r="T5" s="42">
        <v>105600</v>
      </c>
    </row>
    <row r="6" spans="1:68">
      <c r="A6" s="18" t="s">
        <v>10</v>
      </c>
      <c r="B6" s="43">
        <v>10100</v>
      </c>
      <c r="C6" s="43">
        <v>13800</v>
      </c>
      <c r="D6" s="43">
        <v>16900</v>
      </c>
      <c r="E6" s="43">
        <v>18900</v>
      </c>
      <c r="F6" s="43">
        <v>21400</v>
      </c>
      <c r="G6" s="43">
        <v>23600</v>
      </c>
      <c r="H6" s="43">
        <v>25300</v>
      </c>
      <c r="I6" s="43">
        <v>27200</v>
      </c>
      <c r="J6" s="43">
        <v>28900</v>
      </c>
      <c r="L6" s="43">
        <v>10100</v>
      </c>
      <c r="M6" s="43">
        <v>23900</v>
      </c>
      <c r="N6" s="43">
        <v>40700</v>
      </c>
      <c r="O6" s="43">
        <v>59000</v>
      </c>
      <c r="P6" s="43">
        <v>79700</v>
      </c>
      <c r="Q6" s="43">
        <v>102400</v>
      </c>
      <c r="R6" s="43">
        <v>126200</v>
      </c>
      <c r="S6" s="43">
        <v>152600</v>
      </c>
      <c r="T6" s="43">
        <v>179700</v>
      </c>
    </row>
    <row r="7" spans="1:68">
      <c r="A7" s="18" t="s">
        <v>11</v>
      </c>
      <c r="B7" s="43">
        <v>12600</v>
      </c>
      <c r="C7" s="43">
        <v>16900</v>
      </c>
      <c r="D7" s="43">
        <v>20400</v>
      </c>
      <c r="E7" s="43">
        <v>23200</v>
      </c>
      <c r="F7" s="43">
        <v>26200</v>
      </c>
      <c r="G7" s="43">
        <v>28600</v>
      </c>
      <c r="H7" s="43">
        <v>30900</v>
      </c>
      <c r="I7" s="43">
        <v>33300</v>
      </c>
      <c r="J7" s="43">
        <v>35000</v>
      </c>
      <c r="L7" s="43">
        <v>12600</v>
      </c>
      <c r="M7" s="43">
        <v>29600</v>
      </c>
      <c r="N7" s="43">
        <v>49700</v>
      </c>
      <c r="O7" s="43">
        <v>72200</v>
      </c>
      <c r="P7" s="43">
        <v>97700</v>
      </c>
      <c r="Q7" s="43">
        <v>125200</v>
      </c>
      <c r="R7" s="43">
        <v>154600</v>
      </c>
      <c r="S7" s="43">
        <v>186200</v>
      </c>
      <c r="T7" s="43">
        <v>218500</v>
      </c>
    </row>
    <row r="8" spans="1:68">
      <c r="A8" s="18" t="s">
        <v>12</v>
      </c>
      <c r="B8" s="43">
        <v>13300</v>
      </c>
      <c r="C8" s="43">
        <v>18300</v>
      </c>
      <c r="D8" s="43">
        <v>21500</v>
      </c>
      <c r="E8" s="43">
        <v>25200</v>
      </c>
      <c r="F8" s="43">
        <v>27500</v>
      </c>
      <c r="G8" s="43">
        <v>30300</v>
      </c>
      <c r="H8" s="43">
        <v>32600</v>
      </c>
      <c r="I8" s="43">
        <v>34300</v>
      </c>
      <c r="J8" s="43">
        <v>36100</v>
      </c>
      <c r="L8" s="43">
        <v>13300</v>
      </c>
      <c r="M8" s="43">
        <v>31600</v>
      </c>
      <c r="N8" s="43">
        <v>53400</v>
      </c>
      <c r="O8" s="43">
        <v>78200</v>
      </c>
      <c r="P8" s="43">
        <v>101900</v>
      </c>
      <c r="Q8" s="43">
        <v>130800</v>
      </c>
      <c r="R8" s="43">
        <v>157700</v>
      </c>
      <c r="S8" s="43">
        <v>193000</v>
      </c>
      <c r="T8" s="43">
        <v>226400</v>
      </c>
    </row>
    <row r="9" spans="1:68">
      <c r="A9" s="18" t="s">
        <v>13</v>
      </c>
      <c r="B9" s="43">
        <v>8400</v>
      </c>
      <c r="C9" s="43">
        <v>12200</v>
      </c>
      <c r="D9" s="43">
        <v>16300</v>
      </c>
      <c r="E9" s="43">
        <v>21200</v>
      </c>
      <c r="F9" s="43">
        <v>27300</v>
      </c>
      <c r="G9" s="43">
        <v>32700</v>
      </c>
      <c r="H9" s="43">
        <v>37400</v>
      </c>
      <c r="I9" s="43">
        <v>40600</v>
      </c>
      <c r="J9" s="43">
        <v>43600</v>
      </c>
      <c r="L9" s="43">
        <v>8400</v>
      </c>
      <c r="M9" s="43">
        <v>20600</v>
      </c>
      <c r="N9" s="43">
        <v>36800</v>
      </c>
      <c r="O9" s="43">
        <v>58000</v>
      </c>
      <c r="P9" s="43">
        <v>84300</v>
      </c>
      <c r="Q9" s="43">
        <v>116000</v>
      </c>
      <c r="R9" s="43">
        <v>151700</v>
      </c>
      <c r="S9" s="43">
        <v>190400</v>
      </c>
      <c r="T9" s="43">
        <v>231200</v>
      </c>
    </row>
    <row r="10" spans="1:68">
      <c r="A10" s="18" t="s">
        <v>69</v>
      </c>
      <c r="B10" s="43">
        <v>8900</v>
      </c>
      <c r="C10" s="43">
        <v>12600</v>
      </c>
      <c r="D10" s="43">
        <v>16000</v>
      </c>
      <c r="E10" s="43">
        <v>19000</v>
      </c>
      <c r="F10" s="43">
        <v>21800</v>
      </c>
      <c r="G10" s="43">
        <v>23700</v>
      </c>
      <c r="H10" s="43">
        <v>25900</v>
      </c>
      <c r="I10" s="43">
        <v>27900</v>
      </c>
      <c r="J10" s="43">
        <v>30400</v>
      </c>
      <c r="L10" s="43">
        <v>8900</v>
      </c>
      <c r="M10" s="43">
        <v>21600</v>
      </c>
      <c r="N10" s="43">
        <v>37500</v>
      </c>
      <c r="O10" s="43">
        <v>56100</v>
      </c>
      <c r="P10" s="43">
        <v>77300</v>
      </c>
      <c r="Q10" s="43">
        <v>100600</v>
      </c>
      <c r="R10" s="43">
        <v>125600</v>
      </c>
      <c r="S10" s="43">
        <v>151700</v>
      </c>
      <c r="T10" s="43">
        <v>181500</v>
      </c>
    </row>
    <row r="11" spans="1:68">
      <c r="A11" s="18" t="s">
        <v>18</v>
      </c>
      <c r="B11" s="43">
        <v>8600</v>
      </c>
      <c r="C11" s="43">
        <v>13100</v>
      </c>
      <c r="D11" s="43">
        <v>17100</v>
      </c>
      <c r="E11" s="43">
        <v>20600</v>
      </c>
      <c r="F11" s="43">
        <v>23600</v>
      </c>
      <c r="G11" s="43">
        <v>26100</v>
      </c>
      <c r="H11" s="43">
        <v>28400</v>
      </c>
      <c r="I11" s="43">
        <v>30600</v>
      </c>
      <c r="J11" s="43">
        <v>33100</v>
      </c>
      <c r="L11" s="43">
        <v>8600</v>
      </c>
      <c r="M11" s="43">
        <v>21600</v>
      </c>
      <c r="N11" s="43">
        <v>38800</v>
      </c>
      <c r="O11" s="43">
        <v>59000</v>
      </c>
      <c r="P11" s="43">
        <v>82000</v>
      </c>
      <c r="Q11" s="43">
        <v>107400</v>
      </c>
      <c r="R11" s="43">
        <v>134900</v>
      </c>
      <c r="S11" s="43">
        <v>164000</v>
      </c>
      <c r="T11" s="43">
        <v>196500</v>
      </c>
    </row>
    <row r="12" spans="1:68">
      <c r="A12" s="18" t="s">
        <v>19</v>
      </c>
      <c r="B12" s="43">
        <v>11000</v>
      </c>
      <c r="C12" s="43">
        <v>16200</v>
      </c>
      <c r="D12" s="43">
        <v>20800</v>
      </c>
      <c r="E12" s="43">
        <v>24800</v>
      </c>
      <c r="F12" s="43">
        <v>28700</v>
      </c>
      <c r="G12" s="43">
        <v>32000</v>
      </c>
      <c r="H12" s="43">
        <v>35300</v>
      </c>
      <c r="I12" s="43">
        <v>38500</v>
      </c>
      <c r="J12" s="43">
        <v>40500</v>
      </c>
      <c r="L12" s="43">
        <v>11000</v>
      </c>
      <c r="M12" s="43">
        <v>27200</v>
      </c>
      <c r="N12" s="43">
        <v>48000</v>
      </c>
      <c r="O12" s="43">
        <v>72700</v>
      </c>
      <c r="P12" s="43">
        <v>101000</v>
      </c>
      <c r="Q12" s="43">
        <v>132000</v>
      </c>
      <c r="R12" s="43">
        <v>166000</v>
      </c>
      <c r="S12" s="43">
        <v>203100</v>
      </c>
      <c r="T12" s="43">
        <v>241900</v>
      </c>
    </row>
    <row r="13" spans="1:68">
      <c r="A13" s="18" t="s">
        <v>14</v>
      </c>
      <c r="B13" s="43">
        <v>7700</v>
      </c>
      <c r="C13" s="43">
        <v>10600</v>
      </c>
      <c r="D13" s="43">
        <v>15300</v>
      </c>
      <c r="E13" s="43">
        <v>19800</v>
      </c>
      <c r="F13" s="43">
        <v>24200</v>
      </c>
      <c r="G13" s="43">
        <v>27600</v>
      </c>
      <c r="H13" s="43">
        <v>30700</v>
      </c>
      <c r="I13" s="43">
        <v>34100</v>
      </c>
      <c r="J13" s="43">
        <v>36800</v>
      </c>
      <c r="L13" s="43">
        <v>7700</v>
      </c>
      <c r="M13" s="43">
        <v>18200</v>
      </c>
      <c r="N13" s="43">
        <v>33400</v>
      </c>
      <c r="O13" s="43">
        <v>53100</v>
      </c>
      <c r="P13" s="43">
        <v>76800</v>
      </c>
      <c r="Q13" s="43">
        <v>103600</v>
      </c>
      <c r="R13" s="43">
        <v>133000</v>
      </c>
      <c r="S13" s="43">
        <v>165700</v>
      </c>
      <c r="T13" s="43">
        <v>201400</v>
      </c>
    </row>
    <row r="14" spans="1:68" ht="15.75" thickBot="1">
      <c r="A14" s="20" t="s">
        <v>15</v>
      </c>
      <c r="B14" s="44">
        <v>5700</v>
      </c>
      <c r="C14" s="44">
        <v>7000</v>
      </c>
      <c r="D14" s="44">
        <v>8200</v>
      </c>
      <c r="E14" s="44">
        <v>12700</v>
      </c>
      <c r="F14" s="44">
        <v>21500</v>
      </c>
      <c r="G14" s="44">
        <v>30000</v>
      </c>
      <c r="H14" s="44">
        <v>38400</v>
      </c>
      <c r="I14" s="44">
        <v>44900</v>
      </c>
      <c r="J14" s="44">
        <v>50400</v>
      </c>
      <c r="L14" s="44">
        <v>5700</v>
      </c>
      <c r="M14" s="44">
        <v>12600</v>
      </c>
      <c r="N14" s="44">
        <v>20800</v>
      </c>
      <c r="O14" s="44">
        <v>33500</v>
      </c>
      <c r="P14" s="44">
        <v>55000</v>
      </c>
      <c r="Q14" s="44">
        <v>84800</v>
      </c>
      <c r="R14" s="44">
        <v>122300</v>
      </c>
      <c r="S14" s="44">
        <v>165000</v>
      </c>
      <c r="T14" s="44">
        <v>212700</v>
      </c>
    </row>
    <row r="15" spans="1:68">
      <c r="A15" s="31"/>
      <c r="B15" s="37"/>
      <c r="C15" s="38"/>
      <c r="D15" s="38"/>
      <c r="E15" s="38"/>
      <c r="F15" s="38"/>
    </row>
    <row r="16" spans="1:68">
      <c r="A16" s="9" t="s">
        <v>56</v>
      </c>
      <c r="B16" s="1"/>
      <c r="C16" s="1"/>
      <c r="D16" s="1"/>
      <c r="E16" s="1"/>
      <c r="F16" s="1"/>
      <c r="G16" s="1"/>
      <c r="H16" s="5"/>
      <c r="I16" s="5"/>
      <c r="J16" s="5"/>
      <c r="M16" s="5"/>
      <c r="N16" s="2"/>
      <c r="O16" s="1"/>
      <c r="X16" s="5"/>
      <c r="Y16" s="2"/>
      <c r="Z16" s="1"/>
      <c r="BP16" s="5"/>
    </row>
    <row r="17" spans="1:1">
      <c r="A17" s="25" t="s">
        <v>57</v>
      </c>
    </row>
    <row r="18" spans="1:1">
      <c r="A18" s="25" t="s">
        <v>28</v>
      </c>
    </row>
    <row r="19" spans="1:1">
      <c r="A19" s="25" t="s">
        <v>54</v>
      </c>
    </row>
    <row r="20" spans="1:1">
      <c r="A20" s="25" t="s">
        <v>55</v>
      </c>
    </row>
    <row r="21" spans="1:1">
      <c r="A21" s="25" t="s">
        <v>16</v>
      </c>
    </row>
    <row r="22" spans="1:1">
      <c r="A22" s="25" t="s">
        <v>17</v>
      </c>
    </row>
    <row r="23" spans="1:1">
      <c r="A23" s="25"/>
    </row>
  </sheetData>
  <mergeCells count="2">
    <mergeCell ref="B3:J3"/>
    <mergeCell ref="L3:T3"/>
  </mergeCells>
  <conditionalFormatting sqref="B15:F15">
    <cfRule type="expression" dxfId="9" priority="6">
      <formula>B15="S"</formula>
    </cfRule>
  </conditionalFormatting>
  <conditionalFormatting sqref="Q5:T14">
    <cfRule type="expression" dxfId="8" priority="3">
      <formula>Q5="S"</formula>
    </cfRule>
  </conditionalFormatting>
  <conditionalFormatting sqref="L5:P14">
    <cfRule type="expression" dxfId="7" priority="4">
      <formula>L5="S"</formula>
    </cfRule>
  </conditionalFormatting>
  <conditionalFormatting sqref="B5:F14">
    <cfRule type="expression" dxfId="6" priority="2">
      <formula>B5="S"</formula>
    </cfRule>
  </conditionalFormatting>
  <conditionalFormatting sqref="G5:J14">
    <cfRule type="expression" dxfId="5" priority="1">
      <formula>G5="S"</formula>
    </cfRule>
  </conditionalFormatting>
  <hyperlinks>
    <hyperlink ref="A2" location="Index!A1" display="Back to Index"/>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BD22"/>
  <sheetViews>
    <sheetView zoomScale="80" zoomScaleNormal="80" workbookViewId="0">
      <pane ySplit="1" topLeftCell="A2" activePane="bottomLeft" state="frozen"/>
      <selection pane="bottomLeft" activeCell="A2" sqref="A2"/>
    </sheetView>
  </sheetViews>
  <sheetFormatPr defaultRowHeight="15"/>
  <cols>
    <col min="1" max="1" width="23.5703125" style="2" customWidth="1"/>
    <col min="2" max="2" width="9.85546875" style="36" customWidth="1"/>
    <col min="3" max="10" width="11.42578125" style="36" customWidth="1"/>
    <col min="11" max="11" width="8.42578125" style="5" bestFit="1" customWidth="1"/>
    <col min="12" max="12" width="12.140625" style="2" customWidth="1"/>
    <col min="13" max="13" width="12.140625" style="1" customWidth="1"/>
    <col min="14" max="20" width="12.140625" style="5" customWidth="1"/>
    <col min="21" max="22" width="8.42578125" style="5" bestFit="1" customWidth="1"/>
    <col min="23" max="31" width="7.5703125" style="5" customWidth="1"/>
    <col min="32" max="33" width="8.42578125" style="5" bestFit="1" customWidth="1"/>
    <col min="34" max="42" width="7.5703125" style="5" customWidth="1"/>
    <col min="43" max="44" width="8.42578125" style="5" bestFit="1" customWidth="1"/>
    <col min="45" max="55" width="9.140625" style="5" customWidth="1"/>
    <col min="56" max="16384" width="9.140625" style="1"/>
  </cols>
  <sheetData>
    <row r="1" spans="1:56" ht="18.75">
      <c r="A1" s="3" t="s">
        <v>67</v>
      </c>
    </row>
    <row r="2" spans="1:56" ht="24" customHeight="1" thickBot="1">
      <c r="A2" s="14" t="s">
        <v>2</v>
      </c>
    </row>
    <row r="3" spans="1:56" ht="24" customHeight="1" thickBot="1">
      <c r="A3" s="45"/>
      <c r="B3" s="57" t="s">
        <v>40</v>
      </c>
      <c r="C3" s="58"/>
      <c r="D3" s="58"/>
      <c r="E3" s="58"/>
      <c r="F3" s="58"/>
      <c r="G3" s="58"/>
      <c r="H3" s="58"/>
      <c r="I3" s="58"/>
      <c r="J3" s="59"/>
      <c r="L3" s="57" t="s">
        <v>51</v>
      </c>
      <c r="M3" s="58"/>
      <c r="N3" s="58"/>
      <c r="O3" s="58"/>
      <c r="P3" s="58"/>
      <c r="Q3" s="58"/>
      <c r="R3" s="58"/>
      <c r="S3" s="58"/>
      <c r="T3" s="59"/>
    </row>
    <row r="4" spans="1:56" ht="35.25" customHeight="1" thickBot="1">
      <c r="A4" s="10" t="s">
        <v>50</v>
      </c>
      <c r="B4" s="34" t="s">
        <v>41</v>
      </c>
      <c r="C4" s="34" t="s">
        <v>42</v>
      </c>
      <c r="D4" s="34" t="s">
        <v>43</v>
      </c>
      <c r="E4" s="34" t="s">
        <v>44</v>
      </c>
      <c r="F4" s="34" t="s">
        <v>45</v>
      </c>
      <c r="G4" s="34" t="s">
        <v>46</v>
      </c>
      <c r="H4" s="34" t="s">
        <v>47</v>
      </c>
      <c r="I4" s="34" t="s">
        <v>48</v>
      </c>
      <c r="J4" s="35" t="s">
        <v>49</v>
      </c>
      <c r="L4" s="34" t="s">
        <v>41</v>
      </c>
      <c r="M4" s="34" t="s">
        <v>42</v>
      </c>
      <c r="N4" s="34" t="s">
        <v>43</v>
      </c>
      <c r="O4" s="34" t="s">
        <v>44</v>
      </c>
      <c r="P4" s="34" t="s">
        <v>45</v>
      </c>
      <c r="Q4" s="34" t="s">
        <v>46</v>
      </c>
      <c r="R4" s="34" t="s">
        <v>47</v>
      </c>
      <c r="S4" s="34" t="s">
        <v>48</v>
      </c>
      <c r="T4" s="35" t="s">
        <v>49</v>
      </c>
    </row>
    <row r="5" spans="1:56">
      <c r="A5" s="46">
        <v>2009</v>
      </c>
      <c r="B5" s="42">
        <v>7900</v>
      </c>
      <c r="C5" s="42">
        <v>10900</v>
      </c>
      <c r="D5" s="42">
        <v>13800</v>
      </c>
      <c r="E5" s="42">
        <v>17700</v>
      </c>
      <c r="F5" s="42">
        <v>23200</v>
      </c>
      <c r="G5" s="42">
        <v>28200</v>
      </c>
      <c r="H5" s="42">
        <v>32900</v>
      </c>
      <c r="I5" s="42">
        <v>36900</v>
      </c>
      <c r="J5" s="42">
        <v>40200</v>
      </c>
      <c r="L5" s="42">
        <v>7900</v>
      </c>
      <c r="M5" s="42">
        <v>18800</v>
      </c>
      <c r="N5" s="42">
        <v>32400</v>
      </c>
      <c r="O5" s="42">
        <v>49900</v>
      </c>
      <c r="P5" s="42">
        <v>72900</v>
      </c>
      <c r="Q5" s="42">
        <v>100600</v>
      </c>
      <c r="R5" s="42">
        <v>132500</v>
      </c>
      <c r="S5" s="42">
        <v>167800</v>
      </c>
      <c r="T5" s="42">
        <v>206100</v>
      </c>
    </row>
    <row r="6" spans="1:56">
      <c r="A6" s="46">
        <v>2010</v>
      </c>
      <c r="B6" s="43">
        <v>8100</v>
      </c>
      <c r="C6" s="43">
        <v>11600</v>
      </c>
      <c r="D6" s="43">
        <v>14600</v>
      </c>
      <c r="E6" s="43">
        <v>18900</v>
      </c>
      <c r="F6" s="43">
        <v>24400</v>
      </c>
      <c r="G6" s="43">
        <v>29600</v>
      </c>
      <c r="H6" s="43">
        <v>34400</v>
      </c>
      <c r="I6" s="43">
        <v>38000</v>
      </c>
      <c r="J6" s="43"/>
      <c r="L6" s="43">
        <v>8100</v>
      </c>
      <c r="M6" s="43">
        <v>19600</v>
      </c>
      <c r="N6" s="43">
        <v>34100</v>
      </c>
      <c r="O6" s="43">
        <v>52800</v>
      </c>
      <c r="P6" s="43">
        <v>77000</v>
      </c>
      <c r="Q6" s="43">
        <v>106100</v>
      </c>
      <c r="R6" s="43">
        <v>139300</v>
      </c>
      <c r="S6" s="43">
        <v>175800</v>
      </c>
      <c r="T6" s="43"/>
    </row>
    <row r="7" spans="1:56">
      <c r="A7" s="46">
        <v>2011</v>
      </c>
      <c r="B7" s="43">
        <v>8300</v>
      </c>
      <c r="C7" s="43">
        <v>11900</v>
      </c>
      <c r="D7" s="43">
        <v>15200</v>
      </c>
      <c r="E7" s="43">
        <v>19400</v>
      </c>
      <c r="F7" s="43">
        <v>25100</v>
      </c>
      <c r="G7" s="43">
        <v>30600</v>
      </c>
      <c r="H7" s="43">
        <v>35400</v>
      </c>
      <c r="I7" s="43"/>
      <c r="J7" s="43"/>
      <c r="L7" s="43">
        <v>8300</v>
      </c>
      <c r="M7" s="43">
        <v>20100</v>
      </c>
      <c r="N7" s="43">
        <v>35200</v>
      </c>
      <c r="O7" s="43">
        <v>54300</v>
      </c>
      <c r="P7" s="43">
        <v>79200</v>
      </c>
      <c r="Q7" s="43">
        <v>109300</v>
      </c>
      <c r="R7" s="43">
        <v>143600</v>
      </c>
      <c r="S7" s="43"/>
      <c r="T7" s="43"/>
    </row>
    <row r="8" spans="1:56">
      <c r="A8" s="46">
        <v>2012</v>
      </c>
      <c r="B8" s="43">
        <v>8500</v>
      </c>
      <c r="C8" s="43">
        <v>12600</v>
      </c>
      <c r="D8" s="43">
        <v>15800</v>
      </c>
      <c r="E8" s="43">
        <v>20300</v>
      </c>
      <c r="F8" s="43">
        <v>26600</v>
      </c>
      <c r="G8" s="43">
        <v>32200</v>
      </c>
      <c r="H8" s="43"/>
      <c r="I8" s="43"/>
      <c r="J8" s="43"/>
      <c r="L8" s="43">
        <v>8500</v>
      </c>
      <c r="M8" s="43">
        <v>21000</v>
      </c>
      <c r="N8" s="43">
        <v>36600</v>
      </c>
      <c r="O8" s="43">
        <v>56700</v>
      </c>
      <c r="P8" s="43">
        <v>83000</v>
      </c>
      <c r="Q8" s="43">
        <v>114800</v>
      </c>
      <c r="R8" s="43"/>
      <c r="S8" s="43"/>
      <c r="T8" s="43"/>
    </row>
    <row r="9" spans="1:56">
      <c r="A9" s="46">
        <v>2013</v>
      </c>
      <c r="B9" s="43">
        <v>9000</v>
      </c>
      <c r="C9" s="43">
        <v>12900</v>
      </c>
      <c r="D9" s="43">
        <v>16100</v>
      </c>
      <c r="E9" s="43">
        <v>21200</v>
      </c>
      <c r="F9" s="43">
        <v>27700</v>
      </c>
      <c r="G9" s="43"/>
      <c r="H9" s="43"/>
      <c r="I9" s="43"/>
      <c r="J9" s="43"/>
      <c r="L9" s="43">
        <v>9000</v>
      </c>
      <c r="M9" s="43">
        <v>21700</v>
      </c>
      <c r="N9" s="43">
        <v>37700</v>
      </c>
      <c r="O9" s="43">
        <v>58700</v>
      </c>
      <c r="P9" s="43">
        <v>86200</v>
      </c>
      <c r="Q9" s="43"/>
      <c r="R9" s="43"/>
      <c r="S9" s="43"/>
      <c r="T9" s="43"/>
    </row>
    <row r="10" spans="1:56">
      <c r="A10" s="46">
        <v>2014</v>
      </c>
      <c r="B10" s="43">
        <v>9200</v>
      </c>
      <c r="C10" s="43">
        <v>13400</v>
      </c>
      <c r="D10" s="43">
        <v>17200</v>
      </c>
      <c r="E10" s="43">
        <v>22400</v>
      </c>
      <c r="F10" s="43"/>
      <c r="G10" s="43"/>
      <c r="H10" s="43"/>
      <c r="I10" s="43"/>
      <c r="J10" s="43"/>
      <c r="L10" s="43">
        <v>9200</v>
      </c>
      <c r="M10" s="43">
        <v>22500</v>
      </c>
      <c r="N10" s="43">
        <v>39600</v>
      </c>
      <c r="O10" s="43">
        <v>61700</v>
      </c>
      <c r="P10" s="43"/>
      <c r="Q10" s="43"/>
      <c r="R10" s="43"/>
      <c r="S10" s="43"/>
      <c r="T10" s="43"/>
    </row>
    <row r="11" spans="1:56">
      <c r="A11" s="46">
        <v>2015</v>
      </c>
      <c r="B11" s="43">
        <v>9800</v>
      </c>
      <c r="C11" s="43">
        <v>14800</v>
      </c>
      <c r="D11" s="43">
        <v>18400</v>
      </c>
      <c r="E11" s="43"/>
      <c r="F11" s="43"/>
      <c r="G11" s="43"/>
      <c r="H11" s="43"/>
      <c r="I11" s="43"/>
      <c r="J11" s="43"/>
      <c r="L11" s="43">
        <v>9800</v>
      </c>
      <c r="M11" s="43">
        <v>24500</v>
      </c>
      <c r="N11" s="43">
        <v>42700</v>
      </c>
      <c r="O11" s="43"/>
      <c r="P11" s="43"/>
      <c r="Q11" s="43"/>
      <c r="R11" s="43"/>
      <c r="S11" s="43"/>
      <c r="T11" s="43"/>
    </row>
    <row r="12" spans="1:56">
      <c r="A12" s="46">
        <v>2016</v>
      </c>
      <c r="B12" s="43">
        <v>11200</v>
      </c>
      <c r="C12" s="43">
        <v>16100</v>
      </c>
      <c r="D12" s="43"/>
      <c r="E12" s="43"/>
      <c r="F12" s="43"/>
      <c r="G12" s="43"/>
      <c r="H12" s="43"/>
      <c r="I12" s="43"/>
      <c r="J12" s="43"/>
      <c r="L12" s="43">
        <v>11200</v>
      </c>
      <c r="M12" s="43">
        <v>27200</v>
      </c>
      <c r="N12" s="43"/>
      <c r="O12" s="43"/>
      <c r="P12" s="43"/>
      <c r="Q12" s="43"/>
      <c r="R12" s="43"/>
      <c r="S12" s="43"/>
      <c r="T12" s="43"/>
    </row>
    <row r="13" spans="1:56" ht="15.75" thickBot="1">
      <c r="A13" s="47">
        <v>2017</v>
      </c>
      <c r="B13" s="44">
        <v>11900</v>
      </c>
      <c r="C13" s="44"/>
      <c r="D13" s="44"/>
      <c r="E13" s="44"/>
      <c r="F13" s="44"/>
      <c r="G13" s="44"/>
      <c r="H13" s="44"/>
      <c r="I13" s="44"/>
      <c r="J13" s="44"/>
      <c r="L13" s="44">
        <v>11900</v>
      </c>
      <c r="M13" s="44"/>
      <c r="N13" s="44"/>
      <c r="O13" s="44"/>
      <c r="P13" s="44"/>
      <c r="Q13" s="44"/>
      <c r="R13" s="44"/>
      <c r="S13" s="44"/>
      <c r="T13" s="44"/>
    </row>
    <row r="14" spans="1:56">
      <c r="A14" s="31"/>
      <c r="B14" s="37"/>
      <c r="C14" s="38"/>
      <c r="D14" s="38"/>
      <c r="E14" s="38"/>
      <c r="F14" s="38"/>
    </row>
    <row r="15" spans="1:56">
      <c r="A15" s="9" t="s">
        <v>56</v>
      </c>
      <c r="B15" s="1"/>
      <c r="C15" s="1"/>
      <c r="D15" s="1"/>
      <c r="E15" s="1"/>
      <c r="F15" s="1"/>
      <c r="G15" s="1"/>
      <c r="H15" s="5"/>
      <c r="I15" s="5"/>
      <c r="J15" s="5"/>
      <c r="L15" s="5"/>
      <c r="M15" s="2"/>
      <c r="N15" s="1"/>
      <c r="BD15" s="5"/>
    </row>
    <row r="16" spans="1:56">
      <c r="A16" s="25" t="s">
        <v>57</v>
      </c>
    </row>
    <row r="17" spans="1:1">
      <c r="A17" s="25" t="s">
        <v>28</v>
      </c>
    </row>
    <row r="18" spans="1:1">
      <c r="A18" s="25" t="s">
        <v>54</v>
      </c>
    </row>
    <row r="19" spans="1:1">
      <c r="A19" s="25" t="s">
        <v>55</v>
      </c>
    </row>
    <row r="20" spans="1:1">
      <c r="A20" s="25" t="s">
        <v>16</v>
      </c>
    </row>
    <row r="21" spans="1:1">
      <c r="A21" s="25" t="s">
        <v>17</v>
      </c>
    </row>
    <row r="22" spans="1:1">
      <c r="A22" s="25"/>
    </row>
  </sheetData>
  <mergeCells count="2">
    <mergeCell ref="B3:J3"/>
    <mergeCell ref="L3:T3"/>
  </mergeCells>
  <conditionalFormatting sqref="B14:F14">
    <cfRule type="expression" dxfId="4" priority="7">
      <formula>B14="S"</formula>
    </cfRule>
  </conditionalFormatting>
  <conditionalFormatting sqref="B5:F13">
    <cfRule type="expression" dxfId="3" priority="4">
      <formula>B5="S"</formula>
    </cfRule>
  </conditionalFormatting>
  <conditionalFormatting sqref="G5:J13">
    <cfRule type="expression" dxfId="2" priority="3">
      <formula>G5="S"</formula>
    </cfRule>
  </conditionalFormatting>
  <conditionalFormatting sqref="L5:P13">
    <cfRule type="expression" dxfId="1" priority="2">
      <formula>L5="S"</formula>
    </cfRule>
  </conditionalFormatting>
  <conditionalFormatting sqref="Q5:T13">
    <cfRule type="expression" dxfId="0" priority="1">
      <formula>Q5="S"</formula>
    </cfRule>
  </conditionalFormatting>
  <hyperlinks>
    <hyperlink ref="A2" location="Index!A1" display="Back to Index"/>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Index</vt:lpstr>
      <vt:lpstr>IDI Disclaimer</vt:lpstr>
      <vt:lpstr>SLE.1</vt:lpstr>
      <vt:lpstr>SLE.2</vt:lpstr>
      <vt:lpstr>SLE.3</vt:lpstr>
      <vt:lpstr>SLE.4</vt:lpstr>
      <vt:lpstr>SLE.5</vt:lpstr>
    </vt:vector>
  </TitlesOfParts>
  <Company>Statistics New Zealand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Zaneta Park 2</dc:creator>
  <cp:lastModifiedBy>David Scott</cp:lastModifiedBy>
  <dcterms:created xsi:type="dcterms:W3CDTF">2013-07-17T03:33:59Z</dcterms:created>
  <dcterms:modified xsi:type="dcterms:W3CDTF">2020-06-22T21:35:46Z</dcterms:modified>
</cp:coreProperties>
</file>