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24226"/>
  <mc:AlternateContent xmlns:mc="http://schemas.openxmlformats.org/markup-compatibility/2006">
    <mc:Choice Requires="x15">
      <x15ac:absPath xmlns:x15ac="http://schemas.microsoft.com/office/spreadsheetml/2010/11/ac" url="\\moe\shares\SAS\TSPA\EdCounts Tables and Indicators\tables-pending\Retention-Achievement\"/>
    </mc:Choice>
  </mc:AlternateContent>
  <xr:revisionPtr revIDLastSave="0" documentId="13_ncr:1_{4E04A83D-2D95-4AF3-A7A5-49E678678C49}" xr6:coauthVersionLast="47" xr6:coauthVersionMax="47" xr10:uidLastSave="{00000000-0000-0000-0000-000000000000}"/>
  <bookViews>
    <workbookView xWindow="1215" yWindow="-120" windowWidth="27705" windowHeight="16440" tabRatio="869" xr2:uid="{00000000-000D-0000-FFFF-FFFF00000000}"/>
  </bookViews>
  <sheets>
    <sheet name="Index" sheetId="51" r:id="rId1"/>
    <sheet name="Technical Notes" sheetId="52" r:id="rId2"/>
    <sheet name="CSC.1" sheetId="38" r:id="rId3"/>
    <sheet name="CSC.2" sheetId="40" r:id="rId4"/>
    <sheet name="CSC.3" sheetId="42" r:id="rId5"/>
    <sheet name="CSC.4" sheetId="43" r:id="rId6"/>
    <sheet name="CSC.5" sheetId="44" r:id="rId7"/>
    <sheet name="CSC.6" sheetId="45" r:id="rId8"/>
    <sheet name="CSC.7" sheetId="54" r:id="rId9"/>
  </sheets>
  <definedNames>
    <definedName name="_xlnm.Print_Titles" localSheetId="3">'CSC.2'!$1:$3</definedName>
    <definedName name="_xlnm.Print_Titles" localSheetId="7">'CSC.6'!#REF!,'CSC.6'!$1:$3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 i="51" l="1"/>
  <c r="B8" i="51" l="1"/>
  <c r="B7" i="51"/>
  <c r="B6" i="51"/>
  <c r="B5" i="51"/>
  <c r="B4" i="51"/>
  <c r="B3" i="51"/>
</calcChain>
</file>

<file path=xl/sharedStrings.xml><?xml version="1.0" encoding="utf-8"?>
<sst xmlns="http://schemas.openxmlformats.org/spreadsheetml/2006/main" count="485" uniqueCount="145">
  <si>
    <t>Total</t>
  </si>
  <si>
    <t>Wānanga</t>
  </si>
  <si>
    <t>All providers</t>
  </si>
  <si>
    <t>Polytechnic</t>
  </si>
  <si>
    <t>Gender</t>
  </si>
  <si>
    <t>Age group</t>
  </si>
  <si>
    <t>Ethnic group</t>
  </si>
  <si>
    <t>European</t>
  </si>
  <si>
    <t>Māori</t>
  </si>
  <si>
    <t>Asian</t>
  </si>
  <si>
    <t>Under 18</t>
  </si>
  <si>
    <t>25 to 39</t>
  </si>
  <si>
    <t>40 and over</t>
  </si>
  <si>
    <t>Other</t>
  </si>
  <si>
    <t>Table Index</t>
  </si>
  <si>
    <t>CSC.1</t>
  </si>
  <si>
    <t>CSC.2</t>
  </si>
  <si>
    <t>CSC.3</t>
  </si>
  <si>
    <t>CSC.4</t>
  </si>
  <si>
    <t>CSC.5</t>
  </si>
  <si>
    <t>CSC.6</t>
  </si>
  <si>
    <t>CSC.7</t>
  </si>
  <si>
    <t>Sub-sector</t>
  </si>
  <si>
    <t>18 to 19</t>
  </si>
  <si>
    <t>20 to 24</t>
  </si>
  <si>
    <t>Notes:</t>
  </si>
  <si>
    <t>Certificates 4</t>
  </si>
  <si>
    <t>Females</t>
  </si>
  <si>
    <t>Males</t>
  </si>
  <si>
    <t>Universities</t>
  </si>
  <si>
    <t>Intramural</t>
  </si>
  <si>
    <t>Extramural</t>
  </si>
  <si>
    <t>Attendance 
status</t>
  </si>
  <si>
    <t>Broad and narrow field of study</t>
  </si>
  <si>
    <t>Certificates 1</t>
  </si>
  <si>
    <t>Certificates 2</t>
  </si>
  <si>
    <t>Certificates 3</t>
  </si>
  <si>
    <t>Natural and Physical Sciences</t>
  </si>
  <si>
    <t>Mathematical Sciences</t>
  </si>
  <si>
    <t>Physics and Astronomy</t>
  </si>
  <si>
    <t>Chemical Sciences</t>
  </si>
  <si>
    <t>Earth Sciences</t>
  </si>
  <si>
    <t>Biological Sciences</t>
  </si>
  <si>
    <t>Other Natural and Physical Sciences</t>
  </si>
  <si>
    <t>Information Technology</t>
  </si>
  <si>
    <t>Computer Science</t>
  </si>
  <si>
    <t>Information Systems</t>
  </si>
  <si>
    <t>Other Information Technology</t>
  </si>
  <si>
    <t>Engineering and Related Technologies</t>
  </si>
  <si>
    <t>Manufacturing, Engineering and Technology</t>
  </si>
  <si>
    <t>Process and Resources Engineering</t>
  </si>
  <si>
    <t>Automotive Engineering and Technology</t>
  </si>
  <si>
    <t>Mechanical and Industrial Engineering and Technology</t>
  </si>
  <si>
    <t>Civil Engineering</t>
  </si>
  <si>
    <t>Geomatic Engineering</t>
  </si>
  <si>
    <t>Electrical and Electronic Engineering and Technology</t>
  </si>
  <si>
    <t>Aerospace Engineering and Technology</t>
  </si>
  <si>
    <t>Maritime Engineering and Technology</t>
  </si>
  <si>
    <t>Other Engineering and Related Technologies</t>
  </si>
  <si>
    <t>Architecture and Building</t>
  </si>
  <si>
    <t>Architecture and Urban Environment</t>
  </si>
  <si>
    <t>Building</t>
  </si>
  <si>
    <t>Agriculture, Environmental and Related Studies</t>
  </si>
  <si>
    <t>Agriculture</t>
  </si>
  <si>
    <t>Horticulture and Viticulture</t>
  </si>
  <si>
    <t>Forestry Studies</t>
  </si>
  <si>
    <t>Fisheries Studies</t>
  </si>
  <si>
    <t>Environmental Studies</t>
  </si>
  <si>
    <t>Other Agriculture, Environmental and Related Studies</t>
  </si>
  <si>
    <t>Health</t>
  </si>
  <si>
    <t>Medical Studies</t>
  </si>
  <si>
    <t>Nursing</t>
  </si>
  <si>
    <t>Pharmacy</t>
  </si>
  <si>
    <t>Dental Studies</t>
  </si>
  <si>
    <t>Optical Science</t>
  </si>
  <si>
    <t>Veterinary Studies</t>
  </si>
  <si>
    <t>Public Health</t>
  </si>
  <si>
    <t>Radiography</t>
  </si>
  <si>
    <t>Rehabilitation Therapies</t>
  </si>
  <si>
    <t>Complementary Therapies</t>
  </si>
  <si>
    <t>Other Health</t>
  </si>
  <si>
    <t>Education</t>
  </si>
  <si>
    <t>Teacher Education</t>
  </si>
  <si>
    <t>Curriculum and Education Studies</t>
  </si>
  <si>
    <t>Other Education</t>
  </si>
  <si>
    <t>Management and Commerce</t>
  </si>
  <si>
    <t>Accountancy</t>
  </si>
  <si>
    <t>Business and Management</t>
  </si>
  <si>
    <t>Sales and Marketing</t>
  </si>
  <si>
    <t>Tourism</t>
  </si>
  <si>
    <t>Banking, Finance and Related Fields</t>
  </si>
  <si>
    <t>Other Management and Commerce</t>
  </si>
  <si>
    <t>Society and Culture</t>
  </si>
  <si>
    <t>Political Science and Policy Studies</t>
  </si>
  <si>
    <t>Studies in Human Society</t>
  </si>
  <si>
    <t>Human Welfare Studies and Services</t>
  </si>
  <si>
    <t>Behavioural Science</t>
  </si>
  <si>
    <t>Law</t>
  </si>
  <si>
    <t>Justice and Law Enforcement</t>
  </si>
  <si>
    <t>Librarianship, Information Management and Curatorial Studies</t>
  </si>
  <si>
    <t>Language and Literature</t>
  </si>
  <si>
    <t>Philosophy and Religious Studies</t>
  </si>
  <si>
    <t>Economics and Econometrics</t>
  </si>
  <si>
    <t>Sport and Recreation</t>
  </si>
  <si>
    <t>Other Society and Culture</t>
  </si>
  <si>
    <t>Creative Arts</t>
  </si>
  <si>
    <t>Performing Arts</t>
  </si>
  <si>
    <t>Visual Arts and Crafts</t>
  </si>
  <si>
    <t>Graphic and Design Studies</t>
  </si>
  <si>
    <t>Communication and Media Studies</t>
  </si>
  <si>
    <t>Other Creative Arts</t>
  </si>
  <si>
    <t>Food, Hospitality and Personal Services</t>
  </si>
  <si>
    <t>Food and Hospitality</t>
  </si>
  <si>
    <t>Personal Services</t>
  </si>
  <si>
    <t>Mixed Field Programmes</t>
  </si>
  <si>
    <t>General Education Programmes</t>
  </si>
  <si>
    <t>Social Skills Programmes</t>
  </si>
  <si>
    <t>Employment Skills Programmes</t>
  </si>
  <si>
    <t>Year completed</t>
  </si>
  <si>
    <t>Rates are calculated only where EFTS consumed are greater than 29.</t>
  </si>
  <si>
    <t>Data in this table has been revised, and may differ from previously published figures.</t>
  </si>
  <si>
    <t>Field of study is determined at the course level.</t>
  </si>
  <si>
    <t>Office Administration</t>
  </si>
  <si>
    <t>Pacific Peoples</t>
  </si>
  <si>
    <t>Refer to the technical notes for information on how the course completion rates are calculated.</t>
  </si>
  <si>
    <t>Certificates &amp; diplomas 5-7</t>
  </si>
  <si>
    <t>Technical notes on course completion rates (CCR)</t>
  </si>
  <si>
    <t>Other Mixed Field Programmes</t>
  </si>
  <si>
    <t>Bachelors degrees 7</t>
  </si>
  <si>
    <t>Graduate certificates/
diplomas 7</t>
  </si>
  <si>
    <t>Honours &amp; postgrad. cert/dips. 8</t>
  </si>
  <si>
    <t>Masters 9</t>
  </si>
  <si>
    <t>Age is calculated as at 31 December.</t>
  </si>
  <si>
    <t>Students are counted in each ethnic group they identify with.</t>
  </si>
  <si>
    <t>Te Pūkenga</t>
  </si>
  <si>
    <t>Private Training Establishments</t>
  </si>
  <si>
    <t>Private training establishments</t>
  </si>
  <si>
    <t>Totals also include those students indicating another gender and with unknown values.</t>
  </si>
  <si>
    <t>Course completion rates for domestic students by sub-sector, year completed and qualification type/NZQCF level, 2015 to 2024</t>
  </si>
  <si>
    <t>Course completion rates for domestic students by ethnic group, age group, gender and qualification type/NZQCF level for courses that ended in 2024</t>
  </si>
  <si>
    <t>Course completion rates for domestic students by sub-sector, ethnic group, and qualification type/NZQCF level for courses that ended in 2024</t>
  </si>
  <si>
    <t>Course completion rates for domestic students by sub-sector, age group, and qualification type/NZQCF level for courses that ended in 2024</t>
  </si>
  <si>
    <t>Course completion rates for domestic students by sub-sector, gender, and qualification type/NZQCF level for courses that ended in 2024</t>
  </si>
  <si>
    <t>Course completion rates for domestic students by field of study and qualification type/NZQCF level for courses that ended in 2024</t>
  </si>
  <si>
    <t>Course completion rates for domestic students by sub-sector, attendance status and qualification type/NZQCF level for courses that ended 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</si>
</sst>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0"/>
      <name val="Arial"/>
      <family val="2"/>
    </font>
    <font>
      <sz val="8"/>
      <name val="Arial"/>
      <family val="2"/>
    </font>
    <font>
      <u/>
      <sz val="10"/>
      <color indexed="12"/>
      <name val="Arial"/>
      <family val="2"/>
    </font>
    <font>
      <sz val="10"/>
      <name val="Arial"/>
      <family val="2"/>
    </font>
    <font>
      <b/>
      <sz val="12"/>
      <name val="Arial"/>
      <family val="2"/>
    </font>
    <font>
      <sz val="11"/>
      <name val="Arial"/>
      <family val="2"/>
    </font>
    <font>
      <sz val="11"/>
      <name val="Arial"/>
      <family val="2"/>
    </font>
    <font>
      <u/>
      <sz val="11"/>
      <color indexed="12"/>
      <name val="Arial"/>
      <family val="2"/>
    </font>
    <font>
      <b/>
      <sz val="11"/>
      <name val="Arial"/>
      <family val="2"/>
    </font>
    <font>
      <b/>
      <sz val="28"/>
      <name val="Arial"/>
      <family val="2"/>
    </font>
    <font>
      <sz val="28"/>
      <name val="Arial"/>
      <family val="2"/>
    </font>
    <font>
      <sz val="11"/>
      <color theme="1"/>
      <name val="Calibri"/>
      <family val="2"/>
      <scheme val="minor"/>
    </font>
    <font>
      <sz val="10"/>
      <color theme="1"/>
      <name val="Arial"/>
      <family val="2"/>
    </font>
    <font>
      <b/>
      <sz val="10"/>
      <color theme="1"/>
      <name val="Arial"/>
      <family val="2"/>
    </font>
    <font>
      <b/>
      <sz val="10"/>
      <color rgb="FFFF0000"/>
      <name val="Arial"/>
      <family val="2"/>
    </font>
    <font>
      <b/>
      <sz val="10"/>
      <name val="Arial"/>
      <family val="2"/>
    </font>
    <font>
      <sz val="10"/>
      <name val="Arial"/>
    </font>
  </fonts>
  <fills count="3">
    <fill>
      <patternFill patternType="none"/>
    </fill>
    <fill>
      <patternFill patternType="gray125"/>
    </fill>
    <fill>
      <patternFill patternType="solid">
        <fgColor theme="0" tint="-0.14999847407452621"/>
        <bgColor indexed="64"/>
      </patternFill>
    </fill>
  </fills>
  <borders count="18">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9"/>
      </top>
      <bottom style="thin">
        <color indexed="9"/>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9"/>
      </bottom>
      <diagonal/>
    </border>
  </borders>
  <cellStyleXfs count="5">
    <xf numFmtId="0" fontId="0" fillId="0" borderId="0"/>
    <xf numFmtId="0" fontId="3" fillId="0" borderId="0" applyNumberFormat="0" applyFill="0" applyBorder="0" applyAlignment="0" applyProtection="0">
      <alignment vertical="top"/>
      <protection locked="0"/>
    </xf>
    <xf numFmtId="0" fontId="12" fillId="0" borderId="0"/>
    <xf numFmtId="0" fontId="1" fillId="0" borderId="0"/>
    <xf numFmtId="9" fontId="17" fillId="0" borderId="0" applyFont="0" applyFill="0" applyBorder="0" applyAlignment="0" applyProtection="0"/>
  </cellStyleXfs>
  <cellXfs count="125">
    <xf numFmtId="0" fontId="0" fillId="0" borderId="0" xfId="0"/>
    <xf numFmtId="0" fontId="4" fillId="0" borderId="0" xfId="0" applyFont="1" applyBorder="1"/>
    <xf numFmtId="0" fontId="4" fillId="0" borderId="0" xfId="0" applyFont="1"/>
    <xf numFmtId="0" fontId="0" fillId="0" borderId="0" xfId="0" applyBorder="1"/>
    <xf numFmtId="0" fontId="0" fillId="0" borderId="0" xfId="0" applyBorder="1" applyAlignment="1">
      <alignment wrapText="1"/>
    </xf>
    <xf numFmtId="0" fontId="0" fillId="0" borderId="0" xfId="0" applyBorder="1" applyAlignment="1">
      <alignment horizontal="left"/>
    </xf>
    <xf numFmtId="0" fontId="0" fillId="0" borderId="1" xfId="0" applyBorder="1" applyAlignment="1">
      <alignment horizontal="left"/>
    </xf>
    <xf numFmtId="9" fontId="0" fillId="0" borderId="0" xfId="0" applyNumberFormat="1" applyBorder="1" applyAlignment="1">
      <alignment horizontal="right" indent="1"/>
    </xf>
    <xf numFmtId="9" fontId="0" fillId="0" borderId="1" xfId="0" applyNumberFormat="1" applyBorder="1" applyAlignment="1">
      <alignment horizontal="right" indent="1"/>
    </xf>
    <xf numFmtId="0" fontId="5" fillId="0" borderId="0" xfId="0" applyFont="1"/>
    <xf numFmtId="0" fontId="6" fillId="0" borderId="0" xfId="3" applyFont="1" applyBorder="1"/>
    <xf numFmtId="0" fontId="6" fillId="0" borderId="0" xfId="0" applyFont="1"/>
    <xf numFmtId="0" fontId="7" fillId="0" borderId="0" xfId="0" applyFont="1"/>
    <xf numFmtId="0" fontId="8" fillId="0" borderId="0" xfId="1" applyFont="1" applyAlignment="1" applyProtection="1"/>
    <xf numFmtId="0" fontId="4" fillId="0" borderId="0" xfId="0" applyFont="1" applyBorder="1" applyAlignment="1">
      <alignment horizontal="left"/>
    </xf>
    <xf numFmtId="0" fontId="5" fillId="0" borderId="0" xfId="3" applyFont="1" applyBorder="1" applyAlignment="1">
      <alignment horizontal="left"/>
    </xf>
    <xf numFmtId="0" fontId="1" fillId="0" borderId="2" xfId="3" applyBorder="1" applyAlignment="1">
      <alignment horizontal="left"/>
    </xf>
    <xf numFmtId="0" fontId="1" fillId="0" borderId="0" xfId="3" applyFont="1" applyBorder="1" applyAlignment="1">
      <alignment horizontal="left"/>
    </xf>
    <xf numFmtId="0" fontId="1" fillId="0" borderId="3" xfId="3" applyBorder="1" applyAlignment="1">
      <alignment horizontal="left"/>
    </xf>
    <xf numFmtId="0" fontId="1" fillId="0" borderId="0" xfId="3" applyBorder="1" applyAlignment="1">
      <alignment horizontal="left"/>
    </xf>
    <xf numFmtId="0" fontId="1" fillId="0" borderId="4" xfId="3" applyBorder="1" applyAlignment="1">
      <alignment horizontal="left"/>
    </xf>
    <xf numFmtId="0" fontId="1" fillId="0" borderId="1" xfId="3" applyBorder="1" applyAlignment="1">
      <alignment horizontal="left"/>
    </xf>
    <xf numFmtId="0" fontId="1" fillId="0" borderId="5" xfId="3" applyBorder="1" applyAlignment="1">
      <alignment horizontal="left"/>
    </xf>
    <xf numFmtId="0" fontId="4" fillId="0" borderId="0" xfId="0" applyFont="1" applyBorder="1" applyAlignment="1">
      <alignment horizontal="right" indent="1"/>
    </xf>
    <xf numFmtId="9" fontId="0" fillId="0" borderId="6" xfId="0" applyNumberFormat="1" applyBorder="1" applyAlignment="1">
      <alignment horizontal="right" indent="1"/>
    </xf>
    <xf numFmtId="9" fontId="0" fillId="0" borderId="7" xfId="0" applyNumberFormat="1" applyBorder="1" applyAlignment="1">
      <alignment horizontal="right" indent="1"/>
    </xf>
    <xf numFmtId="0" fontId="0" fillId="0" borderId="0" xfId="0" applyBorder="1" applyAlignment="1">
      <alignment horizontal="right" indent="1"/>
    </xf>
    <xf numFmtId="0" fontId="0" fillId="0" borderId="8" xfId="0" applyBorder="1" applyAlignment="1">
      <alignment horizontal="left"/>
    </xf>
    <xf numFmtId="0" fontId="1" fillId="0" borderId="8" xfId="3" applyBorder="1" applyAlignment="1">
      <alignment horizontal="left"/>
    </xf>
    <xf numFmtId="0" fontId="1" fillId="0" borderId="2" xfId="3" applyFont="1" applyBorder="1" applyAlignment="1">
      <alignment horizontal="left"/>
    </xf>
    <xf numFmtId="0" fontId="0" fillId="0" borderId="2" xfId="0" applyBorder="1" applyAlignment="1">
      <alignment horizontal="left" vertical="center" wrapText="1"/>
    </xf>
    <xf numFmtId="0" fontId="0" fillId="0" borderId="0" xfId="0" applyFill="1"/>
    <xf numFmtId="0" fontId="4" fillId="0" borderId="9" xfId="3" applyFont="1" applyBorder="1" applyAlignment="1">
      <alignment horizontal="center" vertical="center" wrapText="1"/>
    </xf>
    <xf numFmtId="0" fontId="4" fillId="0" borderId="10" xfId="3" applyFont="1" applyBorder="1" applyAlignment="1">
      <alignment horizontal="center" vertical="center" wrapText="1"/>
    </xf>
    <xf numFmtId="0" fontId="0" fillId="0" borderId="0" xfId="0" applyBorder="1" applyAlignment="1">
      <alignment vertical="top"/>
    </xf>
    <xf numFmtId="0" fontId="0" fillId="0" borderId="1" xfId="0" applyBorder="1" applyAlignment="1">
      <alignment vertical="top"/>
    </xf>
    <xf numFmtId="9" fontId="0" fillId="0" borderId="11" xfId="0" applyNumberFormat="1" applyBorder="1" applyAlignment="1">
      <alignment horizontal="right" indent="1"/>
    </xf>
    <xf numFmtId="9" fontId="0" fillId="0" borderId="12" xfId="0" applyNumberFormat="1" applyBorder="1" applyAlignment="1">
      <alignment horizontal="right" indent="1"/>
    </xf>
    <xf numFmtId="0" fontId="0" fillId="0" borderId="13" xfId="0" applyBorder="1" applyAlignment="1">
      <alignment horizontal="left" vertical="center" wrapText="1"/>
    </xf>
    <xf numFmtId="0" fontId="4" fillId="0" borderId="13" xfId="3" applyFont="1" applyBorder="1" applyAlignment="1">
      <alignment horizontal="center" vertical="center" wrapText="1"/>
    </xf>
    <xf numFmtId="0" fontId="9" fillId="0" borderId="0" xfId="0" applyFont="1"/>
    <xf numFmtId="0" fontId="13" fillId="0" borderId="11" xfId="2" applyFont="1" applyBorder="1"/>
    <xf numFmtId="0" fontId="13" fillId="0" borderId="12" xfId="2" applyFont="1" applyBorder="1"/>
    <xf numFmtId="0" fontId="4" fillId="0" borderId="14" xfId="3" applyFont="1" applyBorder="1" applyAlignment="1">
      <alignment horizontal="center" vertical="center" wrapText="1"/>
    </xf>
    <xf numFmtId="0" fontId="4" fillId="0" borderId="15" xfId="3" applyFont="1" applyBorder="1" applyAlignment="1">
      <alignment horizontal="left" vertical="center" wrapText="1"/>
    </xf>
    <xf numFmtId="0" fontId="4" fillId="0" borderId="0" xfId="0" applyFont="1" applyBorder="1" applyAlignment="1">
      <alignment wrapText="1"/>
    </xf>
    <xf numFmtId="0" fontId="13" fillId="0" borderId="0" xfId="2" applyFont="1"/>
    <xf numFmtId="0" fontId="9" fillId="0" borderId="0" xfId="3" applyFont="1" applyFill="1" applyBorder="1" applyAlignment="1">
      <alignment horizontal="left"/>
    </xf>
    <xf numFmtId="0" fontId="4" fillId="0" borderId="2" xfId="0" applyFont="1" applyBorder="1" applyAlignment="1">
      <alignment horizontal="left" vertical="center"/>
    </xf>
    <xf numFmtId="0" fontId="13" fillId="0" borderId="0" xfId="2" applyFont="1" applyBorder="1"/>
    <xf numFmtId="0" fontId="13" fillId="0" borderId="1" xfId="2" applyFont="1" applyBorder="1"/>
    <xf numFmtId="0" fontId="0" fillId="0" borderId="9" xfId="0" applyBorder="1" applyAlignment="1">
      <alignment horizontal="center" vertical="center" wrapText="1"/>
    </xf>
    <xf numFmtId="0" fontId="14" fillId="0" borderId="0" xfId="2" applyFont="1" applyBorder="1"/>
    <xf numFmtId="0" fontId="14" fillId="0" borderId="0" xfId="2" applyFont="1" applyBorder="1" applyAlignment="1">
      <alignment vertical="top"/>
    </xf>
    <xf numFmtId="0" fontId="0" fillId="0" borderId="0" xfId="0" applyAlignment="1">
      <alignment vertical="top"/>
    </xf>
    <xf numFmtId="0" fontId="14" fillId="0" borderId="0" xfId="2" applyFont="1"/>
    <xf numFmtId="9" fontId="13" fillId="0" borderId="0" xfId="2" applyNumberFormat="1" applyFont="1" applyBorder="1" applyAlignment="1">
      <alignment horizontal="right" indent="1"/>
    </xf>
    <xf numFmtId="9" fontId="13" fillId="0" borderId="1" xfId="2" applyNumberFormat="1" applyFont="1" applyBorder="1" applyAlignment="1">
      <alignment horizontal="right" indent="1"/>
    </xf>
    <xf numFmtId="9" fontId="13" fillId="0" borderId="0" xfId="2" applyNumberFormat="1" applyFont="1" applyAlignment="1">
      <alignment horizontal="right" indent="1"/>
    </xf>
    <xf numFmtId="9" fontId="13" fillId="0" borderId="11" xfId="2" applyNumberFormat="1" applyFont="1" applyBorder="1" applyAlignment="1">
      <alignment horizontal="right" indent="1"/>
    </xf>
    <xf numFmtId="9" fontId="13" fillId="0" borderId="12" xfId="2" applyNumberFormat="1" applyFont="1" applyBorder="1" applyAlignment="1">
      <alignment horizontal="right" indent="1"/>
    </xf>
    <xf numFmtId="0" fontId="0" fillId="0" borderId="13" xfId="0" applyBorder="1" applyAlignment="1">
      <alignment horizontal="center" vertical="center" wrapText="1"/>
    </xf>
    <xf numFmtId="9" fontId="13" fillId="0" borderId="16" xfId="2" applyNumberFormat="1" applyFont="1" applyBorder="1" applyAlignment="1">
      <alignment horizontal="right" indent="1"/>
    </xf>
    <xf numFmtId="0" fontId="4" fillId="0" borderId="16" xfId="3" applyFont="1" applyBorder="1" applyAlignment="1">
      <alignment horizontal="center" vertical="center" wrapText="1"/>
    </xf>
    <xf numFmtId="0" fontId="4" fillId="0" borderId="2" xfId="3" applyFont="1" applyBorder="1" applyAlignment="1">
      <alignment horizontal="center" vertical="center" wrapText="1"/>
    </xf>
    <xf numFmtId="9" fontId="0" fillId="0" borderId="16" xfId="0" applyNumberFormat="1" applyBorder="1" applyAlignment="1">
      <alignment horizontal="right" indent="1"/>
    </xf>
    <xf numFmtId="9" fontId="0" fillId="0" borderId="9" xfId="0" applyNumberFormat="1" applyBorder="1" applyAlignment="1">
      <alignment horizontal="right" indent="1"/>
    </xf>
    <xf numFmtId="9" fontId="0" fillId="0" borderId="2" xfId="0" applyNumberFormat="1" applyBorder="1" applyAlignment="1">
      <alignment horizontal="right" indent="1"/>
    </xf>
    <xf numFmtId="0" fontId="1" fillId="0" borderId="0" xfId="0" applyFont="1" applyFill="1" applyBorder="1" applyAlignment="1">
      <alignment horizontal="left"/>
    </xf>
    <xf numFmtId="0" fontId="0" fillId="0" borderId="0" xfId="0" applyFill="1" applyBorder="1"/>
    <xf numFmtId="0" fontId="15" fillId="0" borderId="0" xfId="0" applyFont="1" applyBorder="1"/>
    <xf numFmtId="0" fontId="15" fillId="0" borderId="0" xfId="0" applyFont="1"/>
    <xf numFmtId="0" fontId="1" fillId="0" borderId="0" xfId="0" applyFont="1" applyBorder="1" applyAlignment="1">
      <alignment horizontal="right" indent="1"/>
    </xf>
    <xf numFmtId="0" fontId="1" fillId="0" borderId="0" xfId="0" applyFont="1" applyFill="1" applyBorder="1" applyAlignment="1">
      <alignment horizontal="center" vertical="center" wrapText="1"/>
    </xf>
    <xf numFmtId="0" fontId="1" fillId="0" borderId="0" xfId="0" applyFont="1" applyFill="1" applyBorder="1"/>
    <xf numFmtId="0" fontId="4" fillId="0" borderId="0" xfId="0" applyFont="1" applyFill="1" applyBorder="1"/>
    <xf numFmtId="0" fontId="1" fillId="0" borderId="0" xfId="0" applyFont="1" applyFill="1" applyBorder="1" applyAlignment="1">
      <alignment horizontal="right" indent="1"/>
    </xf>
    <xf numFmtId="0" fontId="15" fillId="0" borderId="0" xfId="0" applyFont="1" applyFill="1" applyBorder="1" applyAlignment="1">
      <alignment horizontal="right" indent="1"/>
    </xf>
    <xf numFmtId="0" fontId="0" fillId="0" borderId="0" xfId="0" applyBorder="1" applyAlignment="1">
      <alignment horizontal="left" vertical="top"/>
    </xf>
    <xf numFmtId="0" fontId="14" fillId="0" borderId="13" xfId="2" applyFont="1" applyFill="1" applyBorder="1"/>
    <xf numFmtId="9" fontId="16" fillId="0" borderId="0" xfId="0" applyNumberFormat="1" applyFont="1" applyAlignment="1">
      <alignment horizontal="right" indent="1"/>
    </xf>
    <xf numFmtId="9" fontId="14" fillId="0" borderId="11" xfId="2" applyNumberFormat="1" applyFont="1" applyBorder="1" applyAlignment="1">
      <alignment horizontal="right" indent="1"/>
    </xf>
    <xf numFmtId="9" fontId="14" fillId="0" borderId="0" xfId="2" applyNumberFormat="1" applyFont="1" applyBorder="1" applyAlignment="1">
      <alignment horizontal="right" indent="1"/>
    </xf>
    <xf numFmtId="9" fontId="14" fillId="0" borderId="0" xfId="2" applyNumberFormat="1" applyFont="1" applyAlignment="1">
      <alignment horizontal="right" indent="1"/>
    </xf>
    <xf numFmtId="9" fontId="16" fillId="0" borderId="10" xfId="0" applyNumberFormat="1" applyFont="1" applyBorder="1" applyAlignment="1">
      <alignment horizontal="right" indent="1"/>
    </xf>
    <xf numFmtId="9" fontId="16" fillId="0" borderId="14" xfId="0" applyNumberFormat="1" applyFont="1" applyBorder="1" applyAlignment="1">
      <alignment horizontal="right" indent="1"/>
    </xf>
    <xf numFmtId="9" fontId="16" fillId="0" borderId="13" xfId="0" applyNumberFormat="1" applyFont="1" applyBorder="1" applyAlignment="1">
      <alignment horizontal="right" indent="1"/>
    </xf>
    <xf numFmtId="9" fontId="16" fillId="0" borderId="6" xfId="0" applyNumberFormat="1" applyFont="1" applyBorder="1" applyAlignment="1">
      <alignment horizontal="right" indent="1"/>
    </xf>
    <xf numFmtId="9" fontId="16" fillId="0" borderId="11" xfId="0" applyNumberFormat="1" applyFont="1" applyBorder="1" applyAlignment="1">
      <alignment horizontal="right" indent="1"/>
    </xf>
    <xf numFmtId="9" fontId="16" fillId="0" borderId="9" xfId="0" applyNumberFormat="1" applyFont="1" applyBorder="1" applyAlignment="1">
      <alignment horizontal="right" indent="1"/>
    </xf>
    <xf numFmtId="9" fontId="16" fillId="0" borderId="16" xfId="0" applyNumberFormat="1" applyFont="1" applyBorder="1" applyAlignment="1">
      <alignment horizontal="right" indent="1"/>
    </xf>
    <xf numFmtId="0" fontId="1" fillId="0" borderId="2" xfId="0" applyFont="1" applyBorder="1" applyAlignment="1">
      <alignment horizontal="left" vertical="center" wrapText="1"/>
    </xf>
    <xf numFmtId="0" fontId="1" fillId="0" borderId="13" xfId="0" applyFont="1" applyBorder="1" applyAlignment="1">
      <alignment horizontal="center" vertical="center" wrapText="1"/>
    </xf>
    <xf numFmtId="0" fontId="1" fillId="0" borderId="9" xfId="3" applyFont="1" applyBorder="1" applyAlignment="1">
      <alignment horizontal="center" vertical="center" wrapText="1"/>
    </xf>
    <xf numFmtId="0" fontId="1" fillId="0" borderId="0" xfId="3" applyFont="1" applyFill="1" applyBorder="1" applyAlignment="1">
      <alignment horizontal="left"/>
    </xf>
    <xf numFmtId="0" fontId="4" fillId="0" borderId="0" xfId="0" applyFont="1" applyBorder="1" applyAlignment="1">
      <alignment horizontal="center"/>
    </xf>
    <xf numFmtId="0" fontId="0" fillId="0" borderId="3" xfId="0" applyBorder="1" applyAlignment="1">
      <alignment horizontal="center" vertical="center" wrapText="1"/>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9" fontId="0" fillId="0" borderId="0" xfId="0" applyNumberFormat="1" applyBorder="1"/>
    <xf numFmtId="0" fontId="0" fillId="0" borderId="3" xfId="0" applyBorder="1" applyAlignment="1">
      <alignment horizontal="center"/>
    </xf>
    <xf numFmtId="9" fontId="0" fillId="0" borderId="0" xfId="4" applyFont="1"/>
    <xf numFmtId="9" fontId="0" fillId="0" borderId="0" xfId="4" applyFont="1" applyBorder="1"/>
    <xf numFmtId="0" fontId="1" fillId="0" borderId="0" xfId="0" applyFont="1" applyBorder="1"/>
    <xf numFmtId="0" fontId="13" fillId="0" borderId="0" xfId="2" applyFont="1" applyFill="1" applyBorder="1"/>
    <xf numFmtId="0" fontId="10" fillId="2" borderId="0" xfId="0" applyFont="1" applyFill="1" applyAlignment="1">
      <alignment horizontal="left" vertical="center"/>
    </xf>
    <xf numFmtId="0" fontId="11" fillId="2" borderId="0" xfId="0" applyFont="1" applyFill="1" applyAlignment="1">
      <alignment horizontal="left" vertical="center"/>
    </xf>
    <xf numFmtId="0" fontId="0" fillId="0" borderId="2" xfId="0" applyBorder="1" applyAlignment="1">
      <alignment horizontal="left" vertical="top"/>
    </xf>
    <xf numFmtId="0" fontId="0" fillId="0" borderId="0" xfId="0" applyBorder="1" applyAlignment="1">
      <alignment horizontal="left" vertical="top"/>
    </xf>
    <xf numFmtId="0" fontId="0" fillId="0" borderId="1" xfId="0" applyBorder="1" applyAlignment="1">
      <alignment horizontal="left" vertical="top"/>
    </xf>
    <xf numFmtId="0" fontId="1" fillId="0" borderId="2" xfId="0" applyFont="1" applyBorder="1" applyAlignment="1">
      <alignment horizontal="left" vertical="top"/>
    </xf>
    <xf numFmtId="0" fontId="0" fillId="0" borderId="2" xfId="0" applyBorder="1" applyAlignment="1">
      <alignment horizontal="left" vertical="top" wrapText="1"/>
    </xf>
    <xf numFmtId="0" fontId="0" fillId="0" borderId="0" xfId="0"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vertical="top" wrapText="1"/>
    </xf>
    <xf numFmtId="0" fontId="0" fillId="0" borderId="17" xfId="0" applyBorder="1" applyAlignment="1">
      <alignment vertical="top" wrapText="1"/>
    </xf>
    <xf numFmtId="0" fontId="1" fillId="0" borderId="2" xfId="0" applyFont="1" applyBorder="1" applyAlignment="1">
      <alignment horizontal="left" vertical="top" wrapText="1"/>
    </xf>
    <xf numFmtId="0" fontId="13" fillId="0" borderId="0" xfId="2" applyFont="1" applyBorder="1" applyAlignment="1">
      <alignment vertical="top"/>
    </xf>
    <xf numFmtId="0" fontId="13" fillId="0" borderId="0" xfId="2" applyFont="1" applyAlignment="1">
      <alignment vertical="top"/>
    </xf>
    <xf numFmtId="0" fontId="13" fillId="0" borderId="1" xfId="2" applyFont="1" applyBorder="1" applyAlignment="1">
      <alignment vertical="top"/>
    </xf>
    <xf numFmtId="0" fontId="13" fillId="0" borderId="2" xfId="2" applyFont="1" applyBorder="1" applyAlignment="1">
      <alignment vertical="top" wrapText="1"/>
    </xf>
    <xf numFmtId="0" fontId="13" fillId="0" borderId="0" xfId="2" applyFont="1" applyAlignment="1">
      <alignment vertical="top" wrapText="1"/>
    </xf>
    <xf numFmtId="0" fontId="13" fillId="0" borderId="1" xfId="2" applyFont="1" applyBorder="1" applyAlignment="1">
      <alignment vertical="top" wrapText="1"/>
    </xf>
    <xf numFmtId="0" fontId="13" fillId="0" borderId="2" xfId="2" applyFont="1" applyBorder="1" applyAlignment="1">
      <alignment vertical="top"/>
    </xf>
  </cellXfs>
  <cellStyles count="5">
    <cellStyle name="Hyperlink" xfId="1" builtinId="8"/>
    <cellStyle name="Normal" xfId="0" builtinId="0"/>
    <cellStyle name="Normal 2" xfId="2" xr:uid="{00000000-0005-0000-0000-000002000000}"/>
    <cellStyle name="Normal_Chapter 3 Appendix Tables" xfId="3" xr:uid="{00000000-0005-0000-0000-000003000000}"/>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11907</xdr:rowOff>
    </xdr:from>
    <xdr:to>
      <xdr:col>21</xdr:col>
      <xdr:colOff>581025</xdr:colOff>
      <xdr:row>69</xdr:row>
      <xdr:rowOff>159546</xdr:rowOff>
    </xdr:to>
    <xdr:sp macro="" textlink="">
      <xdr:nvSpPr>
        <xdr:cNvPr id="3" name="Text Box 1">
          <a:extLst>
            <a:ext uri="{FF2B5EF4-FFF2-40B4-BE49-F238E27FC236}">
              <a16:creationId xmlns:a16="http://schemas.microsoft.com/office/drawing/2014/main" id="{00000000-0008-0000-0100-000003000000}"/>
            </a:ext>
          </a:extLst>
        </xdr:cNvPr>
        <xdr:cNvSpPr txBox="1">
          <a:spLocks noChangeArrowheads="1"/>
        </xdr:cNvSpPr>
      </xdr:nvSpPr>
      <xdr:spPr bwMode="auto">
        <a:xfrm>
          <a:off x="0" y="773907"/>
          <a:ext cx="13320713" cy="11482389"/>
        </a:xfrm>
        <a:prstGeom prst="rect">
          <a:avLst/>
        </a:prstGeom>
        <a:solidFill>
          <a:schemeClr val="accent3">
            <a:lumMod val="20000"/>
            <a:lumOff val="80000"/>
          </a:schemeClr>
        </a:solidFill>
        <a:ln w="9525">
          <a:noFill/>
          <a:miter lim="800000"/>
          <a:headEnd/>
          <a:tailEnd/>
        </a:ln>
      </xdr:spPr>
      <xdr:txBody>
        <a:bodyPr vertOverflow="clip" wrap="square" lIns="27432" tIns="22860" rIns="0" bIns="0" anchor="t" upright="1"/>
        <a:lstStyle/>
        <a:p>
          <a:pPr algn="l" rtl="0">
            <a:defRPr sz="1000"/>
          </a:pPr>
          <a:r>
            <a:rPr lang="en-NZ" sz="1200" b="1" i="0" u="none" strike="noStrike" baseline="0">
              <a:solidFill>
                <a:srgbClr val="000000"/>
              </a:solidFill>
              <a:latin typeface="Arial"/>
              <a:cs typeface="Arial"/>
            </a:rPr>
            <a:t>Scope of data</a:t>
          </a:r>
        </a:p>
        <a:p>
          <a:pPr algn="l" rtl="0">
            <a:defRPr sz="1000"/>
          </a:pPr>
          <a:r>
            <a:rPr lang="en-NZ" sz="1200" b="0" i="0" u="none" strike="noStrike" baseline="0">
              <a:solidFill>
                <a:srgbClr val="000000"/>
              </a:solidFill>
              <a:latin typeface="Arial"/>
              <a:cs typeface="Arial"/>
            </a:rPr>
            <a:t>The data used to calculate the course completion rates is sourced from the Single Data Return (SDR).  The SDR is submitted by tertiary education providers,three times a year. The SDR is completed by tertiary education providers that receive Student Achievement Component funding, and/or have students with student loans or allowances, and/or Youth Guarantee programmes..</a:t>
          </a:r>
        </a:p>
        <a:p>
          <a:pPr algn="l" rtl="0">
            <a:defRPr sz="1000"/>
          </a:pPr>
          <a:r>
            <a:rPr lang="en-NZ" sz="1200" b="0" i="0" u="none" strike="noStrike" baseline="0">
              <a:solidFill>
                <a:srgbClr val="000000"/>
              </a:solidFill>
              <a:latin typeface="Arial"/>
              <a:cs typeface="Arial"/>
            </a:rPr>
            <a:t>It excludes on-job industry training provision.</a:t>
          </a:r>
        </a:p>
        <a:p>
          <a:pPr algn="l" rtl="0">
            <a:defRPr sz="1000"/>
          </a:pPr>
          <a:endParaRPr lang="en-NZ" sz="1200" b="1" i="0" u="none" strike="noStrike" baseline="0">
            <a:solidFill>
              <a:srgbClr val="000000"/>
            </a:solidFill>
            <a:latin typeface="Arial"/>
            <a:cs typeface="Arial"/>
          </a:endParaRPr>
        </a:p>
        <a:p>
          <a:pPr algn="l" rtl="0">
            <a:defRPr sz="1000"/>
          </a:pPr>
          <a:r>
            <a:rPr lang="en-NZ" sz="1200" b="1" i="0" u="none" strike="noStrike" baseline="0">
              <a:solidFill>
                <a:srgbClr val="000000"/>
              </a:solidFill>
              <a:latin typeface="Arial"/>
              <a:cs typeface="Arial"/>
            </a:rPr>
            <a:t>Course</a:t>
          </a: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The term 'course' used in these tables, refers to a distinct module, paper, or unit of study that generally forms part of a larger programme of study that may or may not lead towards a recognised qualification. This is different from other countries, such as Australia, where the term course is commonly taken to refer to a programme of study or qualification.</a:t>
          </a:r>
        </a:p>
        <a:p>
          <a:pPr algn="l" rtl="0">
            <a:defRPr sz="1000"/>
          </a:pPr>
          <a:endParaRPr lang="en-NZ" sz="1200" b="0" i="0" u="none" strike="noStrike" baseline="0">
            <a:solidFill>
              <a:srgbClr val="000000"/>
            </a:solidFill>
            <a:latin typeface="Arial"/>
            <a:cs typeface="Arial"/>
          </a:endParaRPr>
        </a:p>
        <a:p>
          <a:pPr algn="l" rtl="0">
            <a:defRPr sz="1000"/>
          </a:pPr>
          <a:r>
            <a:rPr lang="en-NZ" sz="1200" b="1" i="0" u="none" strike="noStrike" baseline="0">
              <a:solidFill>
                <a:srgbClr val="000000"/>
              </a:solidFill>
              <a:latin typeface="Arial"/>
              <a:cs typeface="Arial"/>
            </a:rPr>
            <a:t>Course Completion Rate (CCR)</a:t>
          </a:r>
          <a:endParaRPr lang="en-NZ" sz="1200" b="0" i="0" u="none" strike="noStrike" baseline="0">
            <a:solidFill>
              <a:srgbClr val="000000"/>
            </a:solidFill>
            <a:latin typeface="Arial"/>
            <a:cs typeface="Arial"/>
          </a:endParaRPr>
        </a:p>
        <a:p>
          <a:pPr algn="l" rtl="0">
            <a:defRPr sz="1000"/>
          </a:pPr>
          <a:r>
            <a:rPr lang="en-AU" sz="1200" b="0" i="0" u="none" strike="noStrike" baseline="0">
              <a:solidFill>
                <a:srgbClr val="000000"/>
              </a:solidFill>
              <a:latin typeface="Arial"/>
              <a:ea typeface="+mn-ea"/>
              <a:cs typeface="Arial"/>
            </a:rPr>
            <a:t>One of the Education Performance Indicators (EPI) developed by TEC is a measure of Course Completion Rates (CCR). This indicator takes into account the workload of the course when calculating the successful CCR. </a:t>
          </a:r>
          <a:endParaRPr lang="en-NZ" sz="1200" b="0" i="0" u="none" strike="noStrike" baseline="0">
            <a:solidFill>
              <a:srgbClr val="000000"/>
            </a:solidFill>
            <a:latin typeface="Arial"/>
            <a:ea typeface="+mn-ea"/>
            <a:cs typeface="Arial"/>
          </a:endParaRPr>
        </a:p>
        <a:p>
          <a:pPr algn="l" rtl="0">
            <a:defRPr sz="1000"/>
          </a:pPr>
          <a:endParaRPr lang="en-AU" sz="1200" b="0" i="0" u="none" strike="noStrike" baseline="0">
            <a:solidFill>
              <a:srgbClr val="000000"/>
            </a:solidFill>
            <a:latin typeface="Arial"/>
            <a:ea typeface="+mn-ea"/>
            <a:cs typeface="Arial"/>
          </a:endParaRPr>
        </a:p>
        <a:p>
          <a:pPr algn="l" rtl="0">
            <a:defRPr sz="1000"/>
          </a:pPr>
          <a:r>
            <a:rPr lang="en-NZ" sz="1200" b="0" i="0" u="none" strike="noStrike" baseline="0">
              <a:solidFill>
                <a:srgbClr val="000000"/>
              </a:solidFill>
              <a:latin typeface="Arial"/>
              <a:cs typeface="Arial"/>
            </a:rPr>
            <a:t>The course completion rate is the percentage of EFTS (delivered) that were successful, calculated by dividing the sum of succesful EFTS by the total EFTS delivered from all courses. The formula is shown below.</a:t>
          </a:r>
        </a:p>
        <a:p>
          <a:pPr algn="l" rtl="0">
            <a:defRPr sz="1000"/>
          </a:pP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	       EFTS delivered in successfully completed course enrolments</a:t>
          </a:r>
        </a:p>
        <a:p>
          <a:pPr algn="l" rtl="0">
            <a:defRPr sz="1000"/>
          </a:pPr>
          <a:r>
            <a:rPr lang="en-NZ" sz="1200" b="0" i="0" u="none" strike="noStrike" baseline="0">
              <a:solidFill>
                <a:srgbClr val="000000"/>
              </a:solidFill>
              <a:latin typeface="Arial"/>
              <a:cs typeface="Arial"/>
            </a:rPr>
            <a:t>   CCR = ____________________________________________________________________________   </a:t>
          </a:r>
        </a:p>
        <a:p>
          <a:pPr algn="l" rtl="0">
            <a:defRPr sz="1000"/>
          </a:pPr>
          <a:r>
            <a:rPr lang="en-NZ" sz="1200" b="0" i="0" u="none" strike="noStrike" baseline="0">
              <a:solidFill>
                <a:srgbClr val="000000"/>
              </a:solidFill>
              <a:latin typeface="Arial"/>
              <a:cs typeface="Arial"/>
            </a:rPr>
            <a:t>                             EFTS delivered in the total number of all course enrolments </a:t>
          </a:r>
        </a:p>
        <a:p>
          <a:pPr algn="l" rtl="0">
            <a:defRPr sz="1000"/>
          </a:pP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The term CCR is used to refer to successful completion, or passing, as opposed to those students who finish the course but are academically unsuccessful, ie fail. The rate for a year relates to courses that end in that year, regardless of when the course started. </a:t>
          </a:r>
        </a:p>
        <a:p>
          <a:pPr algn="l" rtl="0">
            <a:defRPr sz="1000"/>
          </a:pPr>
          <a:endParaRPr lang="en-NZ" sz="1200" b="0" i="0" u="none" strike="noStrike" baseline="0">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1" i="0" u="none" strike="noStrike" baseline="0">
              <a:solidFill>
                <a:srgbClr val="000000"/>
              </a:solidFill>
              <a:latin typeface="Arial"/>
              <a:ea typeface="+mn-ea"/>
              <a:cs typeface="Arial"/>
            </a:rPr>
            <a:t>Business  Rules</a:t>
          </a: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CCR data is limited to those enrolments for which course completion data is required to be collected. Completion data is collected for all formally-assessed courses of more than a week’s equivalent full-time duration, except those relating to training opportunities, youth training, skill enhancement, industry training, and students in formal qualifications in private training establishments that receive no funding assistance from government.  The following are the business rules use in generating the CCR.</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a)  Enrolments in courses that end in a specified year are selected. 'Year' in these tables relates to the year in which the course has an end date, regardless of when it was started. </a:t>
          </a: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     For example the course completion rate for 2008 relates to students who finished courses in 2008.</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b) The following course enrolment records are excluded:</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1. Courses that have received Secondary Tertiary Alignment Resource (STAR), ITO off-the-job, Adult and Community Education, and Level 2-3 Secondary-Tertiary Pilot funding.</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2. Duplicate records with identical NSN, start date, course code and TEO number. Only the last submitted enrolment in the course for the student is retained.</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3. Records for courses for which a course completion notification is not required. This includes STAR, certificate of personal interest, programme of study taught under contract and Adult Community Education programmes.</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4. Courses eligible for PBRF funding. Such courses are wholly research-based, and since research may last longer than the course end date. These courses are likely to have high number of still-to-complete enrolments.</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5. Doctorates (PhDs) and higher doctorates (see 4. above).</a:t>
          </a:r>
        </a:p>
        <a:p>
          <a:pPr marL="457200" marR="0" lvl="1"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            This covers between 65-70 percent of all course enrolments each year and  as it excludes majority of international student enrolments, rates are calculated for domestic students only. </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algn="l" rtl="0">
            <a:defRPr sz="1000"/>
          </a:pPr>
          <a:r>
            <a:rPr lang="en-NZ" sz="1200" b="0" i="0" u="none" strike="noStrike" baseline="0">
              <a:solidFill>
                <a:srgbClr val="000000"/>
              </a:solidFill>
              <a:latin typeface="Arial"/>
              <a:cs typeface="Arial"/>
            </a:rPr>
            <a:t>c)  Each course enrolment record is matched with the course completion SDR register, selecting the most up-to-date course completion record.</a:t>
          </a:r>
        </a:p>
        <a:p>
          <a:pPr algn="l" rtl="0">
            <a:defRPr sz="1000"/>
          </a:pP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d)  </a:t>
          </a:r>
          <a:r>
            <a:rPr lang="en-NZ" sz="1200" b="0" i="0" u="none" strike="noStrike" baseline="0">
              <a:solidFill>
                <a:srgbClr val="000000"/>
              </a:solidFill>
              <a:latin typeface="Arial"/>
              <a:ea typeface="+mn-ea"/>
              <a:cs typeface="Arial"/>
            </a:rPr>
            <a:t>The EFTS delivered (or EFTS consumed) is used in the calculation. If an enrolment record has a null or missing EFTS consumed for the course, the associated EFTSPRG value is used instead .</a:t>
          </a:r>
        </a:p>
        <a:p>
          <a:pPr algn="l" rtl="0">
            <a:defRPr sz="1000"/>
          </a:pP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e)  </a:t>
          </a:r>
          <a:r>
            <a:rPr lang="en-NZ" sz="1200" b="0" i="0" baseline="0">
              <a:latin typeface="Arial" pitchFamily="34" charset="0"/>
              <a:ea typeface="+mn-ea"/>
              <a:cs typeface="Arial" pitchFamily="34" charset="0"/>
            </a:rPr>
            <a:t>The EFTS delivered of courses that start in previous years are obtained by matching the previous years' data (going back up to two years).</a:t>
          </a:r>
          <a:endParaRPr lang="en-NZ" sz="1200" b="0" i="0" u="none" strike="noStrike" baseline="0">
            <a:solidFill>
              <a:srgbClr val="000000"/>
            </a:solidFill>
            <a:latin typeface="Arial" pitchFamily="34" charset="0"/>
            <a:cs typeface="Arial" pitchFamily="34" charset="0"/>
          </a:endParaRPr>
        </a:p>
        <a:p>
          <a:pPr algn="l" rtl="0">
            <a:defRPr sz="1000"/>
          </a:pPr>
          <a:endParaRPr lang="en-NZ" sz="1200" b="0" i="0" u="none" strike="noStrike" baseline="0">
            <a:solidFill>
              <a:srgbClr val="000000"/>
            </a:solidFill>
            <a:latin typeface="Arial"/>
            <a:cs typeface="Arial"/>
          </a:endParaRPr>
        </a:p>
        <a:p>
          <a:pPr algn="l" rtl="0">
            <a:defRPr sz="1000"/>
          </a:pPr>
          <a:endParaRPr lang="en-NZ" sz="1200" b="0" i="0" u="none" strike="noStrike" baseline="0">
            <a:solidFill>
              <a:srgbClr val="000000"/>
            </a:solidFill>
            <a:latin typeface="Arial"/>
            <a:cs typeface="Arial"/>
          </a:endParaRPr>
        </a:p>
        <a:p>
          <a:pPr algn="l" rtl="0">
            <a:defRPr sz="1000"/>
          </a:pPr>
          <a:r>
            <a:rPr lang="en-NZ" sz="1200" b="1" i="0" u="none" strike="noStrike" baseline="0">
              <a:solidFill>
                <a:srgbClr val="000000"/>
              </a:solidFill>
              <a:latin typeface="Arial"/>
              <a:cs typeface="Arial"/>
            </a:rPr>
            <a:t>Notes:</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1. These rates may differ slightly from those published by Tertiary Education Commission (TEC) in their education performance indicators series.  This is because the  student populations from which the rates are calculated are slightly different. </a:t>
          </a:r>
          <a:endParaRPr lang="en-NZ" sz="1200" b="0" i="0" u="none" strike="noStrike" baseline="0">
            <a:solidFill>
              <a:srgbClr val="000000"/>
            </a:solidFill>
            <a:latin typeface="Arial"/>
            <a:cs typeface="Arial"/>
          </a:endParaRPr>
        </a:p>
        <a:p>
          <a:pPr lvl="1" algn="l" rtl="0">
            <a:defRPr sz="1000"/>
          </a:pPr>
          <a:r>
            <a:rPr lang="en-NZ" sz="1200" b="0" i="0" u="none" strike="noStrike" baseline="0">
              <a:solidFill>
                <a:srgbClr val="000000"/>
              </a:solidFill>
              <a:latin typeface="Arial"/>
              <a:cs typeface="Arial"/>
            </a:rPr>
            <a:t>2. Rates are reported  for domestic students only.</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B11"/>
  <sheetViews>
    <sheetView tabSelected="1" zoomScale="80" workbookViewId="0">
      <pane ySplit="1" topLeftCell="A2" activePane="bottomLeft" state="frozen"/>
      <selection pane="bottomLeft" activeCell="A3" sqref="A3"/>
    </sheetView>
  </sheetViews>
  <sheetFormatPr defaultColWidth="9.140625" defaultRowHeight="12.75" x14ac:dyDescent="0.2"/>
  <cols>
    <col min="1" max="1" width="9.140625" style="2"/>
    <col min="2" max="2" width="150" style="2" bestFit="1" customWidth="1"/>
    <col min="3" max="16384" width="9.140625" style="2"/>
  </cols>
  <sheetData>
    <row r="1" spans="1:2" ht="15.75" x14ac:dyDescent="0.25">
      <c r="A1" s="9" t="s">
        <v>14</v>
      </c>
    </row>
    <row r="2" spans="1:2" ht="14.25" x14ac:dyDescent="0.2">
      <c r="A2" s="12"/>
    </row>
    <row r="3" spans="1:2" s="11" customFormat="1" ht="14.25" x14ac:dyDescent="0.2">
      <c r="A3" s="13" t="s">
        <v>15</v>
      </c>
      <c r="B3" s="10" t="str">
        <f>'CSC.1'!$B$1</f>
        <v>Course completion rates for domestic students by sub-sector, year completed and qualification type/NZQCF level, 2015 to 2024</v>
      </c>
    </row>
    <row r="4" spans="1:2" s="11" customFormat="1" ht="14.25" x14ac:dyDescent="0.2">
      <c r="A4" s="13" t="s">
        <v>16</v>
      </c>
      <c r="B4" s="10" t="str">
        <f>'CSC.2'!$B$1</f>
        <v>Course completion rates for domestic students by ethnic group, age group, gender and qualification type/NZQCF level for courses that ended in 2024</v>
      </c>
    </row>
    <row r="5" spans="1:2" s="11" customFormat="1" ht="14.25" x14ac:dyDescent="0.2">
      <c r="A5" s="13" t="s">
        <v>17</v>
      </c>
      <c r="B5" s="10" t="str">
        <f>'CSC.3'!$B$1</f>
        <v>Course completion rates for domestic students by sub-sector, ethnic group, and qualification type/NZQCF level for courses that ended in 2024</v>
      </c>
    </row>
    <row r="6" spans="1:2" s="11" customFormat="1" ht="14.25" x14ac:dyDescent="0.2">
      <c r="A6" s="13" t="s">
        <v>18</v>
      </c>
      <c r="B6" s="10" t="str">
        <f>'CSC.4'!$B$1</f>
        <v>Course completion rates for domestic students by sub-sector, age group, and qualification type/NZQCF level for courses that ended in 2024</v>
      </c>
    </row>
    <row r="7" spans="1:2" s="11" customFormat="1" ht="14.25" x14ac:dyDescent="0.2">
      <c r="A7" s="13" t="s">
        <v>19</v>
      </c>
      <c r="B7" s="10" t="str">
        <f>'CSC.5'!$B$1</f>
        <v>Course completion rates for domestic students by sub-sector, gender, and qualification type/NZQCF level for courses that ended in 2024</v>
      </c>
    </row>
    <row r="8" spans="1:2" s="11" customFormat="1" ht="14.25" x14ac:dyDescent="0.2">
      <c r="A8" s="13" t="s">
        <v>20</v>
      </c>
      <c r="B8" s="10" t="str">
        <f>'CSC.6'!B1</f>
        <v>Course completion rates for domestic students by field of study and qualification type/NZQCF level for courses that ended in 2024</v>
      </c>
    </row>
    <row r="9" spans="1:2" s="11" customFormat="1" ht="14.25" x14ac:dyDescent="0.2">
      <c r="A9" s="13" t="s">
        <v>21</v>
      </c>
      <c r="B9" s="10" t="str">
        <f>'CSC.7'!B1</f>
        <v>Course completion rates for domestic students by sub-sector, attendance status and qualification type/NZQCF level for courses that ended in 2024</v>
      </c>
    </row>
    <row r="10" spans="1:2" s="11" customFormat="1" ht="14.25" x14ac:dyDescent="0.2">
      <c r="A10" s="13"/>
      <c r="B10" s="10"/>
    </row>
    <row r="11" spans="1:2" ht="14.25" x14ac:dyDescent="0.2">
      <c r="A11" s="12"/>
    </row>
  </sheetData>
  <phoneticPr fontId="2" type="noConversion"/>
  <hyperlinks>
    <hyperlink ref="A3" location="CSC.1!A1" display="CSC.1" xr:uid="{00000000-0004-0000-0000-000000000000}"/>
    <hyperlink ref="A4" location="CSC.2!A1" display="CSC.2" xr:uid="{00000000-0004-0000-0000-000001000000}"/>
    <hyperlink ref="A5" location="CSC.3!A1" display="CSC.3" xr:uid="{00000000-0004-0000-0000-000002000000}"/>
    <hyperlink ref="A6" location="CSC.4!A1" display="CSC.4" xr:uid="{00000000-0004-0000-0000-000003000000}"/>
    <hyperlink ref="A7" location="CSC.5!A1" display="CSC.5" xr:uid="{00000000-0004-0000-0000-000004000000}"/>
    <hyperlink ref="A8" location="CSC.6!A1" display="CSC.6" xr:uid="{00000000-0004-0000-0000-000005000000}"/>
    <hyperlink ref="A9" location="CSC.7!A1" display="CSC.7" xr:uid="{00000000-0004-0000-0000-000006000000}"/>
  </hyperlinks>
  <pageMargins left="0.75" right="0.75" top="1" bottom="1" header="0.5" footer="0.5"/>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8"/>
  </sheetPr>
  <dimension ref="A1:AB53"/>
  <sheetViews>
    <sheetView zoomScale="80" workbookViewId="0">
      <selection sqref="A1:AB1"/>
    </sheetView>
  </sheetViews>
  <sheetFormatPr defaultRowHeight="12.75" x14ac:dyDescent="0.2"/>
  <cols>
    <col min="6" max="6" width="8.85546875" customWidth="1"/>
  </cols>
  <sheetData>
    <row r="1" spans="1:28" ht="60" customHeight="1" x14ac:dyDescent="0.2">
      <c r="A1" s="106" t="s">
        <v>126</v>
      </c>
      <c r="B1" s="106"/>
      <c r="C1" s="106"/>
      <c r="D1" s="106"/>
      <c r="E1" s="106"/>
      <c r="F1" s="106"/>
      <c r="G1" s="106"/>
      <c r="H1" s="106"/>
      <c r="I1" s="106"/>
      <c r="J1" s="106"/>
      <c r="K1" s="106"/>
      <c r="L1" s="106"/>
      <c r="M1" s="106"/>
      <c r="N1" s="106"/>
      <c r="O1" s="107"/>
      <c r="P1" s="107"/>
      <c r="Q1" s="107"/>
      <c r="R1" s="107"/>
      <c r="S1" s="107"/>
      <c r="T1" s="107"/>
      <c r="U1" s="107"/>
      <c r="V1" s="107"/>
      <c r="W1" s="107"/>
      <c r="X1" s="107"/>
      <c r="Y1" s="107"/>
      <c r="Z1" s="107"/>
      <c r="AA1" s="107"/>
      <c r="AB1" s="107"/>
    </row>
    <row r="51" spans="15:15" x14ac:dyDescent="0.2">
      <c r="O51" s="31"/>
    </row>
    <row r="52" spans="15:15" x14ac:dyDescent="0.2">
      <c r="O52" s="31"/>
    </row>
    <row r="53" spans="15:15" x14ac:dyDescent="0.2">
      <c r="O53" s="31"/>
    </row>
  </sheetData>
  <mergeCells count="1">
    <mergeCell ref="A1:AB1"/>
  </mergeCells>
  <phoneticPr fontId="2" type="noConversion"/>
  <pageMargins left="0.74803149606299213" right="0.74803149606299213" top="0.74803149606299213" bottom="0.51181102362204722" header="0.74803149606299213" footer="0.51181102362204722"/>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J94"/>
  <sheetViews>
    <sheetView zoomScale="80" zoomScaleNormal="80" workbookViewId="0"/>
  </sheetViews>
  <sheetFormatPr defaultColWidth="9.140625" defaultRowHeight="12.75" x14ac:dyDescent="0.2"/>
  <cols>
    <col min="1" max="1" width="3.28515625" style="3" customWidth="1"/>
    <col min="2" max="2" width="29" style="5" customWidth="1"/>
    <col min="3" max="3" width="10.7109375" style="99" customWidth="1"/>
    <col min="4" max="9" width="14.7109375" style="26" customWidth="1"/>
    <col min="10" max="12" width="14.7109375" style="3" customWidth="1"/>
    <col min="13" max="13" width="14.7109375" style="26" customWidth="1"/>
    <col min="14" max="16384" width="9.140625" style="3"/>
  </cols>
  <sheetData>
    <row r="1" spans="2:36" s="1" customFormat="1" ht="15.75" x14ac:dyDescent="0.25">
      <c r="B1" s="15" t="s">
        <v>138</v>
      </c>
      <c r="C1" s="95"/>
      <c r="D1" s="23"/>
      <c r="E1" s="23"/>
      <c r="F1" s="23"/>
      <c r="G1" s="23"/>
      <c r="H1" s="23"/>
      <c r="I1" s="77"/>
      <c r="J1" s="74"/>
      <c r="K1" s="74"/>
      <c r="M1" s="23"/>
    </row>
    <row r="2" spans="2:36" s="1" customFormat="1" x14ac:dyDescent="0.2">
      <c r="B2" s="14"/>
      <c r="C2" s="95"/>
      <c r="D2" s="23"/>
      <c r="E2" s="23"/>
      <c r="F2" s="23"/>
      <c r="G2" s="23"/>
      <c r="H2" s="23"/>
      <c r="I2" s="23"/>
      <c r="M2" s="23"/>
    </row>
    <row r="3" spans="2:36" s="4" customFormat="1" ht="41.25" customHeight="1" x14ac:dyDescent="0.2">
      <c r="B3" s="91" t="s">
        <v>22</v>
      </c>
      <c r="C3" s="96" t="s">
        <v>118</v>
      </c>
      <c r="D3" s="32" t="s">
        <v>34</v>
      </c>
      <c r="E3" s="32" t="s">
        <v>35</v>
      </c>
      <c r="F3" s="32" t="s">
        <v>36</v>
      </c>
      <c r="G3" s="32" t="s">
        <v>26</v>
      </c>
      <c r="H3" s="32" t="s">
        <v>125</v>
      </c>
      <c r="I3" s="93" t="s">
        <v>128</v>
      </c>
      <c r="J3" s="32" t="s">
        <v>129</v>
      </c>
      <c r="K3" s="32" t="s">
        <v>130</v>
      </c>
      <c r="L3" s="63" t="s">
        <v>131</v>
      </c>
      <c r="M3" s="92" t="s">
        <v>0</v>
      </c>
    </row>
    <row r="4" spans="2:36" x14ac:dyDescent="0.2">
      <c r="B4" s="108" t="s">
        <v>29</v>
      </c>
      <c r="C4" s="101">
        <v>2015</v>
      </c>
      <c r="D4" s="67">
        <v>0.88</v>
      </c>
      <c r="E4" s="66">
        <v>0.81</v>
      </c>
      <c r="F4" s="66">
        <v>0.7</v>
      </c>
      <c r="G4" s="66">
        <v>0.75</v>
      </c>
      <c r="H4" s="66">
        <v>0.75</v>
      </c>
      <c r="I4" s="66">
        <v>0.86</v>
      </c>
      <c r="J4" s="66">
        <v>0.91</v>
      </c>
      <c r="K4" s="66">
        <v>0.93</v>
      </c>
      <c r="L4" s="65">
        <v>0.94</v>
      </c>
      <c r="M4" s="24">
        <v>0.87</v>
      </c>
      <c r="O4"/>
      <c r="P4"/>
      <c r="Q4"/>
      <c r="R4"/>
      <c r="S4"/>
      <c r="T4"/>
      <c r="U4"/>
      <c r="V4"/>
      <c r="W4"/>
      <c r="X4"/>
      <c r="Z4" s="100"/>
      <c r="AA4" s="100"/>
      <c r="AB4" s="100"/>
      <c r="AC4" s="100"/>
      <c r="AD4" s="100"/>
      <c r="AE4" s="100"/>
      <c r="AF4" s="100"/>
      <c r="AG4" s="100"/>
      <c r="AH4" s="100"/>
      <c r="AI4" s="100"/>
    </row>
    <row r="5" spans="2:36" x14ac:dyDescent="0.2">
      <c r="B5" s="109"/>
      <c r="C5" s="97">
        <v>2016</v>
      </c>
      <c r="D5" s="7">
        <v>0.84</v>
      </c>
      <c r="E5" s="24">
        <v>0.8</v>
      </c>
      <c r="F5" s="24">
        <v>0.68</v>
      </c>
      <c r="G5" s="24">
        <v>0.72</v>
      </c>
      <c r="H5" s="24">
        <v>0.75</v>
      </c>
      <c r="I5" s="24">
        <v>0.86</v>
      </c>
      <c r="J5" s="24">
        <v>0.91</v>
      </c>
      <c r="K5" s="24">
        <v>0.93</v>
      </c>
      <c r="L5" s="24">
        <v>0.94</v>
      </c>
      <c r="M5" s="24">
        <v>0.87</v>
      </c>
      <c r="O5"/>
      <c r="P5" s="102"/>
      <c r="Q5" s="102"/>
      <c r="R5" s="102"/>
      <c r="S5" s="102"/>
      <c r="T5" s="102"/>
      <c r="U5" s="102"/>
      <c r="V5" s="102"/>
      <c r="W5" s="102"/>
      <c r="X5" s="102"/>
      <c r="Y5" s="103"/>
      <c r="Z5" s="100"/>
      <c r="AA5" s="100"/>
      <c r="AB5" s="100"/>
      <c r="AC5" s="100"/>
      <c r="AD5" s="100"/>
      <c r="AE5" s="100"/>
      <c r="AF5" s="100"/>
      <c r="AG5" s="100"/>
      <c r="AH5" s="100"/>
      <c r="AI5" s="100"/>
      <c r="AJ5" s="100"/>
    </row>
    <row r="6" spans="2:36" x14ac:dyDescent="0.2">
      <c r="B6" s="109"/>
      <c r="C6" s="97">
        <v>2017</v>
      </c>
      <c r="D6" s="7">
        <v>1</v>
      </c>
      <c r="E6" s="24">
        <v>0.79</v>
      </c>
      <c r="F6" s="24">
        <v>0.73</v>
      </c>
      <c r="G6" s="24">
        <v>0.71</v>
      </c>
      <c r="H6" s="24">
        <v>0.74</v>
      </c>
      <c r="I6" s="24">
        <v>0.86</v>
      </c>
      <c r="J6" s="24">
        <v>0.91</v>
      </c>
      <c r="K6" s="24">
        <v>0.92</v>
      </c>
      <c r="L6" s="24">
        <v>0.94</v>
      </c>
      <c r="M6" s="24">
        <v>0.87</v>
      </c>
      <c r="O6"/>
      <c r="P6" s="102"/>
      <c r="Q6" s="102"/>
      <c r="R6" s="102"/>
      <c r="S6" s="102"/>
      <c r="T6" s="102"/>
      <c r="U6" s="102"/>
      <c r="V6" s="102"/>
      <c r="W6" s="102"/>
      <c r="X6" s="102"/>
      <c r="Y6" s="103"/>
      <c r="Z6" s="100"/>
      <c r="AA6" s="100"/>
      <c r="AB6" s="100"/>
      <c r="AC6" s="100"/>
      <c r="AD6" s="100"/>
      <c r="AE6" s="100"/>
      <c r="AF6" s="100"/>
      <c r="AG6" s="100"/>
      <c r="AH6" s="100"/>
      <c r="AI6" s="100"/>
      <c r="AJ6" s="100"/>
    </row>
    <row r="7" spans="2:36" x14ac:dyDescent="0.2">
      <c r="B7" s="109"/>
      <c r="C7" s="97">
        <v>2018</v>
      </c>
      <c r="D7" s="7"/>
      <c r="E7" s="24"/>
      <c r="F7" s="24">
        <v>0.71</v>
      </c>
      <c r="G7" s="24">
        <v>0.68</v>
      </c>
      <c r="H7" s="24">
        <v>0.75</v>
      </c>
      <c r="I7" s="24">
        <v>0.86</v>
      </c>
      <c r="J7" s="24">
        <v>0.92</v>
      </c>
      <c r="K7" s="24">
        <v>0.92</v>
      </c>
      <c r="L7" s="24">
        <v>0.94</v>
      </c>
      <c r="M7" s="24">
        <v>0.87</v>
      </c>
      <c r="O7"/>
      <c r="P7" s="102"/>
      <c r="Q7" s="102"/>
      <c r="R7" s="102"/>
      <c r="S7" s="102"/>
      <c r="T7" s="102"/>
      <c r="U7" s="102"/>
      <c r="V7" s="102"/>
      <c r="W7" s="102"/>
      <c r="X7" s="102"/>
      <c r="Y7" s="103"/>
      <c r="Z7" s="100"/>
      <c r="AA7" s="100"/>
      <c r="AB7" s="100"/>
      <c r="AC7" s="100"/>
      <c r="AD7" s="100"/>
      <c r="AE7" s="100"/>
      <c r="AF7" s="100"/>
      <c r="AG7" s="100"/>
      <c r="AH7" s="100"/>
      <c r="AI7" s="100"/>
      <c r="AJ7" s="100"/>
    </row>
    <row r="8" spans="2:36" x14ac:dyDescent="0.2">
      <c r="B8" s="109"/>
      <c r="C8" s="97">
        <v>2019</v>
      </c>
      <c r="D8" s="7"/>
      <c r="E8" s="24"/>
      <c r="F8" s="24"/>
      <c r="G8" s="24">
        <v>0.69</v>
      </c>
      <c r="H8" s="24">
        <v>0.73</v>
      </c>
      <c r="I8" s="24">
        <v>0.86</v>
      </c>
      <c r="J8" s="24">
        <v>0.92</v>
      </c>
      <c r="K8" s="24">
        <v>0.92</v>
      </c>
      <c r="L8" s="24">
        <v>0.94</v>
      </c>
      <c r="M8" s="24">
        <v>0.87</v>
      </c>
      <c r="O8"/>
      <c r="P8" s="102"/>
      <c r="Q8" s="102"/>
      <c r="R8" s="102"/>
      <c r="S8" s="102"/>
      <c r="T8" s="102"/>
      <c r="U8" s="102"/>
      <c r="V8" s="102"/>
      <c r="W8" s="102"/>
      <c r="X8" s="102"/>
      <c r="Y8" s="103"/>
      <c r="Z8" s="100"/>
      <c r="AA8" s="100"/>
      <c r="AB8" s="100"/>
      <c r="AC8" s="100"/>
      <c r="AD8" s="100"/>
      <c r="AE8" s="100"/>
      <c r="AF8" s="100"/>
      <c r="AG8" s="100"/>
      <c r="AH8" s="100"/>
      <c r="AI8" s="100"/>
      <c r="AJ8" s="100"/>
    </row>
    <row r="9" spans="2:36" x14ac:dyDescent="0.2">
      <c r="B9" s="109"/>
      <c r="C9" s="97">
        <v>2020</v>
      </c>
      <c r="D9" s="7"/>
      <c r="E9" s="24"/>
      <c r="F9" s="24"/>
      <c r="G9" s="24">
        <v>0.69</v>
      </c>
      <c r="H9" s="24">
        <v>0.76</v>
      </c>
      <c r="I9" s="24">
        <v>0.88</v>
      </c>
      <c r="J9" s="24">
        <v>0.93</v>
      </c>
      <c r="K9" s="24">
        <v>0.93</v>
      </c>
      <c r="L9" s="24">
        <v>0.94</v>
      </c>
      <c r="M9" s="24">
        <v>0.89</v>
      </c>
      <c r="O9"/>
      <c r="P9" s="102"/>
      <c r="Q9" s="102"/>
      <c r="R9" s="102"/>
      <c r="S9" s="102"/>
      <c r="T9" s="102"/>
      <c r="U9" s="102"/>
      <c r="V9" s="102"/>
      <c r="W9" s="102"/>
      <c r="X9" s="102"/>
      <c r="Y9" s="103"/>
      <c r="Z9" s="100"/>
      <c r="AA9" s="100"/>
      <c r="AB9" s="100"/>
      <c r="AC9" s="100"/>
      <c r="AD9" s="100"/>
      <c r="AE9" s="100"/>
      <c r="AF9" s="100"/>
      <c r="AG9" s="100"/>
      <c r="AH9" s="100"/>
      <c r="AI9" s="100"/>
      <c r="AJ9" s="100"/>
    </row>
    <row r="10" spans="2:36" x14ac:dyDescent="0.2">
      <c r="B10" s="109"/>
      <c r="C10" s="97">
        <v>2021</v>
      </c>
      <c r="D10" s="7"/>
      <c r="E10" s="24"/>
      <c r="F10" s="24">
        <v>0.8</v>
      </c>
      <c r="G10" s="24">
        <v>0.68</v>
      </c>
      <c r="H10" s="24">
        <v>0.75</v>
      </c>
      <c r="I10" s="24">
        <v>0.86</v>
      </c>
      <c r="J10" s="24">
        <v>0.92</v>
      </c>
      <c r="K10" s="24">
        <v>0.93</v>
      </c>
      <c r="L10" s="24">
        <v>0.94</v>
      </c>
      <c r="M10" s="24">
        <v>0.87</v>
      </c>
      <c r="O10"/>
      <c r="P10" s="102"/>
      <c r="Q10" s="102"/>
      <c r="R10" s="102"/>
      <c r="S10" s="102"/>
      <c r="T10" s="102"/>
      <c r="U10" s="102"/>
      <c r="V10" s="102"/>
      <c r="W10" s="102"/>
      <c r="X10" s="102"/>
      <c r="Y10" s="103"/>
      <c r="Z10" s="100"/>
      <c r="AA10" s="100"/>
      <c r="AB10" s="100"/>
      <c r="AC10" s="100"/>
      <c r="AD10" s="100"/>
      <c r="AE10" s="100"/>
      <c r="AF10" s="100"/>
      <c r="AG10" s="100"/>
      <c r="AH10" s="100"/>
      <c r="AI10" s="100"/>
      <c r="AJ10" s="100"/>
    </row>
    <row r="11" spans="2:36" x14ac:dyDescent="0.2">
      <c r="B11" s="109"/>
      <c r="C11" s="97">
        <v>2022</v>
      </c>
      <c r="D11" s="7"/>
      <c r="E11" s="24"/>
      <c r="F11" s="24">
        <v>0.83</v>
      </c>
      <c r="G11" s="24">
        <v>0.64</v>
      </c>
      <c r="H11" s="24">
        <v>0.77</v>
      </c>
      <c r="I11" s="24">
        <v>0.85</v>
      </c>
      <c r="J11" s="24">
        <v>0.92</v>
      </c>
      <c r="K11" s="24">
        <v>0.92</v>
      </c>
      <c r="L11" s="24">
        <v>0.94</v>
      </c>
      <c r="M11" s="24">
        <v>0.86</v>
      </c>
      <c r="O11"/>
      <c r="P11" s="102"/>
      <c r="Q11" s="102"/>
      <c r="R11" s="102"/>
      <c r="S11" s="102"/>
      <c r="T11" s="102"/>
      <c r="U11" s="102"/>
      <c r="V11" s="102"/>
      <c r="W11" s="102"/>
      <c r="X11" s="102"/>
      <c r="Y11" s="103"/>
      <c r="Z11" s="100"/>
      <c r="AA11" s="100"/>
      <c r="AB11" s="100"/>
      <c r="AC11" s="100"/>
      <c r="AD11" s="100"/>
      <c r="AE11" s="100"/>
      <c r="AF11" s="100"/>
      <c r="AG11" s="100"/>
      <c r="AH11" s="100"/>
      <c r="AI11" s="100"/>
      <c r="AJ11" s="100"/>
    </row>
    <row r="12" spans="2:36" x14ac:dyDescent="0.2">
      <c r="B12" s="109"/>
      <c r="C12" s="97">
        <v>2023</v>
      </c>
      <c r="D12" s="7"/>
      <c r="E12" s="24"/>
      <c r="F12" s="24">
        <v>0.81</v>
      </c>
      <c r="G12" s="24">
        <v>0.71</v>
      </c>
      <c r="H12" s="24">
        <v>0.77</v>
      </c>
      <c r="I12" s="24">
        <v>0.87</v>
      </c>
      <c r="J12" s="24">
        <v>0.91</v>
      </c>
      <c r="K12" s="24">
        <v>0.92</v>
      </c>
      <c r="L12" s="24">
        <v>0.94</v>
      </c>
      <c r="M12" s="24">
        <v>0.88</v>
      </c>
      <c r="O12"/>
      <c r="P12" s="102"/>
      <c r="Q12" s="102"/>
      <c r="R12" s="102"/>
      <c r="S12" s="102"/>
      <c r="T12" s="102"/>
      <c r="U12" s="102"/>
      <c r="V12" s="102"/>
      <c r="W12" s="102"/>
      <c r="X12" s="102"/>
      <c r="Y12" s="103"/>
      <c r="Z12" s="100"/>
      <c r="AA12" s="100"/>
      <c r="AB12" s="100"/>
      <c r="AC12" s="100"/>
      <c r="AD12" s="100"/>
      <c r="AE12" s="100"/>
      <c r="AF12" s="100"/>
      <c r="AG12" s="100"/>
      <c r="AH12" s="100"/>
      <c r="AI12" s="100"/>
      <c r="AJ12" s="100"/>
    </row>
    <row r="13" spans="2:36" x14ac:dyDescent="0.2">
      <c r="B13" s="110"/>
      <c r="C13" s="98">
        <v>2024</v>
      </c>
      <c r="D13" s="7"/>
      <c r="E13" s="25"/>
      <c r="F13" s="25">
        <v>0.84</v>
      </c>
      <c r="G13" s="25">
        <v>0.74</v>
      </c>
      <c r="H13" s="25">
        <v>0.8</v>
      </c>
      <c r="I13" s="25">
        <v>0.88</v>
      </c>
      <c r="J13" s="25">
        <v>0.92</v>
      </c>
      <c r="K13" s="25">
        <v>0.93</v>
      </c>
      <c r="L13" s="25">
        <v>0.93</v>
      </c>
      <c r="M13" s="25">
        <v>0.89</v>
      </c>
      <c r="O13"/>
      <c r="P13" s="102"/>
      <c r="Q13" s="102"/>
      <c r="R13" s="102"/>
      <c r="S13" s="102"/>
      <c r="T13" s="102"/>
      <c r="U13" s="102"/>
      <c r="V13" s="102"/>
      <c r="W13" s="102"/>
      <c r="X13" s="102"/>
      <c r="Y13" s="103"/>
      <c r="Z13" s="100"/>
      <c r="AA13" s="100"/>
      <c r="AB13" s="100"/>
      <c r="AC13" s="100"/>
      <c r="AD13" s="100"/>
      <c r="AE13" s="100"/>
      <c r="AF13" s="100"/>
      <c r="AG13" s="100"/>
      <c r="AH13" s="100"/>
      <c r="AI13" s="100"/>
      <c r="AJ13" s="100"/>
    </row>
    <row r="14" spans="2:36" x14ac:dyDescent="0.2">
      <c r="B14" s="111" t="s">
        <v>134</v>
      </c>
      <c r="C14" s="97">
        <v>2015</v>
      </c>
      <c r="D14" s="65">
        <v>0.81</v>
      </c>
      <c r="E14" s="65">
        <v>0.72</v>
      </c>
      <c r="F14" s="65">
        <v>0.77</v>
      </c>
      <c r="G14" s="65">
        <v>0.79</v>
      </c>
      <c r="H14" s="65">
        <v>0.78</v>
      </c>
      <c r="I14" s="65">
        <v>0.88</v>
      </c>
      <c r="J14" s="65">
        <v>0.83</v>
      </c>
      <c r="K14" s="65">
        <v>0.86</v>
      </c>
      <c r="L14" s="65">
        <v>0.85</v>
      </c>
      <c r="M14" s="7">
        <v>0.81</v>
      </c>
      <c r="O14"/>
      <c r="P14" s="102"/>
      <c r="Q14" s="102"/>
      <c r="R14" s="102"/>
      <c r="S14" s="102"/>
      <c r="T14" s="102"/>
      <c r="U14" s="102"/>
      <c r="V14" s="102"/>
      <c r="W14" s="102"/>
      <c r="X14" s="102"/>
      <c r="Y14" s="103"/>
      <c r="Z14" s="100"/>
      <c r="AA14" s="100"/>
      <c r="AB14" s="100"/>
      <c r="AC14" s="100"/>
      <c r="AD14" s="100"/>
      <c r="AE14" s="100"/>
      <c r="AF14" s="100"/>
      <c r="AG14" s="100"/>
      <c r="AH14" s="100"/>
      <c r="AI14" s="100"/>
      <c r="AJ14" s="100"/>
    </row>
    <row r="15" spans="2:36" x14ac:dyDescent="0.2">
      <c r="B15" s="109"/>
      <c r="C15" s="97">
        <v>2016</v>
      </c>
      <c r="D15" s="36">
        <v>0.56999999999999995</v>
      </c>
      <c r="E15" s="36">
        <v>0.71</v>
      </c>
      <c r="F15" s="36">
        <v>0.75</v>
      </c>
      <c r="G15" s="36">
        <v>0.77</v>
      </c>
      <c r="H15" s="36">
        <v>0.78</v>
      </c>
      <c r="I15" s="36">
        <v>0.87</v>
      </c>
      <c r="J15" s="36">
        <v>0.81</v>
      </c>
      <c r="K15" s="36">
        <v>0.87</v>
      </c>
      <c r="L15" s="36">
        <v>0.76</v>
      </c>
      <c r="M15" s="7">
        <v>0.79</v>
      </c>
      <c r="O15"/>
      <c r="P15" s="102"/>
      <c r="Q15" s="102"/>
      <c r="R15" s="102"/>
      <c r="S15" s="102"/>
      <c r="T15" s="102"/>
      <c r="U15" s="102"/>
      <c r="V15" s="102"/>
      <c r="W15" s="102"/>
      <c r="X15" s="102"/>
      <c r="Y15" s="103"/>
      <c r="Z15" s="100"/>
      <c r="AA15" s="100"/>
      <c r="AB15" s="100"/>
      <c r="AC15" s="100"/>
      <c r="AD15" s="100"/>
      <c r="AE15" s="100"/>
      <c r="AF15" s="100"/>
      <c r="AG15" s="100"/>
      <c r="AH15" s="100"/>
      <c r="AI15" s="100"/>
      <c r="AJ15" s="100"/>
    </row>
    <row r="16" spans="2:36" x14ac:dyDescent="0.2">
      <c r="B16" s="109"/>
      <c r="C16" s="97">
        <v>2017</v>
      </c>
      <c r="D16" s="36">
        <v>0.75</v>
      </c>
      <c r="E16" s="36">
        <v>0.69</v>
      </c>
      <c r="F16" s="36">
        <v>0.75</v>
      </c>
      <c r="G16" s="36">
        <v>0.77</v>
      </c>
      <c r="H16" s="36">
        <v>0.79</v>
      </c>
      <c r="I16" s="36">
        <v>0.88</v>
      </c>
      <c r="J16" s="36">
        <v>0.83</v>
      </c>
      <c r="K16" s="36">
        <v>0.88</v>
      </c>
      <c r="L16" s="36">
        <v>0.75</v>
      </c>
      <c r="M16" s="7">
        <v>0.8</v>
      </c>
      <c r="O16"/>
      <c r="P16" s="102"/>
      <c r="Q16" s="102"/>
      <c r="R16" s="102"/>
      <c r="S16" s="102"/>
      <c r="T16" s="102"/>
      <c r="U16" s="102"/>
      <c r="V16" s="102"/>
      <c r="W16" s="102"/>
      <c r="X16" s="102"/>
      <c r="Y16" s="103"/>
      <c r="Z16" s="100"/>
      <c r="AA16" s="100"/>
      <c r="AB16" s="100"/>
      <c r="AC16" s="100"/>
      <c r="AD16" s="100"/>
      <c r="AE16" s="100"/>
      <c r="AF16" s="100"/>
      <c r="AG16" s="100"/>
      <c r="AH16" s="100"/>
      <c r="AI16" s="100"/>
      <c r="AJ16" s="100"/>
    </row>
    <row r="17" spans="2:36" x14ac:dyDescent="0.2">
      <c r="B17" s="109"/>
      <c r="C17" s="97">
        <v>2018</v>
      </c>
      <c r="D17" s="36">
        <v>0.79</v>
      </c>
      <c r="E17" s="36">
        <v>0.71</v>
      </c>
      <c r="F17" s="36">
        <v>0.72</v>
      </c>
      <c r="G17" s="36">
        <v>0.76</v>
      </c>
      <c r="H17" s="36">
        <v>0.79</v>
      </c>
      <c r="I17" s="36">
        <v>0.87</v>
      </c>
      <c r="J17" s="36">
        <v>0.82</v>
      </c>
      <c r="K17" s="36">
        <v>0.88</v>
      </c>
      <c r="L17" s="36">
        <v>0.76</v>
      </c>
      <c r="M17" s="7">
        <v>0.79</v>
      </c>
      <c r="O17"/>
      <c r="P17" s="102"/>
      <c r="Q17" s="102"/>
      <c r="R17" s="102"/>
      <c r="S17" s="102"/>
      <c r="T17" s="102"/>
      <c r="U17" s="102"/>
      <c r="V17" s="102"/>
      <c r="W17" s="102"/>
      <c r="X17" s="102"/>
      <c r="Y17" s="103"/>
      <c r="Z17" s="100"/>
      <c r="AA17" s="100"/>
      <c r="AB17" s="100"/>
      <c r="AC17" s="100"/>
      <c r="AD17" s="100"/>
      <c r="AE17" s="100"/>
      <c r="AF17" s="100"/>
      <c r="AG17" s="100"/>
      <c r="AH17" s="100"/>
      <c r="AI17" s="100"/>
      <c r="AJ17" s="100"/>
    </row>
    <row r="18" spans="2:36" x14ac:dyDescent="0.2">
      <c r="B18" s="109"/>
      <c r="C18" s="97">
        <v>2019</v>
      </c>
      <c r="D18" s="36">
        <v>0.72</v>
      </c>
      <c r="E18" s="36">
        <v>0.68</v>
      </c>
      <c r="F18" s="36">
        <v>0.72</v>
      </c>
      <c r="G18" s="36">
        <v>0.77</v>
      </c>
      <c r="H18" s="36">
        <v>0.79</v>
      </c>
      <c r="I18" s="36">
        <v>0.88</v>
      </c>
      <c r="J18" s="36">
        <v>0.83</v>
      </c>
      <c r="K18" s="36">
        <v>0.9</v>
      </c>
      <c r="L18" s="36">
        <v>0.76</v>
      </c>
      <c r="M18" s="7">
        <v>0.8</v>
      </c>
      <c r="O18"/>
      <c r="P18" s="102"/>
      <c r="Q18" s="102"/>
      <c r="R18" s="102"/>
      <c r="S18" s="102"/>
      <c r="T18" s="102"/>
      <c r="U18" s="102"/>
      <c r="V18" s="102"/>
      <c r="W18" s="102"/>
      <c r="X18" s="102"/>
      <c r="Y18" s="103"/>
      <c r="Z18" s="100"/>
      <c r="AA18" s="100"/>
      <c r="AB18" s="100"/>
      <c r="AC18" s="100"/>
      <c r="AD18" s="100"/>
      <c r="AE18" s="100"/>
      <c r="AF18" s="100"/>
      <c r="AG18" s="100"/>
      <c r="AH18" s="100"/>
      <c r="AI18" s="100"/>
      <c r="AJ18" s="100"/>
    </row>
    <row r="19" spans="2:36" x14ac:dyDescent="0.2">
      <c r="B19" s="109"/>
      <c r="C19" s="97">
        <v>2020</v>
      </c>
      <c r="D19" s="36">
        <v>0.57999999999999996</v>
      </c>
      <c r="E19" s="36">
        <v>0.67</v>
      </c>
      <c r="F19" s="36">
        <v>0.71</v>
      </c>
      <c r="G19" s="36">
        <v>0.77</v>
      </c>
      <c r="H19" s="36">
        <v>0.8</v>
      </c>
      <c r="I19" s="36">
        <v>0.88</v>
      </c>
      <c r="J19" s="36">
        <v>0.84</v>
      </c>
      <c r="K19" s="36">
        <v>0.9</v>
      </c>
      <c r="L19" s="36">
        <v>0.78</v>
      </c>
      <c r="M19" s="7">
        <v>0.79</v>
      </c>
      <c r="O19"/>
      <c r="P19" s="102"/>
      <c r="Q19" s="102"/>
      <c r="R19" s="102"/>
      <c r="S19" s="102"/>
      <c r="T19" s="102"/>
      <c r="U19" s="102"/>
      <c r="V19" s="102"/>
      <c r="W19" s="102"/>
      <c r="X19" s="102"/>
      <c r="Y19" s="103"/>
      <c r="Z19" s="100"/>
      <c r="AA19" s="100"/>
      <c r="AB19" s="100"/>
      <c r="AC19" s="100"/>
      <c r="AD19" s="100"/>
      <c r="AE19" s="100"/>
      <c r="AF19" s="100"/>
      <c r="AG19" s="100"/>
      <c r="AH19" s="100"/>
      <c r="AI19" s="100"/>
      <c r="AJ19" s="100"/>
    </row>
    <row r="20" spans="2:36" x14ac:dyDescent="0.2">
      <c r="B20" s="109"/>
      <c r="C20" s="97">
        <v>2021</v>
      </c>
      <c r="D20" s="36">
        <v>0.71</v>
      </c>
      <c r="E20" s="36">
        <v>0.69</v>
      </c>
      <c r="F20" s="36">
        <v>0.72</v>
      </c>
      <c r="G20" s="36">
        <v>0.78</v>
      </c>
      <c r="H20" s="36">
        <v>0.79</v>
      </c>
      <c r="I20" s="36">
        <v>0.89</v>
      </c>
      <c r="J20" s="36">
        <v>0.84</v>
      </c>
      <c r="K20" s="36">
        <v>0.91</v>
      </c>
      <c r="L20" s="36">
        <v>0.8</v>
      </c>
      <c r="M20" s="7">
        <v>0.8</v>
      </c>
      <c r="O20"/>
      <c r="P20" s="102"/>
      <c r="Q20" s="102"/>
      <c r="R20" s="102"/>
      <c r="S20" s="102"/>
      <c r="T20" s="102"/>
      <c r="U20" s="102"/>
      <c r="V20" s="102"/>
      <c r="W20" s="102"/>
      <c r="X20" s="102"/>
      <c r="Y20" s="103"/>
      <c r="Z20" s="100"/>
      <c r="AA20" s="100"/>
      <c r="AB20" s="100"/>
      <c r="AC20" s="100"/>
      <c r="AD20" s="100"/>
      <c r="AE20" s="100"/>
      <c r="AF20" s="100"/>
      <c r="AG20" s="100"/>
      <c r="AH20" s="100"/>
      <c r="AI20" s="100"/>
      <c r="AJ20" s="100"/>
    </row>
    <row r="21" spans="2:36" x14ac:dyDescent="0.2">
      <c r="B21" s="109"/>
      <c r="C21" s="97">
        <v>2022</v>
      </c>
      <c r="D21" s="36">
        <v>0.65</v>
      </c>
      <c r="E21" s="36">
        <v>0.7</v>
      </c>
      <c r="F21" s="36">
        <v>0.7</v>
      </c>
      <c r="G21" s="36">
        <v>0.78</v>
      </c>
      <c r="H21" s="36">
        <v>0.79</v>
      </c>
      <c r="I21" s="36">
        <v>0.89</v>
      </c>
      <c r="J21" s="36">
        <v>0.78</v>
      </c>
      <c r="K21" s="36">
        <v>0.89</v>
      </c>
      <c r="L21" s="36">
        <v>0.79</v>
      </c>
      <c r="M21" s="7">
        <v>0.79</v>
      </c>
      <c r="O21"/>
      <c r="P21" s="102"/>
      <c r="Q21" s="102"/>
      <c r="R21" s="102"/>
      <c r="S21" s="102"/>
      <c r="T21" s="102"/>
      <c r="U21" s="102"/>
      <c r="V21" s="102"/>
      <c r="W21" s="102"/>
      <c r="X21" s="102"/>
      <c r="Y21" s="103"/>
      <c r="Z21" s="100"/>
      <c r="AA21" s="100"/>
      <c r="AB21" s="100"/>
      <c r="AC21" s="100"/>
      <c r="AD21" s="100"/>
      <c r="AE21" s="100"/>
      <c r="AF21" s="100"/>
      <c r="AG21" s="100"/>
      <c r="AH21" s="100"/>
      <c r="AI21" s="100"/>
      <c r="AJ21" s="100"/>
    </row>
    <row r="22" spans="2:36" x14ac:dyDescent="0.2">
      <c r="B22" s="109"/>
      <c r="C22" s="97">
        <v>2023</v>
      </c>
      <c r="D22" s="36">
        <v>0.74</v>
      </c>
      <c r="E22" s="36">
        <v>0.73</v>
      </c>
      <c r="F22" s="36">
        <v>0.74</v>
      </c>
      <c r="G22" s="36">
        <v>0.79</v>
      </c>
      <c r="H22" s="36">
        <v>0.81</v>
      </c>
      <c r="I22" s="36">
        <v>0.91</v>
      </c>
      <c r="J22" s="36">
        <v>0.81</v>
      </c>
      <c r="K22" s="36">
        <v>0.9</v>
      </c>
      <c r="L22" s="36">
        <v>0.77</v>
      </c>
      <c r="M22" s="7">
        <v>0.81</v>
      </c>
      <c r="O22"/>
      <c r="P22" s="102"/>
      <c r="Q22" s="102"/>
      <c r="R22" s="102"/>
      <c r="S22" s="102"/>
      <c r="T22" s="102"/>
      <c r="U22" s="102"/>
      <c r="V22" s="102"/>
      <c r="W22" s="102"/>
      <c r="X22" s="102"/>
      <c r="Y22" s="103"/>
      <c r="Z22" s="100"/>
      <c r="AA22" s="100"/>
      <c r="AB22" s="100"/>
      <c r="AC22" s="100"/>
      <c r="AD22" s="100"/>
      <c r="AE22" s="100"/>
      <c r="AF22" s="100"/>
      <c r="AG22" s="100"/>
      <c r="AH22" s="100"/>
      <c r="AI22" s="100"/>
      <c r="AJ22" s="100"/>
    </row>
    <row r="23" spans="2:36" x14ac:dyDescent="0.2">
      <c r="B23" s="110"/>
      <c r="C23" s="98">
        <v>2024</v>
      </c>
      <c r="D23" s="37">
        <v>0.75</v>
      </c>
      <c r="E23" s="37">
        <v>0.71</v>
      </c>
      <c r="F23" s="37">
        <v>0.76</v>
      </c>
      <c r="G23" s="37">
        <v>0.81</v>
      </c>
      <c r="H23" s="37">
        <v>0.82</v>
      </c>
      <c r="I23" s="37">
        <v>0.91</v>
      </c>
      <c r="J23" s="37">
        <v>0.85</v>
      </c>
      <c r="K23" s="37">
        <v>0.91</v>
      </c>
      <c r="L23" s="37">
        <v>0.73</v>
      </c>
      <c r="M23" s="8">
        <v>0.82</v>
      </c>
      <c r="O23"/>
      <c r="P23" s="102"/>
      <c r="Q23" s="102"/>
      <c r="R23" s="102"/>
      <c r="S23" s="102"/>
      <c r="T23" s="102"/>
      <c r="U23" s="102"/>
      <c r="V23" s="102"/>
      <c r="W23" s="102"/>
      <c r="X23" s="102"/>
      <c r="Y23" s="103"/>
      <c r="Z23" s="100"/>
      <c r="AA23" s="100"/>
      <c r="AB23" s="100"/>
      <c r="AC23" s="100"/>
      <c r="AD23" s="100"/>
      <c r="AE23" s="100"/>
      <c r="AF23" s="100"/>
      <c r="AG23" s="100"/>
      <c r="AH23" s="100"/>
      <c r="AI23" s="100"/>
      <c r="AJ23" s="100"/>
    </row>
    <row r="24" spans="2:36" x14ac:dyDescent="0.2">
      <c r="B24" s="108" t="s">
        <v>1</v>
      </c>
      <c r="C24" s="97">
        <v>2015</v>
      </c>
      <c r="D24" s="65">
        <v>0.73</v>
      </c>
      <c r="E24" s="65">
        <v>0.77</v>
      </c>
      <c r="F24" s="65">
        <v>0.83</v>
      </c>
      <c r="G24" s="65">
        <v>0.79</v>
      </c>
      <c r="H24" s="65">
        <v>0.78</v>
      </c>
      <c r="I24" s="65">
        <v>0.82</v>
      </c>
      <c r="J24" s="65">
        <v>0.86</v>
      </c>
      <c r="K24" s="65">
        <v>0.72</v>
      </c>
      <c r="L24" s="65">
        <v>0.73</v>
      </c>
      <c r="M24" s="7">
        <v>0.79</v>
      </c>
      <c r="O24"/>
      <c r="P24" s="102"/>
      <c r="Q24" s="102"/>
      <c r="R24" s="102"/>
      <c r="S24" s="102"/>
      <c r="T24" s="102"/>
      <c r="U24" s="102"/>
      <c r="V24" s="102"/>
      <c r="W24" s="102"/>
      <c r="X24" s="102"/>
      <c r="Y24" s="103"/>
      <c r="Z24" s="100"/>
      <c r="AA24" s="100"/>
      <c r="AB24" s="100"/>
      <c r="AC24" s="100"/>
      <c r="AD24" s="100"/>
      <c r="AE24" s="100"/>
      <c r="AF24" s="100"/>
      <c r="AG24" s="100"/>
      <c r="AH24" s="100"/>
      <c r="AI24" s="100"/>
      <c r="AJ24" s="100"/>
    </row>
    <row r="25" spans="2:36" x14ac:dyDescent="0.2">
      <c r="B25" s="109"/>
      <c r="C25" s="97">
        <v>2016</v>
      </c>
      <c r="D25" s="36">
        <v>0.71</v>
      </c>
      <c r="E25" s="36">
        <v>0.75</v>
      </c>
      <c r="F25" s="36">
        <v>0.8</v>
      </c>
      <c r="G25" s="36">
        <v>0.77</v>
      </c>
      <c r="H25" s="36">
        <v>0.75</v>
      </c>
      <c r="I25" s="36">
        <v>0.81</v>
      </c>
      <c r="J25" s="36">
        <v>0.8</v>
      </c>
      <c r="K25" s="36">
        <v>0.66</v>
      </c>
      <c r="L25" s="36">
        <v>0.75</v>
      </c>
      <c r="M25" s="7">
        <v>0.77</v>
      </c>
      <c r="O25"/>
      <c r="P25" s="102"/>
      <c r="Q25" s="102"/>
      <c r="R25" s="102"/>
      <c r="S25" s="102"/>
      <c r="T25" s="102"/>
      <c r="U25" s="102"/>
      <c r="V25" s="102"/>
      <c r="W25" s="102"/>
      <c r="X25" s="102"/>
      <c r="Y25" s="103"/>
      <c r="Z25" s="100"/>
      <c r="AA25" s="100"/>
      <c r="AB25" s="100"/>
      <c r="AC25" s="100"/>
      <c r="AD25" s="100"/>
      <c r="AE25" s="100"/>
      <c r="AF25" s="100"/>
      <c r="AG25" s="100"/>
      <c r="AH25" s="100"/>
      <c r="AI25" s="100"/>
      <c r="AJ25" s="100"/>
    </row>
    <row r="26" spans="2:36" x14ac:dyDescent="0.2">
      <c r="B26" s="109"/>
      <c r="C26" s="97">
        <v>2017</v>
      </c>
      <c r="D26" s="36">
        <v>0.81</v>
      </c>
      <c r="E26" s="36">
        <v>0.69</v>
      </c>
      <c r="F26" s="36">
        <v>0.77</v>
      </c>
      <c r="G26" s="36">
        <v>0.79</v>
      </c>
      <c r="H26" s="36">
        <v>0.77</v>
      </c>
      <c r="I26" s="36">
        <v>0.82</v>
      </c>
      <c r="J26" s="36"/>
      <c r="K26" s="36">
        <v>0.77</v>
      </c>
      <c r="L26" s="36">
        <v>0.79</v>
      </c>
      <c r="M26" s="7">
        <v>0.77</v>
      </c>
      <c r="O26"/>
      <c r="P26" s="102"/>
      <c r="Q26" s="102"/>
      <c r="R26" s="102"/>
      <c r="S26" s="102"/>
      <c r="T26" s="102"/>
      <c r="U26" s="102"/>
      <c r="V26" s="102"/>
      <c r="W26" s="102"/>
      <c r="X26" s="102"/>
      <c r="Y26" s="103"/>
      <c r="Z26" s="100"/>
      <c r="AA26" s="100"/>
      <c r="AB26" s="100"/>
      <c r="AC26" s="100"/>
      <c r="AD26" s="100"/>
      <c r="AE26" s="100"/>
      <c r="AF26" s="100"/>
      <c r="AG26" s="100"/>
      <c r="AH26" s="100"/>
      <c r="AI26" s="100"/>
      <c r="AJ26" s="100"/>
    </row>
    <row r="27" spans="2:36" x14ac:dyDescent="0.2">
      <c r="B27" s="109"/>
      <c r="C27" s="97">
        <v>2018</v>
      </c>
      <c r="D27" s="36">
        <v>0.75</v>
      </c>
      <c r="E27" s="36">
        <v>0.73</v>
      </c>
      <c r="F27" s="36">
        <v>0.76</v>
      </c>
      <c r="G27" s="36">
        <v>0.72</v>
      </c>
      <c r="H27" s="36">
        <v>0.73</v>
      </c>
      <c r="I27" s="36">
        <v>0.8</v>
      </c>
      <c r="J27" s="36"/>
      <c r="K27" s="36">
        <v>0.67</v>
      </c>
      <c r="L27" s="36">
        <v>0.83</v>
      </c>
      <c r="M27" s="7">
        <v>0.74</v>
      </c>
      <c r="O27"/>
      <c r="P27" s="102"/>
      <c r="Q27" s="102"/>
      <c r="R27" s="102"/>
      <c r="S27" s="102"/>
      <c r="T27" s="102"/>
      <c r="U27" s="102"/>
      <c r="V27" s="102"/>
      <c r="W27" s="102"/>
      <c r="X27" s="102"/>
      <c r="Y27" s="103"/>
      <c r="Z27" s="100"/>
      <c r="AA27" s="100"/>
      <c r="AB27" s="100"/>
      <c r="AC27" s="100"/>
      <c r="AD27" s="100"/>
      <c r="AE27" s="100"/>
      <c r="AF27" s="100"/>
      <c r="AG27" s="100"/>
      <c r="AH27" s="100"/>
      <c r="AI27" s="100"/>
      <c r="AJ27" s="100"/>
    </row>
    <row r="28" spans="2:36" x14ac:dyDescent="0.2">
      <c r="B28" s="109"/>
      <c r="C28" s="97">
        <v>2019</v>
      </c>
      <c r="D28" s="36">
        <v>0.86</v>
      </c>
      <c r="E28" s="36">
        <v>0.76</v>
      </c>
      <c r="F28" s="36">
        <v>0.77</v>
      </c>
      <c r="G28" s="36">
        <v>0.71</v>
      </c>
      <c r="H28" s="36">
        <v>0.74</v>
      </c>
      <c r="I28" s="36">
        <v>0.79</v>
      </c>
      <c r="J28" s="36"/>
      <c r="K28" s="36">
        <v>0.78</v>
      </c>
      <c r="L28" s="36">
        <v>0.74</v>
      </c>
      <c r="M28" s="7">
        <v>0.76</v>
      </c>
      <c r="O28"/>
      <c r="P28" s="102"/>
      <c r="Q28" s="102"/>
      <c r="R28" s="102"/>
      <c r="S28" s="102"/>
      <c r="T28" s="102"/>
      <c r="U28" s="102"/>
      <c r="V28" s="102"/>
      <c r="W28" s="102"/>
      <c r="X28" s="102"/>
      <c r="Y28" s="103"/>
      <c r="Z28" s="100"/>
      <c r="AA28" s="100"/>
      <c r="AB28" s="100"/>
      <c r="AC28" s="100"/>
      <c r="AD28" s="100"/>
      <c r="AE28" s="100"/>
      <c r="AF28" s="100"/>
      <c r="AG28" s="100"/>
      <c r="AH28" s="100"/>
      <c r="AI28" s="100"/>
      <c r="AJ28" s="100"/>
    </row>
    <row r="29" spans="2:36" x14ac:dyDescent="0.2">
      <c r="B29" s="109"/>
      <c r="C29" s="97">
        <v>2020</v>
      </c>
      <c r="D29" s="36">
        <v>0.71</v>
      </c>
      <c r="E29" s="36">
        <v>0.67</v>
      </c>
      <c r="F29" s="36">
        <v>0.71</v>
      </c>
      <c r="G29" s="36">
        <v>0.68</v>
      </c>
      <c r="H29" s="36">
        <v>0.69</v>
      </c>
      <c r="I29" s="36">
        <v>0.77</v>
      </c>
      <c r="J29" s="36"/>
      <c r="K29" s="36">
        <v>0.74</v>
      </c>
      <c r="L29" s="36">
        <v>0.63</v>
      </c>
      <c r="M29" s="7">
        <v>0.7</v>
      </c>
      <c r="O29"/>
      <c r="P29" s="102"/>
      <c r="Q29" s="102"/>
      <c r="R29" s="102"/>
      <c r="S29" s="102"/>
      <c r="T29" s="102"/>
      <c r="U29" s="102"/>
      <c r="V29" s="102"/>
      <c r="W29" s="102"/>
      <c r="X29" s="102"/>
      <c r="Y29" s="103"/>
      <c r="Z29" s="100"/>
      <c r="AA29" s="100"/>
      <c r="AB29" s="100"/>
      <c r="AC29" s="100"/>
      <c r="AD29" s="100"/>
      <c r="AE29" s="100"/>
      <c r="AF29" s="100"/>
      <c r="AG29" s="100"/>
      <c r="AH29" s="100"/>
      <c r="AI29" s="100"/>
      <c r="AJ29" s="100"/>
    </row>
    <row r="30" spans="2:36" x14ac:dyDescent="0.2">
      <c r="B30" s="109"/>
      <c r="C30" s="97">
        <v>2021</v>
      </c>
      <c r="D30" s="36">
        <v>0.73</v>
      </c>
      <c r="E30" s="36">
        <v>0.65</v>
      </c>
      <c r="F30" s="36">
        <v>0.72</v>
      </c>
      <c r="G30" s="36">
        <v>0.68</v>
      </c>
      <c r="H30" s="36">
        <v>0.72</v>
      </c>
      <c r="I30" s="36">
        <v>0.81</v>
      </c>
      <c r="J30" s="36"/>
      <c r="K30" s="36">
        <v>0.74</v>
      </c>
      <c r="L30" s="36">
        <v>0.64</v>
      </c>
      <c r="M30" s="7">
        <v>0.71</v>
      </c>
      <c r="O30"/>
      <c r="P30" s="102"/>
      <c r="Q30" s="102"/>
      <c r="R30" s="102"/>
      <c r="S30" s="102"/>
      <c r="T30" s="102"/>
      <c r="U30" s="102"/>
      <c r="V30" s="102"/>
      <c r="W30" s="102"/>
      <c r="X30" s="102"/>
      <c r="Y30" s="103"/>
      <c r="Z30" s="100"/>
      <c r="AA30" s="100"/>
      <c r="AB30" s="100"/>
      <c r="AC30" s="100"/>
      <c r="AD30" s="100"/>
      <c r="AE30" s="100"/>
      <c r="AF30" s="100"/>
      <c r="AG30" s="100"/>
      <c r="AH30" s="100"/>
      <c r="AI30" s="100"/>
      <c r="AJ30" s="100"/>
    </row>
    <row r="31" spans="2:36" x14ac:dyDescent="0.2">
      <c r="B31" s="109"/>
      <c r="C31" s="97">
        <v>2022</v>
      </c>
      <c r="D31" s="36">
        <v>0.67</v>
      </c>
      <c r="E31" s="36">
        <v>0.61</v>
      </c>
      <c r="F31" s="36">
        <v>0.68</v>
      </c>
      <c r="G31" s="36">
        <v>0.63</v>
      </c>
      <c r="H31" s="36">
        <v>0.68</v>
      </c>
      <c r="I31" s="36">
        <v>0.81</v>
      </c>
      <c r="J31" s="36"/>
      <c r="K31" s="36">
        <v>0.8</v>
      </c>
      <c r="L31" s="36">
        <v>0.67</v>
      </c>
      <c r="M31" s="7">
        <v>0.67</v>
      </c>
      <c r="O31"/>
      <c r="P31" s="102"/>
      <c r="Q31" s="102"/>
      <c r="R31" s="102"/>
      <c r="S31" s="102"/>
      <c r="T31" s="102"/>
      <c r="U31" s="102"/>
      <c r="V31" s="102"/>
      <c r="W31" s="102"/>
      <c r="X31" s="102"/>
      <c r="Y31" s="103"/>
      <c r="Z31" s="100"/>
      <c r="AA31" s="100"/>
      <c r="AB31" s="100"/>
      <c r="AC31" s="100"/>
      <c r="AD31" s="100"/>
      <c r="AE31" s="100"/>
      <c r="AF31" s="100"/>
      <c r="AG31" s="100"/>
      <c r="AH31" s="100"/>
      <c r="AI31" s="100"/>
      <c r="AJ31" s="100"/>
    </row>
    <row r="32" spans="2:36" x14ac:dyDescent="0.2">
      <c r="B32" s="109"/>
      <c r="C32" s="97">
        <v>2023</v>
      </c>
      <c r="D32" s="36">
        <v>0.62</v>
      </c>
      <c r="E32" s="36">
        <v>0.62</v>
      </c>
      <c r="F32" s="36">
        <v>0.73</v>
      </c>
      <c r="G32" s="36">
        <v>0.65</v>
      </c>
      <c r="H32" s="36">
        <v>0.72</v>
      </c>
      <c r="I32" s="36">
        <v>0.83</v>
      </c>
      <c r="J32" s="36"/>
      <c r="K32" s="36">
        <v>0.86</v>
      </c>
      <c r="L32" s="36">
        <v>0.73</v>
      </c>
      <c r="M32" s="7">
        <v>0.68</v>
      </c>
      <c r="O32"/>
      <c r="P32" s="102"/>
      <c r="Q32" s="102"/>
      <c r="R32" s="102"/>
      <c r="S32" s="102"/>
      <c r="T32" s="102"/>
      <c r="U32" s="102"/>
      <c r="V32" s="102"/>
      <c r="W32" s="102"/>
      <c r="X32" s="102"/>
      <c r="Y32" s="103"/>
      <c r="Z32" s="100"/>
      <c r="AA32" s="100"/>
      <c r="AB32" s="100"/>
      <c r="AC32" s="100"/>
      <c r="AD32" s="100"/>
      <c r="AE32" s="100"/>
      <c r="AF32" s="100"/>
      <c r="AG32" s="100"/>
      <c r="AH32" s="100"/>
      <c r="AI32" s="100"/>
      <c r="AJ32" s="100"/>
    </row>
    <row r="33" spans="2:36" x14ac:dyDescent="0.2">
      <c r="B33" s="110"/>
      <c r="C33" s="98">
        <v>2024</v>
      </c>
      <c r="D33" s="37">
        <v>0.75</v>
      </c>
      <c r="E33" s="37">
        <v>0.69</v>
      </c>
      <c r="F33" s="37">
        <v>0.75</v>
      </c>
      <c r="G33" s="37">
        <v>0.69</v>
      </c>
      <c r="H33" s="37">
        <v>0.74</v>
      </c>
      <c r="I33" s="37">
        <v>0.84</v>
      </c>
      <c r="J33" s="37"/>
      <c r="K33" s="37">
        <v>0.85</v>
      </c>
      <c r="L33" s="37">
        <v>0.78</v>
      </c>
      <c r="M33" s="8">
        <v>0.73</v>
      </c>
      <c r="O33"/>
      <c r="P33" s="102"/>
      <c r="Q33" s="102"/>
      <c r="R33" s="102"/>
      <c r="S33" s="102"/>
      <c r="T33" s="102"/>
      <c r="U33" s="102"/>
      <c r="V33" s="102"/>
      <c r="W33" s="102"/>
      <c r="X33" s="102"/>
      <c r="Y33" s="103"/>
      <c r="Z33" s="100"/>
      <c r="AA33" s="100"/>
      <c r="AB33" s="100"/>
      <c r="AC33" s="100"/>
      <c r="AD33" s="100"/>
      <c r="AE33" s="100"/>
      <c r="AF33" s="100"/>
      <c r="AG33" s="100"/>
      <c r="AH33" s="100"/>
      <c r="AI33" s="100"/>
      <c r="AJ33" s="100"/>
    </row>
    <row r="34" spans="2:36" x14ac:dyDescent="0.2">
      <c r="B34" s="108" t="s">
        <v>135</v>
      </c>
      <c r="C34" s="97">
        <v>2015</v>
      </c>
      <c r="D34" s="66">
        <v>0.67</v>
      </c>
      <c r="E34" s="65">
        <v>0.68</v>
      </c>
      <c r="F34" s="67">
        <v>0.84</v>
      </c>
      <c r="G34" s="65">
        <v>0.85</v>
      </c>
      <c r="H34" s="67">
        <v>0.87</v>
      </c>
      <c r="I34" s="65">
        <v>0.9</v>
      </c>
      <c r="J34" s="67">
        <v>0.9</v>
      </c>
      <c r="K34" s="65">
        <v>0.85</v>
      </c>
      <c r="L34" s="65">
        <v>0.88</v>
      </c>
      <c r="M34" s="67">
        <v>0.82</v>
      </c>
      <c r="O34"/>
      <c r="P34" s="102"/>
      <c r="Q34" s="102"/>
      <c r="R34" s="102"/>
      <c r="S34" s="102"/>
      <c r="T34" s="102"/>
      <c r="U34" s="102"/>
      <c r="V34" s="102"/>
      <c r="W34" s="102"/>
      <c r="X34" s="102"/>
      <c r="Y34" s="103"/>
      <c r="Z34" s="100"/>
      <c r="AA34" s="100"/>
      <c r="AB34" s="100"/>
      <c r="AC34" s="100"/>
      <c r="AD34" s="100"/>
      <c r="AE34" s="100"/>
      <c r="AF34" s="100"/>
      <c r="AG34" s="100"/>
      <c r="AH34" s="100"/>
      <c r="AI34" s="100"/>
      <c r="AJ34" s="100"/>
    </row>
    <row r="35" spans="2:36" x14ac:dyDescent="0.2">
      <c r="B35" s="109"/>
      <c r="C35" s="97">
        <v>2016</v>
      </c>
      <c r="D35" s="24">
        <v>0.66</v>
      </c>
      <c r="E35" s="36">
        <v>0.64</v>
      </c>
      <c r="F35" s="7">
        <v>0.76</v>
      </c>
      <c r="G35" s="36">
        <v>0.82</v>
      </c>
      <c r="H35" s="7">
        <v>0.84</v>
      </c>
      <c r="I35" s="36">
        <v>0.9</v>
      </c>
      <c r="J35" s="7">
        <v>0.92</v>
      </c>
      <c r="K35" s="36">
        <v>0.84</v>
      </c>
      <c r="L35" s="36">
        <v>0.88</v>
      </c>
      <c r="M35" s="7">
        <v>0.78</v>
      </c>
      <c r="O35"/>
      <c r="P35" s="102"/>
      <c r="Q35" s="102"/>
      <c r="R35" s="102"/>
      <c r="S35" s="102"/>
      <c r="T35" s="102"/>
      <c r="U35" s="102"/>
      <c r="V35" s="102"/>
      <c r="W35" s="102"/>
      <c r="X35" s="102"/>
      <c r="Y35" s="103"/>
      <c r="Z35" s="100"/>
      <c r="AA35" s="100"/>
      <c r="AB35" s="100"/>
      <c r="AC35" s="100"/>
      <c r="AD35" s="100"/>
      <c r="AE35" s="100"/>
      <c r="AF35" s="100"/>
      <c r="AG35" s="100"/>
      <c r="AH35" s="100"/>
      <c r="AI35" s="100"/>
      <c r="AJ35" s="100"/>
    </row>
    <row r="36" spans="2:36" x14ac:dyDescent="0.2">
      <c r="B36" s="109"/>
      <c r="C36" s="97">
        <v>2017</v>
      </c>
      <c r="D36" s="24">
        <v>0.67</v>
      </c>
      <c r="E36" s="36">
        <v>0.67</v>
      </c>
      <c r="F36" s="7">
        <v>0.76</v>
      </c>
      <c r="G36" s="36">
        <v>0.68</v>
      </c>
      <c r="H36" s="7">
        <v>0.8</v>
      </c>
      <c r="I36" s="36">
        <v>0.87</v>
      </c>
      <c r="J36" s="7">
        <v>0.91</v>
      </c>
      <c r="K36" s="36">
        <v>0.87</v>
      </c>
      <c r="L36" s="36">
        <v>0.83</v>
      </c>
      <c r="M36" s="7">
        <v>0.75</v>
      </c>
      <c r="O36"/>
      <c r="P36" s="102"/>
      <c r="Q36" s="102"/>
      <c r="R36" s="102"/>
      <c r="S36" s="102"/>
      <c r="T36" s="102"/>
      <c r="U36" s="102"/>
      <c r="V36" s="102"/>
      <c r="W36" s="102"/>
      <c r="X36" s="102"/>
      <c r="Y36" s="103"/>
      <c r="Z36" s="100"/>
      <c r="AA36" s="100"/>
      <c r="AB36" s="100"/>
      <c r="AC36" s="100"/>
      <c r="AD36" s="100"/>
      <c r="AE36" s="100"/>
      <c r="AF36" s="100"/>
      <c r="AG36" s="100"/>
      <c r="AH36" s="100"/>
      <c r="AI36" s="100"/>
      <c r="AJ36" s="100"/>
    </row>
    <row r="37" spans="2:36" x14ac:dyDescent="0.2">
      <c r="B37" s="109"/>
      <c r="C37" s="97">
        <v>2018</v>
      </c>
      <c r="D37" s="24">
        <v>0.7</v>
      </c>
      <c r="E37" s="36">
        <v>0.69</v>
      </c>
      <c r="F37" s="7">
        <v>0.78</v>
      </c>
      <c r="G37" s="36">
        <v>0.83</v>
      </c>
      <c r="H37" s="7">
        <v>0.84</v>
      </c>
      <c r="I37" s="36">
        <v>0.9</v>
      </c>
      <c r="J37" s="7">
        <v>0.92</v>
      </c>
      <c r="K37" s="36">
        <v>0.84</v>
      </c>
      <c r="L37" s="36">
        <v>0.82</v>
      </c>
      <c r="M37" s="7">
        <v>0.8</v>
      </c>
      <c r="O37"/>
      <c r="P37" s="102"/>
      <c r="Q37" s="102"/>
      <c r="R37" s="102"/>
      <c r="S37" s="102"/>
      <c r="T37" s="102"/>
      <c r="U37" s="102"/>
      <c r="V37" s="102"/>
      <c r="W37" s="102"/>
      <c r="X37" s="102"/>
      <c r="Y37" s="103"/>
      <c r="Z37" s="100"/>
      <c r="AA37" s="100"/>
      <c r="AB37" s="100"/>
      <c r="AC37" s="100"/>
      <c r="AD37" s="100"/>
      <c r="AE37" s="100"/>
      <c r="AF37" s="100"/>
      <c r="AG37" s="100"/>
      <c r="AH37" s="100"/>
      <c r="AI37" s="100"/>
      <c r="AJ37" s="100"/>
    </row>
    <row r="38" spans="2:36" x14ac:dyDescent="0.2">
      <c r="B38" s="109"/>
      <c r="C38" s="97">
        <v>2019</v>
      </c>
      <c r="D38" s="24">
        <v>0.7</v>
      </c>
      <c r="E38" s="36">
        <v>0.7</v>
      </c>
      <c r="F38" s="7">
        <v>0.75</v>
      </c>
      <c r="G38" s="36">
        <v>0.82</v>
      </c>
      <c r="H38" s="7">
        <v>0.82</v>
      </c>
      <c r="I38" s="36">
        <v>0.9</v>
      </c>
      <c r="J38" s="7">
        <v>0.92</v>
      </c>
      <c r="K38" s="36">
        <v>0.83</v>
      </c>
      <c r="L38" s="36">
        <v>0.89</v>
      </c>
      <c r="M38" s="7">
        <v>0.8</v>
      </c>
      <c r="O38"/>
      <c r="P38" s="102"/>
      <c r="Q38" s="102"/>
      <c r="R38" s="102"/>
      <c r="S38" s="102"/>
      <c r="T38" s="102"/>
      <c r="U38" s="102"/>
      <c r="V38" s="102"/>
      <c r="W38" s="102"/>
      <c r="X38" s="102"/>
      <c r="Y38" s="103"/>
      <c r="Z38" s="100"/>
      <c r="AA38" s="100"/>
      <c r="AB38" s="100"/>
      <c r="AC38" s="100"/>
      <c r="AD38" s="100"/>
      <c r="AE38" s="100"/>
      <c r="AF38" s="100"/>
      <c r="AG38" s="100"/>
      <c r="AH38" s="100"/>
      <c r="AI38" s="100"/>
      <c r="AJ38" s="100"/>
    </row>
    <row r="39" spans="2:36" x14ac:dyDescent="0.2">
      <c r="B39" s="109"/>
      <c r="C39" s="97">
        <v>2020</v>
      </c>
      <c r="D39" s="24">
        <v>0.73</v>
      </c>
      <c r="E39" s="36">
        <v>0.69</v>
      </c>
      <c r="F39" s="7">
        <v>0.75</v>
      </c>
      <c r="G39" s="36">
        <v>0.79</v>
      </c>
      <c r="H39" s="7">
        <v>0.79</v>
      </c>
      <c r="I39" s="36">
        <v>0.89</v>
      </c>
      <c r="J39" s="7">
        <v>0.92</v>
      </c>
      <c r="K39" s="36">
        <v>0.82</v>
      </c>
      <c r="L39" s="36">
        <v>0.91</v>
      </c>
      <c r="M39" s="7">
        <v>0.79</v>
      </c>
      <c r="O39"/>
      <c r="P39" s="102"/>
      <c r="Q39" s="102"/>
      <c r="R39" s="102"/>
      <c r="S39" s="102"/>
      <c r="T39" s="102"/>
      <c r="U39" s="102"/>
      <c r="V39" s="102"/>
      <c r="W39" s="102"/>
      <c r="X39" s="102"/>
      <c r="Y39" s="103"/>
      <c r="Z39" s="100"/>
      <c r="AA39" s="100"/>
      <c r="AB39" s="100"/>
      <c r="AC39" s="100"/>
      <c r="AD39" s="100"/>
      <c r="AE39" s="100"/>
      <c r="AF39" s="100"/>
      <c r="AG39" s="100"/>
      <c r="AH39" s="100"/>
      <c r="AI39" s="100"/>
      <c r="AJ39" s="100"/>
    </row>
    <row r="40" spans="2:36" x14ac:dyDescent="0.2">
      <c r="B40" s="109"/>
      <c r="C40" s="97">
        <v>2021</v>
      </c>
      <c r="D40" s="24">
        <v>0.75</v>
      </c>
      <c r="E40" s="36">
        <v>0.73</v>
      </c>
      <c r="F40" s="7">
        <v>0.77</v>
      </c>
      <c r="G40" s="36">
        <v>0.8</v>
      </c>
      <c r="H40" s="7">
        <v>0.82</v>
      </c>
      <c r="I40" s="36">
        <v>0.89</v>
      </c>
      <c r="J40" s="7">
        <v>0.93</v>
      </c>
      <c r="K40" s="36">
        <v>0.84</v>
      </c>
      <c r="L40" s="36">
        <v>0.9</v>
      </c>
      <c r="M40" s="7">
        <v>0.81</v>
      </c>
      <c r="O40"/>
      <c r="P40" s="102"/>
      <c r="Q40" s="102"/>
      <c r="R40" s="102"/>
      <c r="S40" s="102"/>
      <c r="T40" s="102"/>
      <c r="U40" s="102"/>
      <c r="V40" s="102"/>
      <c r="W40" s="102"/>
      <c r="X40" s="102"/>
      <c r="Y40" s="103"/>
      <c r="Z40" s="100"/>
      <c r="AA40" s="100"/>
      <c r="AB40" s="100"/>
      <c r="AC40" s="100"/>
      <c r="AD40" s="100"/>
      <c r="AE40" s="100"/>
      <c r="AF40" s="100"/>
      <c r="AG40" s="100"/>
      <c r="AH40" s="100"/>
      <c r="AI40" s="100"/>
      <c r="AJ40" s="100"/>
    </row>
    <row r="41" spans="2:36" x14ac:dyDescent="0.2">
      <c r="B41" s="109"/>
      <c r="C41" s="97">
        <v>2022</v>
      </c>
      <c r="D41" s="24">
        <v>0.76</v>
      </c>
      <c r="E41" s="36">
        <v>0.72</v>
      </c>
      <c r="F41" s="7">
        <v>0.77</v>
      </c>
      <c r="G41" s="36">
        <v>0.77</v>
      </c>
      <c r="H41" s="7">
        <v>0.78</v>
      </c>
      <c r="I41" s="36">
        <v>0.89</v>
      </c>
      <c r="J41" s="7">
        <v>0.94</v>
      </c>
      <c r="K41" s="36">
        <v>0.87</v>
      </c>
      <c r="L41" s="36">
        <v>0.9</v>
      </c>
      <c r="M41" s="7">
        <v>0.79</v>
      </c>
      <c r="O41"/>
      <c r="P41" s="102"/>
      <c r="Q41" s="102"/>
      <c r="R41" s="102"/>
      <c r="S41" s="102"/>
      <c r="T41" s="102"/>
      <c r="U41" s="102"/>
      <c r="V41" s="102"/>
      <c r="W41" s="102"/>
      <c r="X41" s="102"/>
      <c r="Y41" s="103"/>
      <c r="Z41" s="100"/>
      <c r="AA41" s="100"/>
      <c r="AB41" s="100"/>
      <c r="AC41" s="100"/>
      <c r="AD41" s="100"/>
      <c r="AE41" s="100"/>
      <c r="AF41" s="100"/>
      <c r="AG41" s="100"/>
      <c r="AH41" s="100"/>
      <c r="AI41" s="100"/>
      <c r="AJ41" s="100"/>
    </row>
    <row r="42" spans="2:36" x14ac:dyDescent="0.2">
      <c r="B42" s="109"/>
      <c r="C42" s="97">
        <v>2023</v>
      </c>
      <c r="D42" s="24">
        <v>0.74</v>
      </c>
      <c r="E42" s="36">
        <v>0.74</v>
      </c>
      <c r="F42" s="7">
        <v>0.79</v>
      </c>
      <c r="G42" s="36">
        <v>0.79</v>
      </c>
      <c r="H42" s="7">
        <v>0.79</v>
      </c>
      <c r="I42" s="36">
        <v>0.89</v>
      </c>
      <c r="J42" s="7">
        <v>0.93</v>
      </c>
      <c r="K42" s="36">
        <v>0.89</v>
      </c>
      <c r="L42" s="36">
        <v>0.87</v>
      </c>
      <c r="M42" s="7">
        <v>0.81</v>
      </c>
      <c r="O42"/>
      <c r="P42" s="102"/>
      <c r="Q42" s="102"/>
      <c r="R42" s="102"/>
      <c r="S42" s="102"/>
      <c r="T42" s="102"/>
      <c r="U42" s="102"/>
      <c r="V42" s="102"/>
      <c r="W42" s="102"/>
      <c r="X42" s="102"/>
      <c r="Y42" s="103"/>
      <c r="Z42" s="100"/>
      <c r="AA42" s="100"/>
      <c r="AB42" s="100"/>
      <c r="AC42" s="100"/>
      <c r="AD42" s="100"/>
      <c r="AE42" s="100"/>
      <c r="AF42" s="100"/>
      <c r="AG42" s="100"/>
      <c r="AH42" s="100"/>
      <c r="AI42" s="100"/>
      <c r="AJ42" s="100"/>
    </row>
    <row r="43" spans="2:36" x14ac:dyDescent="0.2">
      <c r="B43" s="110"/>
      <c r="C43" s="98">
        <v>2024</v>
      </c>
      <c r="D43" s="25">
        <v>0.78</v>
      </c>
      <c r="E43" s="37">
        <v>0.77</v>
      </c>
      <c r="F43" s="8">
        <v>0.79</v>
      </c>
      <c r="G43" s="37">
        <v>0.82</v>
      </c>
      <c r="H43" s="8">
        <v>0.81</v>
      </c>
      <c r="I43" s="37">
        <v>0.86</v>
      </c>
      <c r="J43" s="8">
        <v>0.91</v>
      </c>
      <c r="K43" s="37">
        <v>0.9</v>
      </c>
      <c r="L43" s="37">
        <v>0.85</v>
      </c>
      <c r="M43" s="8">
        <v>0.81</v>
      </c>
      <c r="O43"/>
      <c r="P43" s="102"/>
      <c r="Q43" s="102"/>
      <c r="R43" s="102"/>
      <c r="S43" s="102"/>
      <c r="T43" s="102"/>
      <c r="U43" s="102"/>
      <c r="V43" s="102"/>
      <c r="W43" s="102"/>
      <c r="X43" s="102"/>
      <c r="Y43" s="103"/>
      <c r="Z43" s="100"/>
      <c r="AA43" s="100"/>
      <c r="AB43" s="100"/>
      <c r="AC43" s="100"/>
      <c r="AD43" s="100"/>
      <c r="AE43" s="100"/>
      <c r="AF43" s="100"/>
      <c r="AG43" s="100"/>
      <c r="AH43" s="100"/>
      <c r="AI43" s="100"/>
      <c r="AJ43" s="100"/>
    </row>
    <row r="44" spans="2:36" x14ac:dyDescent="0.2">
      <c r="B44" s="108" t="s">
        <v>2</v>
      </c>
      <c r="C44" s="97">
        <v>2015</v>
      </c>
      <c r="D44" s="24">
        <v>0.72</v>
      </c>
      <c r="E44" s="24">
        <v>0.72</v>
      </c>
      <c r="F44" s="24">
        <v>0.8</v>
      </c>
      <c r="G44" s="24">
        <v>0.8</v>
      </c>
      <c r="H44" s="24">
        <v>0.81</v>
      </c>
      <c r="I44" s="24">
        <v>0.86</v>
      </c>
      <c r="J44" s="24">
        <v>0.89</v>
      </c>
      <c r="K44" s="24">
        <v>0.92</v>
      </c>
      <c r="L44" s="24">
        <v>0.93</v>
      </c>
      <c r="M44" s="24">
        <v>0.84</v>
      </c>
      <c r="N44"/>
      <c r="O44"/>
      <c r="P44" s="102"/>
      <c r="Q44" s="102"/>
      <c r="R44" s="102"/>
      <c r="S44" s="102"/>
      <c r="T44" s="102"/>
      <c r="U44" s="102"/>
      <c r="V44" s="102"/>
      <c r="W44" s="102"/>
      <c r="X44" s="102"/>
      <c r="Y44" s="103"/>
      <c r="Z44" s="100"/>
      <c r="AA44" s="100"/>
      <c r="AB44" s="100"/>
      <c r="AC44" s="100"/>
      <c r="AD44" s="100"/>
      <c r="AE44" s="100"/>
      <c r="AF44" s="100"/>
      <c r="AG44" s="100"/>
      <c r="AH44" s="100"/>
      <c r="AI44" s="100"/>
      <c r="AJ44" s="100"/>
    </row>
    <row r="45" spans="2:36" x14ac:dyDescent="0.2">
      <c r="B45" s="109"/>
      <c r="C45" s="97">
        <v>2016</v>
      </c>
      <c r="D45" s="24">
        <v>0.64</v>
      </c>
      <c r="E45" s="24">
        <v>0.7</v>
      </c>
      <c r="F45" s="24">
        <v>0.76</v>
      </c>
      <c r="G45" s="24">
        <v>0.77</v>
      </c>
      <c r="H45" s="24">
        <v>0.8</v>
      </c>
      <c r="I45" s="24">
        <v>0.86</v>
      </c>
      <c r="J45" s="24">
        <v>0.89</v>
      </c>
      <c r="K45" s="24">
        <v>0.92</v>
      </c>
      <c r="L45" s="24">
        <v>0.93</v>
      </c>
      <c r="M45" s="24">
        <v>0.83</v>
      </c>
      <c r="N45"/>
      <c r="O45"/>
      <c r="P45" s="102"/>
      <c r="Q45" s="102"/>
      <c r="R45" s="102"/>
      <c r="S45" s="102"/>
      <c r="T45" s="102"/>
      <c r="U45" s="102"/>
      <c r="V45" s="102"/>
      <c r="W45" s="102"/>
      <c r="X45" s="102"/>
      <c r="Y45" s="103"/>
      <c r="Z45" s="100"/>
      <c r="AA45" s="100"/>
      <c r="AB45" s="100"/>
      <c r="AC45" s="100"/>
      <c r="AD45" s="100"/>
      <c r="AE45" s="100"/>
      <c r="AF45" s="100"/>
      <c r="AG45" s="100"/>
      <c r="AH45" s="100"/>
      <c r="AI45" s="100"/>
      <c r="AJ45" s="100"/>
    </row>
    <row r="46" spans="2:36" x14ac:dyDescent="0.2">
      <c r="B46" s="109"/>
      <c r="C46" s="97">
        <v>2017</v>
      </c>
      <c r="D46" s="24">
        <v>0.75</v>
      </c>
      <c r="E46" s="24">
        <v>0.68</v>
      </c>
      <c r="F46" s="24">
        <v>0.76</v>
      </c>
      <c r="G46" s="24">
        <v>0.75</v>
      </c>
      <c r="H46" s="24">
        <v>0.79</v>
      </c>
      <c r="I46" s="24">
        <v>0.86</v>
      </c>
      <c r="J46" s="24">
        <v>0.89</v>
      </c>
      <c r="K46" s="24">
        <v>0.92</v>
      </c>
      <c r="L46" s="24">
        <v>0.93</v>
      </c>
      <c r="M46" s="24">
        <v>0.82</v>
      </c>
      <c r="N46"/>
      <c r="O46"/>
      <c r="P46" s="102"/>
      <c r="Q46" s="102"/>
      <c r="R46" s="102"/>
      <c r="S46" s="102"/>
      <c r="T46" s="102"/>
      <c r="U46" s="102"/>
      <c r="V46" s="102"/>
      <c r="W46" s="102"/>
      <c r="X46" s="102"/>
      <c r="Y46" s="103"/>
      <c r="Z46" s="100"/>
      <c r="AA46" s="100"/>
      <c r="AB46" s="100"/>
      <c r="AC46" s="100"/>
      <c r="AD46" s="100"/>
      <c r="AE46" s="100"/>
      <c r="AF46" s="100"/>
      <c r="AG46" s="100"/>
      <c r="AH46" s="100"/>
      <c r="AI46" s="100"/>
      <c r="AJ46" s="100"/>
    </row>
    <row r="47" spans="2:36" x14ac:dyDescent="0.2">
      <c r="B47" s="109"/>
      <c r="C47" s="97">
        <v>2018</v>
      </c>
      <c r="D47" s="24">
        <v>0.74</v>
      </c>
      <c r="E47" s="24">
        <v>0.71</v>
      </c>
      <c r="F47" s="24">
        <v>0.74</v>
      </c>
      <c r="G47" s="24">
        <v>0.75</v>
      </c>
      <c r="H47" s="24">
        <v>0.8</v>
      </c>
      <c r="I47" s="24">
        <v>0.86</v>
      </c>
      <c r="J47" s="24">
        <v>0.9</v>
      </c>
      <c r="K47" s="24">
        <v>0.92</v>
      </c>
      <c r="L47" s="24">
        <v>0.93</v>
      </c>
      <c r="M47" s="24">
        <v>0.83</v>
      </c>
      <c r="N47"/>
      <c r="O47"/>
      <c r="P47" s="102"/>
      <c r="Q47" s="102"/>
      <c r="R47" s="102"/>
      <c r="S47" s="102"/>
      <c r="T47" s="102"/>
      <c r="U47" s="102"/>
      <c r="V47" s="102"/>
      <c r="W47" s="102"/>
      <c r="X47" s="102"/>
      <c r="Y47" s="103"/>
      <c r="Z47" s="100"/>
      <c r="AA47" s="100"/>
      <c r="AB47" s="100"/>
      <c r="AC47" s="100"/>
      <c r="AD47" s="100"/>
      <c r="AE47" s="100"/>
      <c r="AF47" s="100"/>
      <c r="AG47" s="100"/>
      <c r="AH47" s="100"/>
      <c r="AI47" s="100"/>
      <c r="AJ47" s="100"/>
    </row>
    <row r="48" spans="2:36" x14ac:dyDescent="0.2">
      <c r="B48" s="109"/>
      <c r="C48" s="97">
        <v>2019</v>
      </c>
      <c r="D48" s="24">
        <v>0.79</v>
      </c>
      <c r="E48" s="24">
        <v>0.71</v>
      </c>
      <c r="F48" s="24">
        <v>0.74</v>
      </c>
      <c r="G48" s="24">
        <v>0.76</v>
      </c>
      <c r="H48" s="24">
        <v>0.79</v>
      </c>
      <c r="I48" s="24">
        <v>0.86</v>
      </c>
      <c r="J48" s="24">
        <v>0.9</v>
      </c>
      <c r="K48" s="24">
        <v>0.92</v>
      </c>
      <c r="L48" s="24">
        <v>0.93</v>
      </c>
      <c r="M48" s="24">
        <v>0.83</v>
      </c>
      <c r="N48"/>
      <c r="O48"/>
      <c r="P48" s="102"/>
      <c r="Q48" s="102"/>
      <c r="R48" s="102"/>
      <c r="S48" s="102"/>
      <c r="T48" s="102"/>
      <c r="U48" s="102"/>
      <c r="V48" s="102"/>
      <c r="W48" s="102"/>
      <c r="X48" s="102"/>
      <c r="Y48" s="103"/>
      <c r="Z48" s="100"/>
      <c r="AA48" s="100"/>
      <c r="AB48" s="100"/>
      <c r="AC48" s="100"/>
      <c r="AD48" s="100"/>
      <c r="AE48" s="100"/>
      <c r="AF48" s="100"/>
      <c r="AG48" s="100"/>
      <c r="AH48" s="100"/>
      <c r="AI48" s="100"/>
      <c r="AJ48" s="100"/>
    </row>
    <row r="49" spans="1:36" x14ac:dyDescent="0.2">
      <c r="B49" s="109"/>
      <c r="C49" s="97">
        <v>2020</v>
      </c>
      <c r="D49" s="24">
        <v>0.69</v>
      </c>
      <c r="E49" s="24">
        <v>0.68</v>
      </c>
      <c r="F49" s="24">
        <v>0.72</v>
      </c>
      <c r="G49" s="24">
        <v>0.75</v>
      </c>
      <c r="H49" s="24">
        <v>0.78</v>
      </c>
      <c r="I49" s="24">
        <v>0.88</v>
      </c>
      <c r="J49" s="24">
        <v>0.91</v>
      </c>
      <c r="K49" s="24">
        <v>0.93</v>
      </c>
      <c r="L49" s="24">
        <v>0.93</v>
      </c>
      <c r="M49" s="24">
        <v>0.83</v>
      </c>
      <c r="N49"/>
      <c r="O49"/>
      <c r="P49" s="102"/>
      <c r="Q49" s="102"/>
      <c r="R49" s="102"/>
      <c r="S49" s="102"/>
      <c r="T49" s="102"/>
      <c r="U49" s="102"/>
      <c r="V49" s="102"/>
      <c r="W49" s="102"/>
      <c r="X49" s="102"/>
      <c r="Y49" s="103"/>
      <c r="Z49" s="100"/>
      <c r="AA49" s="100"/>
      <c r="AB49" s="100"/>
      <c r="AC49" s="100"/>
      <c r="AD49" s="100"/>
      <c r="AE49" s="100"/>
      <c r="AF49" s="100"/>
      <c r="AG49" s="100"/>
      <c r="AH49" s="100"/>
      <c r="AI49" s="100"/>
      <c r="AJ49" s="100"/>
    </row>
    <row r="50" spans="1:36" x14ac:dyDescent="0.2">
      <c r="B50" s="109"/>
      <c r="C50" s="97">
        <v>2021</v>
      </c>
      <c r="D50" s="24">
        <v>0.73</v>
      </c>
      <c r="E50" s="24">
        <v>0.69</v>
      </c>
      <c r="F50" s="24">
        <v>0.73</v>
      </c>
      <c r="G50" s="24">
        <v>0.75</v>
      </c>
      <c r="H50" s="24">
        <v>0.79</v>
      </c>
      <c r="I50" s="24">
        <v>0.86</v>
      </c>
      <c r="J50" s="24">
        <v>0.91</v>
      </c>
      <c r="K50" s="24">
        <v>0.92</v>
      </c>
      <c r="L50" s="24">
        <v>0.93</v>
      </c>
      <c r="M50" s="24">
        <v>0.83</v>
      </c>
      <c r="N50"/>
      <c r="O50"/>
      <c r="P50" s="102"/>
      <c r="Q50" s="102"/>
      <c r="R50" s="102"/>
      <c r="S50" s="102"/>
      <c r="T50" s="102"/>
      <c r="U50" s="102"/>
      <c r="V50" s="102"/>
      <c r="W50" s="102"/>
      <c r="X50" s="102"/>
      <c r="Y50" s="103"/>
      <c r="Z50" s="100"/>
      <c r="AA50" s="100"/>
      <c r="AB50" s="100"/>
      <c r="AC50" s="100"/>
      <c r="AD50" s="100"/>
      <c r="AE50" s="100"/>
      <c r="AF50" s="100"/>
      <c r="AG50" s="100"/>
      <c r="AH50" s="100"/>
      <c r="AI50" s="100"/>
      <c r="AJ50" s="100"/>
    </row>
    <row r="51" spans="1:36" x14ac:dyDescent="0.2">
      <c r="B51" s="109"/>
      <c r="C51" s="97">
        <v>2022</v>
      </c>
      <c r="D51" s="24">
        <v>0.69</v>
      </c>
      <c r="E51" s="24">
        <v>0.68</v>
      </c>
      <c r="F51" s="24">
        <v>0.72</v>
      </c>
      <c r="G51" s="24">
        <v>0.73</v>
      </c>
      <c r="H51" s="24">
        <v>0.77</v>
      </c>
      <c r="I51" s="24">
        <v>0.86</v>
      </c>
      <c r="J51" s="24">
        <v>0.89</v>
      </c>
      <c r="K51" s="24">
        <v>0.91</v>
      </c>
      <c r="L51" s="24">
        <v>0.93</v>
      </c>
      <c r="M51" s="24">
        <v>0.82</v>
      </c>
      <c r="N51"/>
      <c r="O51"/>
      <c r="P51" s="102"/>
      <c r="Q51" s="102"/>
      <c r="R51" s="102"/>
      <c r="S51" s="102"/>
      <c r="T51" s="102"/>
      <c r="U51" s="102"/>
      <c r="V51" s="102"/>
      <c r="W51" s="102"/>
      <c r="X51" s="102"/>
      <c r="Y51" s="103"/>
      <c r="Z51" s="100"/>
      <c r="AA51" s="100"/>
      <c r="AB51" s="100"/>
      <c r="AC51" s="100"/>
      <c r="AD51" s="100"/>
      <c r="AE51" s="100"/>
      <c r="AF51" s="100"/>
      <c r="AG51" s="100"/>
      <c r="AH51" s="100"/>
      <c r="AI51" s="100"/>
      <c r="AJ51" s="100"/>
    </row>
    <row r="52" spans="1:36" x14ac:dyDescent="0.2">
      <c r="B52" s="109"/>
      <c r="C52" s="97">
        <v>2023</v>
      </c>
      <c r="D52" s="24">
        <v>0.66</v>
      </c>
      <c r="E52" s="24">
        <v>0.7</v>
      </c>
      <c r="F52" s="24">
        <v>0.75</v>
      </c>
      <c r="G52" s="24">
        <v>0.75</v>
      </c>
      <c r="H52" s="24">
        <v>0.79</v>
      </c>
      <c r="I52" s="24">
        <v>0.88</v>
      </c>
      <c r="J52" s="24">
        <v>0.89</v>
      </c>
      <c r="K52" s="24">
        <v>0.92</v>
      </c>
      <c r="L52" s="24">
        <v>0.93</v>
      </c>
      <c r="M52" s="24">
        <v>0.83</v>
      </c>
      <c r="N52"/>
      <c r="O52"/>
      <c r="P52" s="102"/>
      <c r="Q52" s="102"/>
      <c r="R52" s="102"/>
      <c r="S52" s="102"/>
      <c r="T52" s="102"/>
      <c r="U52" s="102"/>
      <c r="V52" s="102"/>
      <c r="W52" s="102"/>
      <c r="X52" s="102"/>
      <c r="Y52" s="103"/>
      <c r="Z52" s="100"/>
      <c r="AA52" s="100"/>
      <c r="AB52" s="100"/>
      <c r="AC52" s="100"/>
      <c r="AD52" s="100"/>
      <c r="AE52" s="100"/>
      <c r="AF52" s="100"/>
      <c r="AG52" s="100"/>
      <c r="AH52" s="100"/>
      <c r="AI52" s="100"/>
      <c r="AJ52" s="100"/>
    </row>
    <row r="53" spans="1:36" x14ac:dyDescent="0.2">
      <c r="B53" s="110"/>
      <c r="C53" s="98">
        <v>2024</v>
      </c>
      <c r="D53" s="25">
        <v>0.76</v>
      </c>
      <c r="E53" s="25">
        <v>0.72</v>
      </c>
      <c r="F53" s="25">
        <v>0.77</v>
      </c>
      <c r="G53" s="25">
        <v>0.78</v>
      </c>
      <c r="H53" s="25">
        <v>0.8</v>
      </c>
      <c r="I53" s="25">
        <v>0.88</v>
      </c>
      <c r="J53" s="25">
        <v>0.9</v>
      </c>
      <c r="K53" s="25">
        <v>0.93</v>
      </c>
      <c r="L53" s="25">
        <v>0.92</v>
      </c>
      <c r="M53" s="25">
        <v>0.85</v>
      </c>
      <c r="O53"/>
      <c r="P53" s="102"/>
      <c r="Q53" s="102"/>
      <c r="R53" s="102"/>
      <c r="S53" s="102"/>
      <c r="T53" s="102"/>
      <c r="U53" s="102"/>
      <c r="V53" s="102"/>
      <c r="W53" s="102"/>
      <c r="X53" s="102"/>
      <c r="Y53" s="103"/>
      <c r="Z53" s="100"/>
      <c r="AA53" s="100"/>
      <c r="AB53" s="100"/>
      <c r="AC53" s="100"/>
      <c r="AD53" s="100"/>
      <c r="AE53" s="100"/>
      <c r="AF53" s="100"/>
      <c r="AG53" s="100"/>
      <c r="AH53" s="100"/>
      <c r="AI53" s="100"/>
      <c r="AJ53" s="100"/>
    </row>
    <row r="54" spans="1:36" x14ac:dyDescent="0.2">
      <c r="B54" s="78"/>
      <c r="D54" s="7"/>
      <c r="E54" s="7"/>
      <c r="F54" s="7"/>
      <c r="G54" s="7"/>
      <c r="H54" s="7"/>
      <c r="I54" s="7"/>
      <c r="J54" s="7"/>
      <c r="K54" s="7"/>
      <c r="L54" s="7"/>
      <c r="M54" s="7"/>
    </row>
    <row r="55" spans="1:36" x14ac:dyDescent="0.2">
      <c r="B55" s="5" t="s">
        <v>25</v>
      </c>
    </row>
    <row r="56" spans="1:36" x14ac:dyDescent="0.2">
      <c r="A56" s="3">
        <v>1</v>
      </c>
      <c r="B56" s="5" t="s">
        <v>124</v>
      </c>
    </row>
    <row r="57" spans="1:36" x14ac:dyDescent="0.2">
      <c r="A57" s="3">
        <v>2</v>
      </c>
      <c r="B57" s="5" t="s">
        <v>119</v>
      </c>
    </row>
    <row r="58" spans="1:36" x14ac:dyDescent="0.2">
      <c r="A58" s="3">
        <v>3</v>
      </c>
      <c r="B58" s="5" t="s">
        <v>120</v>
      </c>
    </row>
    <row r="59" spans="1:36" x14ac:dyDescent="0.2">
      <c r="A59" s="69"/>
      <c r="B59" s="68"/>
    </row>
    <row r="60" spans="1:36" x14ac:dyDescent="0.2">
      <c r="M60" s="3"/>
    </row>
    <row r="61" spans="1:36" x14ac:dyDescent="0.2">
      <c r="M61" s="3"/>
    </row>
    <row r="62" spans="1:36" x14ac:dyDescent="0.2">
      <c r="M62" s="3"/>
    </row>
    <row r="63" spans="1:36" x14ac:dyDescent="0.2">
      <c r="M63" s="3"/>
    </row>
    <row r="64" spans="1:36" x14ac:dyDescent="0.2">
      <c r="M64" s="3"/>
    </row>
    <row r="65" spans="13:13" x14ac:dyDescent="0.2">
      <c r="M65" s="3"/>
    </row>
    <row r="66" spans="13:13" x14ac:dyDescent="0.2">
      <c r="M66" s="3"/>
    </row>
    <row r="67" spans="13:13" x14ac:dyDescent="0.2">
      <c r="M67" s="3"/>
    </row>
    <row r="68" spans="13:13" x14ac:dyDescent="0.2">
      <c r="M68" s="3"/>
    </row>
    <row r="69" spans="13:13" x14ac:dyDescent="0.2">
      <c r="M69" s="3"/>
    </row>
    <row r="70" spans="13:13" x14ac:dyDescent="0.2">
      <c r="M70" s="3"/>
    </row>
    <row r="71" spans="13:13" x14ac:dyDescent="0.2">
      <c r="M71" s="3"/>
    </row>
    <row r="72" spans="13:13" x14ac:dyDescent="0.2">
      <c r="M72" s="3"/>
    </row>
    <row r="73" spans="13:13" x14ac:dyDescent="0.2">
      <c r="M73" s="3"/>
    </row>
    <row r="74" spans="13:13" x14ac:dyDescent="0.2">
      <c r="M74" s="3"/>
    </row>
    <row r="75" spans="13:13" x14ac:dyDescent="0.2">
      <c r="M75" s="3"/>
    </row>
    <row r="76" spans="13:13" x14ac:dyDescent="0.2">
      <c r="M76" s="3"/>
    </row>
    <row r="77" spans="13:13" x14ac:dyDescent="0.2">
      <c r="M77" s="3"/>
    </row>
    <row r="78" spans="13:13" x14ac:dyDescent="0.2">
      <c r="M78" s="3"/>
    </row>
    <row r="79" spans="13:13" x14ac:dyDescent="0.2">
      <c r="M79" s="3"/>
    </row>
    <row r="80" spans="13:13" x14ac:dyDescent="0.2">
      <c r="M80" s="3"/>
    </row>
    <row r="81" spans="13:13" x14ac:dyDescent="0.2">
      <c r="M81" s="3"/>
    </row>
    <row r="82" spans="13:13" x14ac:dyDescent="0.2">
      <c r="M82" s="3"/>
    </row>
    <row r="83" spans="13:13" x14ac:dyDescent="0.2">
      <c r="M83" s="3"/>
    </row>
    <row r="84" spans="13:13" x14ac:dyDescent="0.2">
      <c r="M84" s="3"/>
    </row>
    <row r="85" spans="13:13" x14ac:dyDescent="0.2">
      <c r="M85" s="3"/>
    </row>
    <row r="86" spans="13:13" x14ac:dyDescent="0.2">
      <c r="M86" s="3"/>
    </row>
    <row r="87" spans="13:13" x14ac:dyDescent="0.2">
      <c r="M87" s="3"/>
    </row>
    <row r="88" spans="13:13" x14ac:dyDescent="0.2">
      <c r="M88" s="3"/>
    </row>
    <row r="89" spans="13:13" x14ac:dyDescent="0.2">
      <c r="M89" s="3"/>
    </row>
    <row r="90" spans="13:13" x14ac:dyDescent="0.2">
      <c r="M90" s="3"/>
    </row>
    <row r="91" spans="13:13" x14ac:dyDescent="0.2">
      <c r="M91" s="3"/>
    </row>
    <row r="92" spans="13:13" x14ac:dyDescent="0.2">
      <c r="M92" s="3"/>
    </row>
    <row r="93" spans="13:13" x14ac:dyDescent="0.2">
      <c r="M93" s="3"/>
    </row>
    <row r="94" spans="13:13" x14ac:dyDescent="0.2">
      <c r="M94" s="3"/>
    </row>
  </sheetData>
  <mergeCells count="5">
    <mergeCell ref="B4:B13"/>
    <mergeCell ref="B14:B23"/>
    <mergeCell ref="B24:B33"/>
    <mergeCell ref="B34:B43"/>
    <mergeCell ref="B44:B53"/>
  </mergeCells>
  <phoneticPr fontId="2" type="noConversion"/>
  <conditionalFormatting sqref="Z4:AI4 Z5:AJ53">
    <cfRule type="dataBar" priority="1">
      <dataBar>
        <cfvo type="min"/>
        <cfvo type="max"/>
        <color rgb="FF63C384"/>
      </dataBar>
      <extLst>
        <ext xmlns:x14="http://schemas.microsoft.com/office/spreadsheetml/2009/9/main" uri="{B025F937-C7B1-47D3-B67F-A62EFF666E3E}">
          <x14:id>{DD3BBEA0-3447-4073-B318-D0EC77306F73}</x14:id>
        </ext>
      </extLst>
    </cfRule>
  </conditionalFormatting>
  <pageMargins left="0.42" right="0.32" top="0.5" bottom="0.5" header="0.5" footer="0.5"/>
  <pageSetup paperSize="9" orientation="landscape" r:id="rId1"/>
  <headerFooter alignWithMargins="0"/>
  <extLst>
    <ext xmlns:x14="http://schemas.microsoft.com/office/spreadsheetml/2009/9/main" uri="{78C0D931-6437-407d-A8EE-F0AAD7539E65}">
      <x14:conditionalFormattings>
        <x14:conditionalFormatting xmlns:xm="http://schemas.microsoft.com/office/excel/2006/main">
          <x14:cfRule type="dataBar" id="{DD3BBEA0-3447-4073-B318-D0EC77306F73}">
            <x14:dataBar minLength="0" maxLength="100" border="1" negativeBarBorderColorSameAsPositive="0">
              <x14:cfvo type="autoMin"/>
              <x14:cfvo type="autoMax"/>
              <x14:borderColor rgb="FF63C384"/>
              <x14:negativeFillColor rgb="FFFF0000"/>
              <x14:negativeBorderColor rgb="FFFF0000"/>
              <x14:axisColor rgb="FF000000"/>
            </x14:dataBar>
          </x14:cfRule>
          <xm:sqref>Z4:AI4 Z5:AJ53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P119"/>
  <sheetViews>
    <sheetView zoomScale="80" workbookViewId="0">
      <pane ySplit="3" topLeftCell="A4" activePane="bottomLeft" state="frozen"/>
      <selection pane="bottomLeft" activeCell="A4" sqref="A4"/>
    </sheetView>
  </sheetViews>
  <sheetFormatPr defaultColWidth="9.140625" defaultRowHeight="12.75" x14ac:dyDescent="0.2"/>
  <cols>
    <col min="1" max="1" width="3" style="3" customWidth="1"/>
    <col min="2" max="2" width="14.140625" style="5" customWidth="1"/>
    <col min="3" max="3" width="14" style="5" customWidth="1"/>
    <col min="4" max="4" width="10.7109375" style="5" customWidth="1"/>
    <col min="5" max="10" width="14.7109375" style="26" customWidth="1"/>
    <col min="11" max="13" width="14.7109375" style="3" customWidth="1"/>
    <col min="14" max="14" width="14.7109375" style="26" customWidth="1"/>
    <col min="15" max="16384" width="9.140625" style="3"/>
  </cols>
  <sheetData>
    <row r="1" spans="2:16" s="1" customFormat="1" ht="15.75" x14ac:dyDescent="0.25">
      <c r="B1" s="15" t="s">
        <v>139</v>
      </c>
      <c r="C1" s="14"/>
      <c r="D1" s="14"/>
      <c r="E1" s="23"/>
      <c r="F1" s="23"/>
      <c r="G1" s="23"/>
      <c r="H1" s="23"/>
      <c r="I1" s="23"/>
      <c r="J1" s="23"/>
      <c r="L1" s="70"/>
      <c r="M1" s="74"/>
      <c r="N1" s="76"/>
    </row>
    <row r="2" spans="2:16" s="1" customFormat="1" x14ac:dyDescent="0.2">
      <c r="B2" s="14"/>
      <c r="C2" s="14"/>
      <c r="D2" s="14"/>
      <c r="E2" s="23"/>
      <c r="F2" s="23"/>
      <c r="G2" s="23"/>
      <c r="H2" s="23"/>
      <c r="I2" s="23"/>
      <c r="J2" s="23"/>
      <c r="N2" s="23"/>
    </row>
    <row r="3" spans="2:16" s="4" customFormat="1" ht="42.75" customHeight="1" x14ac:dyDescent="0.2">
      <c r="B3" s="30" t="s">
        <v>6</v>
      </c>
      <c r="C3" s="30" t="s">
        <v>5</v>
      </c>
      <c r="D3" s="30" t="s">
        <v>4</v>
      </c>
      <c r="E3" s="32" t="s">
        <v>34</v>
      </c>
      <c r="F3" s="63" t="s">
        <v>35</v>
      </c>
      <c r="G3" s="64" t="s">
        <v>36</v>
      </c>
      <c r="H3" s="32" t="s">
        <v>26</v>
      </c>
      <c r="I3" s="32" t="s">
        <v>125</v>
      </c>
      <c r="J3" s="32" t="s">
        <v>128</v>
      </c>
      <c r="K3" s="32" t="s">
        <v>129</v>
      </c>
      <c r="L3" s="32" t="s">
        <v>130</v>
      </c>
      <c r="M3" s="63" t="s">
        <v>131</v>
      </c>
      <c r="N3" s="61" t="s">
        <v>0</v>
      </c>
    </row>
    <row r="4" spans="2:16" s="4" customFormat="1" x14ac:dyDescent="0.2">
      <c r="B4" s="16" t="s">
        <v>7</v>
      </c>
      <c r="C4" s="17" t="s">
        <v>10</v>
      </c>
      <c r="D4" s="18" t="s">
        <v>27</v>
      </c>
      <c r="E4" s="7">
        <v>0.8</v>
      </c>
      <c r="F4" s="36">
        <v>0.76</v>
      </c>
      <c r="G4" s="7">
        <v>0.76</v>
      </c>
      <c r="H4" s="36">
        <v>0.83</v>
      </c>
      <c r="I4" s="7">
        <v>0.76</v>
      </c>
      <c r="J4" s="36">
        <v>0.93</v>
      </c>
      <c r="K4" s="7"/>
      <c r="L4" s="36">
        <v>0.88</v>
      </c>
      <c r="M4" s="36"/>
      <c r="N4" s="7">
        <v>0.78</v>
      </c>
    </row>
    <row r="5" spans="2:16" x14ac:dyDescent="0.2">
      <c r="B5" s="28"/>
      <c r="C5" s="28"/>
      <c r="D5" s="20" t="s">
        <v>28</v>
      </c>
      <c r="E5" s="7">
        <v>0.79</v>
      </c>
      <c r="F5" s="36">
        <v>0.69</v>
      </c>
      <c r="G5" s="7">
        <v>0.76</v>
      </c>
      <c r="H5" s="36">
        <v>0.78</v>
      </c>
      <c r="I5" s="7">
        <v>0.81</v>
      </c>
      <c r="J5" s="36">
        <v>0.88</v>
      </c>
      <c r="K5" s="7"/>
      <c r="L5" s="36">
        <v>1</v>
      </c>
      <c r="M5" s="36"/>
      <c r="N5" s="7">
        <v>0.74</v>
      </c>
    </row>
    <row r="6" spans="2:16" x14ac:dyDescent="0.2">
      <c r="B6" s="28"/>
      <c r="C6" s="21"/>
      <c r="D6" s="22" t="s">
        <v>0</v>
      </c>
      <c r="E6" s="8">
        <v>0.79</v>
      </c>
      <c r="F6" s="37">
        <v>0.72</v>
      </c>
      <c r="G6" s="8">
        <v>0.76</v>
      </c>
      <c r="H6" s="37">
        <v>0.82</v>
      </c>
      <c r="I6" s="8">
        <v>0.78</v>
      </c>
      <c r="J6" s="37">
        <v>0.91</v>
      </c>
      <c r="K6" s="8"/>
      <c r="L6" s="37">
        <v>0.95</v>
      </c>
      <c r="M6" s="37"/>
      <c r="N6" s="8">
        <v>0.76</v>
      </c>
      <c r="P6" s="69"/>
    </row>
    <row r="7" spans="2:16" x14ac:dyDescent="0.2">
      <c r="B7" s="28"/>
      <c r="C7" s="17" t="s">
        <v>23</v>
      </c>
      <c r="D7" s="20" t="s">
        <v>27</v>
      </c>
      <c r="E7" s="7">
        <v>0.73</v>
      </c>
      <c r="F7" s="36">
        <v>0.73</v>
      </c>
      <c r="G7" s="7">
        <v>0.81</v>
      </c>
      <c r="H7" s="36">
        <v>0.85</v>
      </c>
      <c r="I7" s="7">
        <v>0.85</v>
      </c>
      <c r="J7" s="36">
        <v>0.91</v>
      </c>
      <c r="K7" s="7"/>
      <c r="L7" s="36">
        <v>0.94</v>
      </c>
      <c r="M7" s="36"/>
      <c r="N7" s="7">
        <v>0.89</v>
      </c>
    </row>
    <row r="8" spans="2:16" x14ac:dyDescent="0.2">
      <c r="B8" s="28"/>
      <c r="C8" s="28"/>
      <c r="D8" s="20" t="s">
        <v>28</v>
      </c>
      <c r="E8" s="7">
        <v>0.75</v>
      </c>
      <c r="F8" s="36">
        <v>0.73</v>
      </c>
      <c r="G8" s="7">
        <v>0.81</v>
      </c>
      <c r="H8" s="36">
        <v>0.8</v>
      </c>
      <c r="I8" s="7">
        <v>0.79</v>
      </c>
      <c r="J8" s="36">
        <v>0.87</v>
      </c>
      <c r="K8" s="7"/>
      <c r="L8" s="36">
        <v>0.93</v>
      </c>
      <c r="M8" s="36">
        <v>1</v>
      </c>
      <c r="N8" s="7">
        <v>0.86</v>
      </c>
    </row>
    <row r="9" spans="2:16" x14ac:dyDescent="0.2">
      <c r="B9" s="28"/>
      <c r="C9" s="21"/>
      <c r="D9" s="22" t="s">
        <v>0</v>
      </c>
      <c r="E9" s="8">
        <v>0.74</v>
      </c>
      <c r="F9" s="37">
        <v>0.73</v>
      </c>
      <c r="G9" s="8">
        <v>0.81</v>
      </c>
      <c r="H9" s="37">
        <v>0.83</v>
      </c>
      <c r="I9" s="8">
        <v>0.82</v>
      </c>
      <c r="J9" s="37">
        <v>0.9</v>
      </c>
      <c r="K9" s="8"/>
      <c r="L9" s="37">
        <v>0.93</v>
      </c>
      <c r="M9" s="37">
        <v>1</v>
      </c>
      <c r="N9" s="8">
        <v>0.88</v>
      </c>
    </row>
    <row r="10" spans="2:16" x14ac:dyDescent="0.2">
      <c r="B10" s="28"/>
      <c r="C10" s="17" t="s">
        <v>24</v>
      </c>
      <c r="D10" s="20" t="s">
        <v>27</v>
      </c>
      <c r="E10" s="7">
        <v>0.78</v>
      </c>
      <c r="F10" s="36">
        <v>0.73</v>
      </c>
      <c r="G10" s="7">
        <v>0.78</v>
      </c>
      <c r="H10" s="36">
        <v>0.82</v>
      </c>
      <c r="I10" s="7">
        <v>0.86</v>
      </c>
      <c r="J10" s="36">
        <v>0.93</v>
      </c>
      <c r="K10" s="7">
        <v>0.95</v>
      </c>
      <c r="L10" s="36">
        <v>0.96</v>
      </c>
      <c r="M10" s="36">
        <v>0.97</v>
      </c>
      <c r="N10" s="7">
        <v>0.92</v>
      </c>
    </row>
    <row r="11" spans="2:16" x14ac:dyDescent="0.2">
      <c r="B11" s="28"/>
      <c r="C11" s="28"/>
      <c r="D11" s="20" t="s">
        <v>28</v>
      </c>
      <c r="E11" s="7">
        <v>0.83</v>
      </c>
      <c r="F11" s="36">
        <v>0.75</v>
      </c>
      <c r="G11" s="7">
        <v>0.8</v>
      </c>
      <c r="H11" s="36">
        <v>0.83</v>
      </c>
      <c r="I11" s="7">
        <v>0.83</v>
      </c>
      <c r="J11" s="36">
        <v>0.89</v>
      </c>
      <c r="K11" s="7">
        <v>0.91</v>
      </c>
      <c r="L11" s="36">
        <v>0.94</v>
      </c>
      <c r="M11" s="36">
        <v>0.97</v>
      </c>
      <c r="N11" s="7">
        <v>0.89</v>
      </c>
    </row>
    <row r="12" spans="2:16" x14ac:dyDescent="0.2">
      <c r="B12" s="28"/>
      <c r="C12" s="21"/>
      <c r="D12" s="22" t="s">
        <v>0</v>
      </c>
      <c r="E12" s="8">
        <v>0.79</v>
      </c>
      <c r="F12" s="37">
        <v>0.73</v>
      </c>
      <c r="G12" s="8">
        <v>0.79</v>
      </c>
      <c r="H12" s="37">
        <v>0.82</v>
      </c>
      <c r="I12" s="8">
        <v>0.85</v>
      </c>
      <c r="J12" s="37">
        <v>0.91</v>
      </c>
      <c r="K12" s="8">
        <v>0.94</v>
      </c>
      <c r="L12" s="37">
        <v>0.95</v>
      </c>
      <c r="M12" s="37">
        <v>0.97</v>
      </c>
      <c r="N12" s="8">
        <v>0.9</v>
      </c>
    </row>
    <row r="13" spans="2:16" x14ac:dyDescent="0.2">
      <c r="B13" s="28"/>
      <c r="C13" s="17" t="s">
        <v>11</v>
      </c>
      <c r="D13" s="20" t="s">
        <v>27</v>
      </c>
      <c r="E13" s="7">
        <v>0.76</v>
      </c>
      <c r="F13" s="36">
        <v>0.75</v>
      </c>
      <c r="G13" s="7">
        <v>0.76</v>
      </c>
      <c r="H13" s="36">
        <v>0.78</v>
      </c>
      <c r="I13" s="7">
        <v>0.82</v>
      </c>
      <c r="J13" s="36">
        <v>0.9</v>
      </c>
      <c r="K13" s="7">
        <v>0.92</v>
      </c>
      <c r="L13" s="36">
        <v>0.93</v>
      </c>
      <c r="M13" s="36">
        <v>0.93</v>
      </c>
      <c r="N13" s="7">
        <v>0.86</v>
      </c>
    </row>
    <row r="14" spans="2:16" x14ac:dyDescent="0.2">
      <c r="B14" s="28"/>
      <c r="C14" s="28"/>
      <c r="D14" s="20" t="s">
        <v>28</v>
      </c>
      <c r="E14" s="7">
        <v>0.74</v>
      </c>
      <c r="F14" s="36">
        <v>0.74</v>
      </c>
      <c r="G14" s="7">
        <v>0.78</v>
      </c>
      <c r="H14" s="36">
        <v>0.78</v>
      </c>
      <c r="I14" s="7">
        <v>0.83</v>
      </c>
      <c r="J14" s="36">
        <v>0.86</v>
      </c>
      <c r="K14" s="7">
        <v>0.91</v>
      </c>
      <c r="L14" s="36">
        <v>0.9</v>
      </c>
      <c r="M14" s="36">
        <v>0.92</v>
      </c>
      <c r="N14" s="7">
        <v>0.84</v>
      </c>
    </row>
    <row r="15" spans="2:16" x14ac:dyDescent="0.2">
      <c r="B15" s="28"/>
      <c r="C15" s="21"/>
      <c r="D15" s="22" t="s">
        <v>0</v>
      </c>
      <c r="E15" s="8">
        <v>0.76</v>
      </c>
      <c r="F15" s="37">
        <v>0.75</v>
      </c>
      <c r="G15" s="8">
        <v>0.77</v>
      </c>
      <c r="H15" s="37">
        <v>0.78</v>
      </c>
      <c r="I15" s="8">
        <v>0.83</v>
      </c>
      <c r="J15" s="37">
        <v>0.88</v>
      </c>
      <c r="K15" s="8">
        <v>0.91</v>
      </c>
      <c r="L15" s="37">
        <v>0.92</v>
      </c>
      <c r="M15" s="37">
        <v>0.93</v>
      </c>
      <c r="N15" s="8">
        <v>0.85</v>
      </c>
    </row>
    <row r="16" spans="2:16" x14ac:dyDescent="0.2">
      <c r="B16" s="28"/>
      <c r="C16" s="17" t="s">
        <v>12</v>
      </c>
      <c r="D16" s="20" t="s">
        <v>27</v>
      </c>
      <c r="E16" s="7">
        <v>0.8</v>
      </c>
      <c r="F16" s="36">
        <v>0.77</v>
      </c>
      <c r="G16" s="7">
        <v>0.81</v>
      </c>
      <c r="H16" s="36">
        <v>0.81</v>
      </c>
      <c r="I16" s="7">
        <v>0.85</v>
      </c>
      <c r="J16" s="36">
        <v>0.91</v>
      </c>
      <c r="K16" s="7">
        <v>0.92</v>
      </c>
      <c r="L16" s="36">
        <v>0.93</v>
      </c>
      <c r="M16" s="36">
        <v>0.92</v>
      </c>
      <c r="N16" s="7">
        <v>0.86</v>
      </c>
    </row>
    <row r="17" spans="2:14" s="4" customFormat="1" ht="15.75" customHeight="1" x14ac:dyDescent="0.2">
      <c r="B17" s="28"/>
      <c r="C17" s="28"/>
      <c r="D17" s="20" t="s">
        <v>28</v>
      </c>
      <c r="E17" s="7">
        <v>0.75</v>
      </c>
      <c r="F17" s="36">
        <v>0.75</v>
      </c>
      <c r="G17" s="7">
        <v>0.8</v>
      </c>
      <c r="H17" s="36">
        <v>0.77</v>
      </c>
      <c r="I17" s="7">
        <v>0.83</v>
      </c>
      <c r="J17" s="36">
        <v>0.85</v>
      </c>
      <c r="K17" s="7">
        <v>0.87</v>
      </c>
      <c r="L17" s="36">
        <v>0.91</v>
      </c>
      <c r="M17" s="36">
        <v>0.92</v>
      </c>
      <c r="N17" s="7">
        <v>0.82</v>
      </c>
    </row>
    <row r="18" spans="2:14" x14ac:dyDescent="0.2">
      <c r="B18" s="28"/>
      <c r="C18" s="21"/>
      <c r="D18" s="22" t="s">
        <v>0</v>
      </c>
      <c r="E18" s="8">
        <v>0.79</v>
      </c>
      <c r="F18" s="37">
        <v>0.76</v>
      </c>
      <c r="G18" s="8">
        <v>0.81</v>
      </c>
      <c r="H18" s="37">
        <v>0.8</v>
      </c>
      <c r="I18" s="8">
        <v>0.84</v>
      </c>
      <c r="J18" s="37">
        <v>0.9</v>
      </c>
      <c r="K18" s="8">
        <v>0.91</v>
      </c>
      <c r="L18" s="37">
        <v>0.93</v>
      </c>
      <c r="M18" s="37">
        <v>0.92</v>
      </c>
      <c r="N18" s="8">
        <v>0.85</v>
      </c>
    </row>
    <row r="19" spans="2:14" x14ac:dyDescent="0.2">
      <c r="B19" s="28"/>
      <c r="C19" s="19" t="s">
        <v>0</v>
      </c>
      <c r="D19" s="20" t="s">
        <v>27</v>
      </c>
      <c r="E19" s="7">
        <v>0.78</v>
      </c>
      <c r="F19" s="36">
        <v>0.75</v>
      </c>
      <c r="G19" s="7">
        <v>0.79</v>
      </c>
      <c r="H19" s="36">
        <v>0.81</v>
      </c>
      <c r="I19" s="7">
        <v>0.84</v>
      </c>
      <c r="J19" s="36">
        <v>0.92</v>
      </c>
      <c r="K19" s="7">
        <v>0.93</v>
      </c>
      <c r="L19" s="36">
        <v>0.94</v>
      </c>
      <c r="M19" s="36">
        <v>0.94</v>
      </c>
      <c r="N19" s="7">
        <v>0.89</v>
      </c>
    </row>
    <row r="20" spans="2:14" x14ac:dyDescent="0.2">
      <c r="B20" s="28"/>
      <c r="C20" s="28"/>
      <c r="D20" s="20" t="s">
        <v>28</v>
      </c>
      <c r="E20" s="7">
        <v>0.77</v>
      </c>
      <c r="F20" s="36">
        <v>0.72</v>
      </c>
      <c r="G20" s="7">
        <v>0.79</v>
      </c>
      <c r="H20" s="36">
        <v>0.8</v>
      </c>
      <c r="I20" s="7">
        <v>0.82</v>
      </c>
      <c r="J20" s="36">
        <v>0.88</v>
      </c>
      <c r="K20" s="7">
        <v>0.9</v>
      </c>
      <c r="L20" s="36">
        <v>0.93</v>
      </c>
      <c r="M20" s="36">
        <v>0.93</v>
      </c>
      <c r="N20" s="7">
        <v>0.86</v>
      </c>
    </row>
    <row r="21" spans="2:14" x14ac:dyDescent="0.2">
      <c r="B21" s="21"/>
      <c r="C21" s="21"/>
      <c r="D21" s="22" t="s">
        <v>0</v>
      </c>
      <c r="E21" s="8">
        <v>0.78</v>
      </c>
      <c r="F21" s="37">
        <v>0.74</v>
      </c>
      <c r="G21" s="8">
        <v>0.79</v>
      </c>
      <c r="H21" s="37">
        <v>0.81</v>
      </c>
      <c r="I21" s="8">
        <v>0.83</v>
      </c>
      <c r="J21" s="37">
        <v>0.9</v>
      </c>
      <c r="K21" s="8">
        <v>0.92</v>
      </c>
      <c r="L21" s="37">
        <v>0.94</v>
      </c>
      <c r="M21" s="37">
        <v>0.94</v>
      </c>
      <c r="N21" s="8">
        <v>0.88</v>
      </c>
    </row>
    <row r="22" spans="2:14" x14ac:dyDescent="0.2">
      <c r="B22" s="16" t="s">
        <v>8</v>
      </c>
      <c r="C22" s="17" t="s">
        <v>10</v>
      </c>
      <c r="D22" s="20" t="s">
        <v>27</v>
      </c>
      <c r="E22" s="7">
        <v>0.76</v>
      </c>
      <c r="F22" s="36">
        <v>0.72</v>
      </c>
      <c r="G22" s="7">
        <v>0.7</v>
      </c>
      <c r="H22" s="36">
        <v>0.75</v>
      </c>
      <c r="I22" s="7">
        <v>0.71</v>
      </c>
      <c r="J22" s="36">
        <v>0.88</v>
      </c>
      <c r="K22" s="7"/>
      <c r="L22" s="36"/>
      <c r="M22" s="36"/>
      <c r="N22" s="7">
        <v>0.73</v>
      </c>
    </row>
    <row r="23" spans="2:14" x14ac:dyDescent="0.2">
      <c r="B23" s="28"/>
      <c r="C23" s="28"/>
      <c r="D23" s="20" t="s">
        <v>28</v>
      </c>
      <c r="E23" s="7">
        <v>0.75</v>
      </c>
      <c r="F23" s="36">
        <v>0.68</v>
      </c>
      <c r="G23" s="7">
        <v>0.71</v>
      </c>
      <c r="H23" s="36">
        <v>0.73</v>
      </c>
      <c r="I23" s="7">
        <v>0.79</v>
      </c>
      <c r="J23" s="36">
        <v>0.76</v>
      </c>
      <c r="K23" s="7"/>
      <c r="L23" s="36">
        <v>1</v>
      </c>
      <c r="M23" s="36"/>
      <c r="N23" s="7">
        <v>0.71</v>
      </c>
    </row>
    <row r="24" spans="2:14" x14ac:dyDescent="0.2">
      <c r="B24" s="28"/>
      <c r="C24" s="21"/>
      <c r="D24" s="22" t="s">
        <v>0</v>
      </c>
      <c r="E24" s="8">
        <v>0.76</v>
      </c>
      <c r="F24" s="37">
        <v>0.7</v>
      </c>
      <c r="G24" s="8">
        <v>0.71</v>
      </c>
      <c r="H24" s="37">
        <v>0.74</v>
      </c>
      <c r="I24" s="8">
        <v>0.74</v>
      </c>
      <c r="J24" s="37">
        <v>0.85</v>
      </c>
      <c r="K24" s="8"/>
      <c r="L24" s="37">
        <v>1</v>
      </c>
      <c r="M24" s="37"/>
      <c r="N24" s="8">
        <v>0.72</v>
      </c>
    </row>
    <row r="25" spans="2:14" x14ac:dyDescent="0.2">
      <c r="B25" s="28"/>
      <c r="C25" s="17" t="s">
        <v>23</v>
      </c>
      <c r="D25" s="20" t="s">
        <v>27</v>
      </c>
      <c r="E25" s="7">
        <v>0.73</v>
      </c>
      <c r="F25" s="36">
        <v>0.66</v>
      </c>
      <c r="G25" s="7">
        <v>0.75</v>
      </c>
      <c r="H25" s="36">
        <v>0.78</v>
      </c>
      <c r="I25" s="7">
        <v>0.78</v>
      </c>
      <c r="J25" s="36">
        <v>0.85</v>
      </c>
      <c r="K25" s="7">
        <v>1</v>
      </c>
      <c r="L25" s="36">
        <v>0.92</v>
      </c>
      <c r="M25" s="36"/>
      <c r="N25" s="7">
        <v>0.81</v>
      </c>
    </row>
    <row r="26" spans="2:14" x14ac:dyDescent="0.2">
      <c r="B26" s="28"/>
      <c r="C26" s="28"/>
      <c r="D26" s="20" t="s">
        <v>28</v>
      </c>
      <c r="E26" s="7">
        <v>0.69</v>
      </c>
      <c r="F26" s="36">
        <v>0.67</v>
      </c>
      <c r="G26" s="7">
        <v>0.74</v>
      </c>
      <c r="H26" s="36">
        <v>0.77</v>
      </c>
      <c r="I26" s="7">
        <v>0.7</v>
      </c>
      <c r="J26" s="36">
        <v>0.81</v>
      </c>
      <c r="K26" s="7"/>
      <c r="L26" s="36">
        <v>0.89</v>
      </c>
      <c r="M26" s="36"/>
      <c r="N26" s="7">
        <v>0.77</v>
      </c>
    </row>
    <row r="27" spans="2:14" x14ac:dyDescent="0.2">
      <c r="B27" s="28"/>
      <c r="C27" s="21"/>
      <c r="D27" s="22" t="s">
        <v>0</v>
      </c>
      <c r="E27" s="8">
        <v>0.71</v>
      </c>
      <c r="F27" s="37">
        <v>0.66</v>
      </c>
      <c r="G27" s="8">
        <v>0.74</v>
      </c>
      <c r="H27" s="37">
        <v>0.78</v>
      </c>
      <c r="I27" s="8">
        <v>0.75</v>
      </c>
      <c r="J27" s="37">
        <v>0.83</v>
      </c>
      <c r="K27" s="8">
        <v>1</v>
      </c>
      <c r="L27" s="37">
        <v>0.9</v>
      </c>
      <c r="M27" s="37"/>
      <c r="N27" s="8">
        <v>0.79</v>
      </c>
    </row>
    <row r="28" spans="2:14" x14ac:dyDescent="0.2">
      <c r="B28" s="28"/>
      <c r="C28" s="17" t="s">
        <v>24</v>
      </c>
      <c r="D28" s="20" t="s">
        <v>27</v>
      </c>
      <c r="E28" s="7">
        <v>0.68</v>
      </c>
      <c r="F28" s="36">
        <v>0.67</v>
      </c>
      <c r="G28" s="7">
        <v>0.71</v>
      </c>
      <c r="H28" s="36">
        <v>0.71</v>
      </c>
      <c r="I28" s="7">
        <v>0.77</v>
      </c>
      <c r="J28" s="36">
        <v>0.87</v>
      </c>
      <c r="K28" s="7">
        <v>0.94</v>
      </c>
      <c r="L28" s="36">
        <v>0.93</v>
      </c>
      <c r="M28" s="36">
        <v>0.95</v>
      </c>
      <c r="N28" s="7">
        <v>0.82</v>
      </c>
    </row>
    <row r="29" spans="2:14" x14ac:dyDescent="0.2">
      <c r="B29" s="28"/>
      <c r="C29" s="28"/>
      <c r="D29" s="20" t="s">
        <v>28</v>
      </c>
      <c r="E29" s="7">
        <v>0.72</v>
      </c>
      <c r="F29" s="36">
        <v>0.68</v>
      </c>
      <c r="G29" s="7">
        <v>0.73</v>
      </c>
      <c r="H29" s="36">
        <v>0.74</v>
      </c>
      <c r="I29" s="7">
        <v>0.78</v>
      </c>
      <c r="J29" s="36">
        <v>0.83</v>
      </c>
      <c r="K29" s="7">
        <v>0.89</v>
      </c>
      <c r="L29" s="36">
        <v>0.91</v>
      </c>
      <c r="M29" s="36">
        <v>0.9</v>
      </c>
      <c r="N29" s="7">
        <v>0.81</v>
      </c>
    </row>
    <row r="30" spans="2:14" x14ac:dyDescent="0.2">
      <c r="B30" s="28"/>
      <c r="C30" s="21"/>
      <c r="D30" s="22" t="s">
        <v>0</v>
      </c>
      <c r="E30" s="8">
        <v>0.69</v>
      </c>
      <c r="F30" s="37">
        <v>0.68</v>
      </c>
      <c r="G30" s="8">
        <v>0.72</v>
      </c>
      <c r="H30" s="37">
        <v>0.72</v>
      </c>
      <c r="I30" s="8">
        <v>0.77</v>
      </c>
      <c r="J30" s="37">
        <v>0.86</v>
      </c>
      <c r="K30" s="8">
        <v>0.93</v>
      </c>
      <c r="L30" s="37">
        <v>0.92</v>
      </c>
      <c r="M30" s="37">
        <v>0.94</v>
      </c>
      <c r="N30" s="8">
        <v>0.82</v>
      </c>
    </row>
    <row r="31" spans="2:14" x14ac:dyDescent="0.2">
      <c r="B31" s="28"/>
      <c r="C31" s="17" t="s">
        <v>11</v>
      </c>
      <c r="D31" s="20" t="s">
        <v>27</v>
      </c>
      <c r="E31" s="7">
        <v>0.73</v>
      </c>
      <c r="F31" s="36">
        <v>0.68</v>
      </c>
      <c r="G31" s="7">
        <v>0.68</v>
      </c>
      <c r="H31" s="36">
        <v>0.67</v>
      </c>
      <c r="I31" s="7">
        <v>0.74</v>
      </c>
      <c r="J31" s="36">
        <v>0.85</v>
      </c>
      <c r="K31" s="7">
        <v>0.88</v>
      </c>
      <c r="L31" s="36">
        <v>0.88</v>
      </c>
      <c r="M31" s="36">
        <v>0.88</v>
      </c>
      <c r="N31" s="7">
        <v>0.75</v>
      </c>
    </row>
    <row r="32" spans="2:14" x14ac:dyDescent="0.2">
      <c r="B32" s="28"/>
      <c r="C32" s="28"/>
      <c r="D32" s="20" t="s">
        <v>28</v>
      </c>
      <c r="E32" s="7">
        <v>0.69</v>
      </c>
      <c r="F32" s="36">
        <v>0.67</v>
      </c>
      <c r="G32" s="7">
        <v>0.7</v>
      </c>
      <c r="H32" s="36">
        <v>0.68</v>
      </c>
      <c r="I32" s="7">
        <v>0.74</v>
      </c>
      <c r="J32" s="36">
        <v>0.8</v>
      </c>
      <c r="K32" s="7">
        <v>0.79</v>
      </c>
      <c r="L32" s="36">
        <v>0.89</v>
      </c>
      <c r="M32" s="36">
        <v>0.88</v>
      </c>
      <c r="N32" s="7">
        <v>0.73</v>
      </c>
    </row>
    <row r="33" spans="2:14" x14ac:dyDescent="0.2">
      <c r="B33" s="28"/>
      <c r="C33" s="21"/>
      <c r="D33" s="22" t="s">
        <v>0</v>
      </c>
      <c r="E33" s="8">
        <v>0.72</v>
      </c>
      <c r="F33" s="37">
        <v>0.68</v>
      </c>
      <c r="G33" s="8">
        <v>0.68</v>
      </c>
      <c r="H33" s="37">
        <v>0.67</v>
      </c>
      <c r="I33" s="8">
        <v>0.74</v>
      </c>
      <c r="J33" s="37">
        <v>0.84</v>
      </c>
      <c r="K33" s="8">
        <v>0.85</v>
      </c>
      <c r="L33" s="37">
        <v>0.88</v>
      </c>
      <c r="M33" s="37">
        <v>0.88</v>
      </c>
      <c r="N33" s="8">
        <v>0.75</v>
      </c>
    </row>
    <row r="34" spans="2:14" x14ac:dyDescent="0.2">
      <c r="B34" s="28"/>
      <c r="C34" s="17" t="s">
        <v>12</v>
      </c>
      <c r="D34" s="20" t="s">
        <v>27</v>
      </c>
      <c r="E34" s="7">
        <v>0.76</v>
      </c>
      <c r="F34" s="36">
        <v>0.7</v>
      </c>
      <c r="G34" s="7">
        <v>0.72</v>
      </c>
      <c r="H34" s="36">
        <v>0.69</v>
      </c>
      <c r="I34" s="7">
        <v>0.76</v>
      </c>
      <c r="J34" s="36">
        <v>0.84</v>
      </c>
      <c r="K34" s="7">
        <v>0.81</v>
      </c>
      <c r="L34" s="36">
        <v>0.86</v>
      </c>
      <c r="M34" s="36">
        <v>0.8</v>
      </c>
      <c r="N34" s="7">
        <v>0.75</v>
      </c>
    </row>
    <row r="35" spans="2:14" x14ac:dyDescent="0.2">
      <c r="B35" s="28"/>
      <c r="C35" s="28"/>
      <c r="D35" s="20" t="s">
        <v>28</v>
      </c>
      <c r="E35" s="7">
        <v>0.68</v>
      </c>
      <c r="F35" s="36">
        <v>0.68</v>
      </c>
      <c r="G35" s="7">
        <v>0.7</v>
      </c>
      <c r="H35" s="36">
        <v>0.68</v>
      </c>
      <c r="I35" s="7">
        <v>0.74</v>
      </c>
      <c r="J35" s="36">
        <v>0.82</v>
      </c>
      <c r="K35" s="7">
        <v>0.8</v>
      </c>
      <c r="L35" s="36">
        <v>0.85</v>
      </c>
      <c r="M35" s="36">
        <v>0.86</v>
      </c>
      <c r="N35" s="7">
        <v>0.72</v>
      </c>
    </row>
    <row r="36" spans="2:14" x14ac:dyDescent="0.2">
      <c r="B36" s="28"/>
      <c r="C36" s="21"/>
      <c r="D36" s="22" t="s">
        <v>0</v>
      </c>
      <c r="E36" s="8">
        <v>0.74</v>
      </c>
      <c r="F36" s="37">
        <v>0.7</v>
      </c>
      <c r="G36" s="8">
        <v>0.72</v>
      </c>
      <c r="H36" s="37">
        <v>0.69</v>
      </c>
      <c r="I36" s="8">
        <v>0.75</v>
      </c>
      <c r="J36" s="37">
        <v>0.84</v>
      </c>
      <c r="K36" s="8">
        <v>0.8</v>
      </c>
      <c r="L36" s="37">
        <v>0.86</v>
      </c>
      <c r="M36" s="37">
        <v>0.81</v>
      </c>
      <c r="N36" s="8">
        <v>0.74</v>
      </c>
    </row>
    <row r="37" spans="2:14" x14ac:dyDescent="0.2">
      <c r="B37" s="28"/>
      <c r="C37" s="19" t="s">
        <v>0</v>
      </c>
      <c r="D37" s="20" t="s">
        <v>27</v>
      </c>
      <c r="E37" s="7">
        <v>0.74</v>
      </c>
      <c r="F37" s="36">
        <v>0.69</v>
      </c>
      <c r="G37" s="7">
        <v>0.71</v>
      </c>
      <c r="H37" s="36">
        <v>0.69</v>
      </c>
      <c r="I37" s="7">
        <v>0.75</v>
      </c>
      <c r="J37" s="36">
        <v>0.86</v>
      </c>
      <c r="K37" s="7">
        <v>0.87</v>
      </c>
      <c r="L37" s="36">
        <v>0.89</v>
      </c>
      <c r="M37" s="36">
        <v>0.86</v>
      </c>
      <c r="N37" s="7">
        <v>0.78</v>
      </c>
    </row>
    <row r="38" spans="2:14" x14ac:dyDescent="0.2">
      <c r="B38" s="28"/>
      <c r="C38" s="28"/>
      <c r="D38" s="20" t="s">
        <v>28</v>
      </c>
      <c r="E38" s="7">
        <v>0.71</v>
      </c>
      <c r="F38" s="36">
        <v>0.68</v>
      </c>
      <c r="G38" s="7">
        <v>0.72</v>
      </c>
      <c r="H38" s="36">
        <v>0.7</v>
      </c>
      <c r="I38" s="7">
        <v>0.74</v>
      </c>
      <c r="J38" s="36">
        <v>0.82</v>
      </c>
      <c r="K38" s="7">
        <v>0.81</v>
      </c>
      <c r="L38" s="36">
        <v>0.89</v>
      </c>
      <c r="M38" s="36">
        <v>0.88</v>
      </c>
      <c r="N38" s="7">
        <v>0.76</v>
      </c>
    </row>
    <row r="39" spans="2:14" x14ac:dyDescent="0.2">
      <c r="B39" s="21"/>
      <c r="C39" s="21"/>
      <c r="D39" s="22" t="s">
        <v>0</v>
      </c>
      <c r="E39" s="8">
        <v>0.73</v>
      </c>
      <c r="F39" s="37">
        <v>0.69</v>
      </c>
      <c r="G39" s="8">
        <v>0.71</v>
      </c>
      <c r="H39" s="37">
        <v>0.7</v>
      </c>
      <c r="I39" s="8">
        <v>0.75</v>
      </c>
      <c r="J39" s="37">
        <v>0.85</v>
      </c>
      <c r="K39" s="8">
        <v>0.86</v>
      </c>
      <c r="L39" s="37">
        <v>0.89</v>
      </c>
      <c r="M39" s="37">
        <v>0.86</v>
      </c>
      <c r="N39" s="8">
        <v>0.77</v>
      </c>
    </row>
    <row r="40" spans="2:14" x14ac:dyDescent="0.2">
      <c r="B40" s="16" t="s">
        <v>123</v>
      </c>
      <c r="C40" s="17" t="s">
        <v>10</v>
      </c>
      <c r="D40" s="20" t="s">
        <v>27</v>
      </c>
      <c r="E40" s="7">
        <v>0.73</v>
      </c>
      <c r="F40" s="36">
        <v>0.69</v>
      </c>
      <c r="G40" s="7">
        <v>0.72</v>
      </c>
      <c r="H40" s="36">
        <v>0.79</v>
      </c>
      <c r="I40" s="7">
        <v>0.73</v>
      </c>
      <c r="J40" s="36">
        <v>0.68</v>
      </c>
      <c r="K40" s="7"/>
      <c r="L40" s="36">
        <v>1</v>
      </c>
      <c r="M40" s="36"/>
      <c r="N40" s="7">
        <v>0.72</v>
      </c>
    </row>
    <row r="41" spans="2:14" x14ac:dyDescent="0.2">
      <c r="B41" s="28"/>
      <c r="C41" s="28"/>
      <c r="D41" s="20" t="s">
        <v>28</v>
      </c>
      <c r="E41" s="7">
        <v>0.71</v>
      </c>
      <c r="F41" s="36">
        <v>0.69</v>
      </c>
      <c r="G41" s="7">
        <v>0.68</v>
      </c>
      <c r="H41" s="36">
        <v>0.65</v>
      </c>
      <c r="I41" s="7">
        <v>0.63</v>
      </c>
      <c r="J41" s="36">
        <v>0.82</v>
      </c>
      <c r="K41" s="7"/>
      <c r="L41" s="36">
        <v>1</v>
      </c>
      <c r="M41" s="36"/>
      <c r="N41" s="7">
        <v>0.69</v>
      </c>
    </row>
    <row r="42" spans="2:14" x14ac:dyDescent="0.2">
      <c r="B42" s="28"/>
      <c r="C42" s="21"/>
      <c r="D42" s="22" t="s">
        <v>0</v>
      </c>
      <c r="E42" s="8">
        <v>0.72</v>
      </c>
      <c r="F42" s="37">
        <v>0.69</v>
      </c>
      <c r="G42" s="8">
        <v>0.7</v>
      </c>
      <c r="H42" s="37">
        <v>0.73</v>
      </c>
      <c r="I42" s="8">
        <v>0.7</v>
      </c>
      <c r="J42" s="37">
        <v>0.73</v>
      </c>
      <c r="K42" s="8"/>
      <c r="L42" s="37">
        <v>1</v>
      </c>
      <c r="M42" s="37"/>
      <c r="N42" s="8">
        <v>0.7</v>
      </c>
    </row>
    <row r="43" spans="2:14" x14ac:dyDescent="0.2">
      <c r="B43" s="28"/>
      <c r="C43" s="17" t="s">
        <v>23</v>
      </c>
      <c r="D43" s="20" t="s">
        <v>27</v>
      </c>
      <c r="E43" s="7">
        <v>0.7</v>
      </c>
      <c r="F43" s="36">
        <v>0.7</v>
      </c>
      <c r="G43" s="7">
        <v>0.7</v>
      </c>
      <c r="H43" s="36">
        <v>0.75</v>
      </c>
      <c r="I43" s="7">
        <v>0.65</v>
      </c>
      <c r="J43" s="36">
        <v>0.76</v>
      </c>
      <c r="K43" s="7"/>
      <c r="L43" s="36">
        <v>0.78</v>
      </c>
      <c r="M43" s="36"/>
      <c r="N43" s="7">
        <v>0.74</v>
      </c>
    </row>
    <row r="44" spans="2:14" x14ac:dyDescent="0.2">
      <c r="B44" s="28"/>
      <c r="C44" s="28"/>
      <c r="D44" s="20" t="s">
        <v>28</v>
      </c>
      <c r="E44" s="7">
        <v>0.52</v>
      </c>
      <c r="F44" s="36">
        <v>0.66</v>
      </c>
      <c r="G44" s="7">
        <v>0.71</v>
      </c>
      <c r="H44" s="36">
        <v>0.68</v>
      </c>
      <c r="I44" s="7">
        <v>0.63</v>
      </c>
      <c r="J44" s="36">
        <v>0.74</v>
      </c>
      <c r="K44" s="7"/>
      <c r="L44" s="36">
        <v>0.84</v>
      </c>
      <c r="M44" s="36"/>
      <c r="N44" s="7">
        <v>0.72</v>
      </c>
    </row>
    <row r="45" spans="2:14" x14ac:dyDescent="0.2">
      <c r="B45" s="28"/>
      <c r="C45" s="21"/>
      <c r="D45" s="22" t="s">
        <v>0</v>
      </c>
      <c r="E45" s="8">
        <v>0.63</v>
      </c>
      <c r="F45" s="37">
        <v>0.68</v>
      </c>
      <c r="G45" s="8">
        <v>0.71</v>
      </c>
      <c r="H45" s="37">
        <v>0.73</v>
      </c>
      <c r="I45" s="8">
        <v>0.64</v>
      </c>
      <c r="J45" s="37">
        <v>0.75</v>
      </c>
      <c r="K45" s="8"/>
      <c r="L45" s="37">
        <v>0.82</v>
      </c>
      <c r="M45" s="37"/>
      <c r="N45" s="8">
        <v>0.73</v>
      </c>
    </row>
    <row r="46" spans="2:14" x14ac:dyDescent="0.2">
      <c r="B46" s="28"/>
      <c r="C46" s="17" t="s">
        <v>24</v>
      </c>
      <c r="D46" s="20" t="s">
        <v>27</v>
      </c>
      <c r="E46" s="7">
        <v>0.62</v>
      </c>
      <c r="F46" s="36">
        <v>0.69</v>
      </c>
      <c r="G46" s="7">
        <v>0.7</v>
      </c>
      <c r="H46" s="36">
        <v>0.69</v>
      </c>
      <c r="I46" s="7">
        <v>0.7</v>
      </c>
      <c r="J46" s="36">
        <v>0.78</v>
      </c>
      <c r="K46" s="7">
        <v>0.89</v>
      </c>
      <c r="L46" s="36">
        <v>0.84</v>
      </c>
      <c r="M46" s="36">
        <v>0.9</v>
      </c>
      <c r="N46" s="7">
        <v>0.76</v>
      </c>
    </row>
    <row r="47" spans="2:14" x14ac:dyDescent="0.2">
      <c r="B47" s="28"/>
      <c r="C47" s="28"/>
      <c r="D47" s="20" t="s">
        <v>28</v>
      </c>
      <c r="E47" s="7">
        <v>0.69</v>
      </c>
      <c r="F47" s="36">
        <v>0.72</v>
      </c>
      <c r="G47" s="7">
        <v>0.71</v>
      </c>
      <c r="H47" s="36">
        <v>0.69</v>
      </c>
      <c r="I47" s="7">
        <v>0.66</v>
      </c>
      <c r="J47" s="36">
        <v>0.76</v>
      </c>
      <c r="K47" s="7">
        <v>0.84</v>
      </c>
      <c r="L47" s="36">
        <v>0.86</v>
      </c>
      <c r="M47" s="36">
        <v>0.88</v>
      </c>
      <c r="N47" s="7">
        <v>0.75</v>
      </c>
    </row>
    <row r="48" spans="2:14" x14ac:dyDescent="0.2">
      <c r="B48" s="28"/>
      <c r="C48" s="21"/>
      <c r="D48" s="22" t="s">
        <v>0</v>
      </c>
      <c r="E48" s="8">
        <v>0.64</v>
      </c>
      <c r="F48" s="37">
        <v>0.7</v>
      </c>
      <c r="G48" s="8">
        <v>0.71</v>
      </c>
      <c r="H48" s="37">
        <v>0.69</v>
      </c>
      <c r="I48" s="8">
        <v>0.69</v>
      </c>
      <c r="J48" s="37">
        <v>0.77</v>
      </c>
      <c r="K48" s="8">
        <v>0.87</v>
      </c>
      <c r="L48" s="37">
        <v>0.85</v>
      </c>
      <c r="M48" s="37">
        <v>0.9</v>
      </c>
      <c r="N48" s="8">
        <v>0.76</v>
      </c>
    </row>
    <row r="49" spans="2:14" x14ac:dyDescent="0.2">
      <c r="B49" s="28"/>
      <c r="C49" s="17" t="s">
        <v>11</v>
      </c>
      <c r="D49" s="20" t="s">
        <v>27</v>
      </c>
      <c r="E49" s="7">
        <v>0.72</v>
      </c>
      <c r="F49" s="36">
        <v>0.74</v>
      </c>
      <c r="G49" s="7">
        <v>0.7</v>
      </c>
      <c r="H49" s="36">
        <v>0.7</v>
      </c>
      <c r="I49" s="7">
        <v>0.73</v>
      </c>
      <c r="J49" s="36">
        <v>0.81</v>
      </c>
      <c r="K49" s="7">
        <v>0.86</v>
      </c>
      <c r="L49" s="36">
        <v>0.81</v>
      </c>
      <c r="M49" s="36">
        <v>0.85</v>
      </c>
      <c r="N49" s="7">
        <v>0.77</v>
      </c>
    </row>
    <row r="50" spans="2:14" x14ac:dyDescent="0.2">
      <c r="B50" s="28"/>
      <c r="C50" s="28"/>
      <c r="D50" s="20" t="s">
        <v>28</v>
      </c>
      <c r="E50" s="7">
        <v>0.69</v>
      </c>
      <c r="F50" s="36">
        <v>0.7</v>
      </c>
      <c r="G50" s="7">
        <v>0.69</v>
      </c>
      <c r="H50" s="36">
        <v>0.71</v>
      </c>
      <c r="I50" s="7">
        <v>0.72</v>
      </c>
      <c r="J50" s="36">
        <v>0.79</v>
      </c>
      <c r="K50" s="7">
        <v>0.89</v>
      </c>
      <c r="L50" s="36">
        <v>0.86</v>
      </c>
      <c r="M50" s="36">
        <v>0.83</v>
      </c>
      <c r="N50" s="7">
        <v>0.75</v>
      </c>
    </row>
    <row r="51" spans="2:14" x14ac:dyDescent="0.2">
      <c r="B51" s="28"/>
      <c r="C51" s="21"/>
      <c r="D51" s="22" t="s">
        <v>0</v>
      </c>
      <c r="E51" s="8">
        <v>0.71</v>
      </c>
      <c r="F51" s="37">
        <v>0.73</v>
      </c>
      <c r="G51" s="8">
        <v>0.69</v>
      </c>
      <c r="H51" s="37">
        <v>0.71</v>
      </c>
      <c r="I51" s="8">
        <v>0.73</v>
      </c>
      <c r="J51" s="37">
        <v>0.8</v>
      </c>
      <c r="K51" s="8">
        <v>0.88</v>
      </c>
      <c r="L51" s="37">
        <v>0.82</v>
      </c>
      <c r="M51" s="37">
        <v>0.84</v>
      </c>
      <c r="N51" s="8">
        <v>0.76</v>
      </c>
    </row>
    <row r="52" spans="2:14" x14ac:dyDescent="0.2">
      <c r="B52" s="28"/>
      <c r="C52" s="17" t="s">
        <v>12</v>
      </c>
      <c r="D52" s="20" t="s">
        <v>27</v>
      </c>
      <c r="E52" s="7">
        <v>0.81</v>
      </c>
      <c r="F52" s="36">
        <v>0.76</v>
      </c>
      <c r="G52" s="7">
        <v>0.77</v>
      </c>
      <c r="H52" s="36">
        <v>0.77</v>
      </c>
      <c r="I52" s="7">
        <v>0.76</v>
      </c>
      <c r="J52" s="36">
        <v>0.84</v>
      </c>
      <c r="K52" s="7">
        <v>0.89</v>
      </c>
      <c r="L52" s="36">
        <v>0.79</v>
      </c>
      <c r="M52" s="36">
        <v>0.79</v>
      </c>
      <c r="N52" s="7">
        <v>0.8</v>
      </c>
    </row>
    <row r="53" spans="2:14" x14ac:dyDescent="0.2">
      <c r="B53" s="28"/>
      <c r="C53" s="28"/>
      <c r="D53" s="20" t="s">
        <v>28</v>
      </c>
      <c r="E53" s="7">
        <v>0.62</v>
      </c>
      <c r="F53" s="36">
        <v>0.73</v>
      </c>
      <c r="G53" s="7">
        <v>0.68</v>
      </c>
      <c r="H53" s="36">
        <v>0.74</v>
      </c>
      <c r="I53" s="7">
        <v>0.69</v>
      </c>
      <c r="J53" s="36">
        <v>0.79</v>
      </c>
      <c r="K53" s="7">
        <v>0.74</v>
      </c>
      <c r="L53" s="36">
        <v>0.83</v>
      </c>
      <c r="M53" s="36">
        <v>0.76</v>
      </c>
      <c r="N53" s="7">
        <v>0.73</v>
      </c>
    </row>
    <row r="54" spans="2:14" x14ac:dyDescent="0.2">
      <c r="B54" s="28"/>
      <c r="C54" s="21"/>
      <c r="D54" s="22" t="s">
        <v>0</v>
      </c>
      <c r="E54" s="8">
        <v>0.75</v>
      </c>
      <c r="F54" s="37">
        <v>0.75</v>
      </c>
      <c r="G54" s="8">
        <v>0.74</v>
      </c>
      <c r="H54" s="37">
        <v>0.76</v>
      </c>
      <c r="I54" s="8">
        <v>0.73</v>
      </c>
      <c r="J54" s="37">
        <v>0.83</v>
      </c>
      <c r="K54" s="8">
        <v>0.85</v>
      </c>
      <c r="L54" s="37">
        <v>0.8</v>
      </c>
      <c r="M54" s="37">
        <v>0.79</v>
      </c>
      <c r="N54" s="8">
        <v>0.78</v>
      </c>
    </row>
    <row r="55" spans="2:14" x14ac:dyDescent="0.2">
      <c r="B55" s="28"/>
      <c r="C55" s="19" t="s">
        <v>0</v>
      </c>
      <c r="D55" s="20" t="s">
        <v>27</v>
      </c>
      <c r="E55" s="7">
        <v>0.73</v>
      </c>
      <c r="F55" s="36">
        <v>0.72</v>
      </c>
      <c r="G55" s="7">
        <v>0.71</v>
      </c>
      <c r="H55" s="36">
        <v>0.72</v>
      </c>
      <c r="I55" s="7">
        <v>0.72</v>
      </c>
      <c r="J55" s="36">
        <v>0.78</v>
      </c>
      <c r="K55" s="7">
        <v>0.88</v>
      </c>
      <c r="L55" s="36">
        <v>0.81</v>
      </c>
      <c r="M55" s="36">
        <v>0.84</v>
      </c>
      <c r="N55" s="7">
        <v>0.76</v>
      </c>
    </row>
    <row r="56" spans="2:14" x14ac:dyDescent="0.2">
      <c r="B56" s="28"/>
      <c r="C56" s="28"/>
      <c r="D56" s="20" t="s">
        <v>28</v>
      </c>
      <c r="E56" s="7">
        <v>0.67</v>
      </c>
      <c r="F56" s="36">
        <v>0.7</v>
      </c>
      <c r="G56" s="7">
        <v>0.7</v>
      </c>
      <c r="H56" s="36">
        <v>0.7</v>
      </c>
      <c r="I56" s="7">
        <v>0.68</v>
      </c>
      <c r="J56" s="36">
        <v>0.76</v>
      </c>
      <c r="K56" s="7">
        <v>0.84</v>
      </c>
      <c r="L56" s="36">
        <v>0.85</v>
      </c>
      <c r="M56" s="36">
        <v>0.82</v>
      </c>
      <c r="N56" s="7">
        <v>0.74</v>
      </c>
    </row>
    <row r="57" spans="2:14" x14ac:dyDescent="0.2">
      <c r="B57" s="21"/>
      <c r="C57" s="21"/>
      <c r="D57" s="22" t="s">
        <v>0</v>
      </c>
      <c r="E57" s="8">
        <v>0.71</v>
      </c>
      <c r="F57" s="37">
        <v>0.71</v>
      </c>
      <c r="G57" s="8">
        <v>0.71</v>
      </c>
      <c r="H57" s="37">
        <v>0.72</v>
      </c>
      <c r="I57" s="8">
        <v>0.7</v>
      </c>
      <c r="J57" s="37">
        <v>0.78</v>
      </c>
      <c r="K57" s="8">
        <v>0.87</v>
      </c>
      <c r="L57" s="37">
        <v>0.83</v>
      </c>
      <c r="M57" s="37">
        <v>0.83</v>
      </c>
      <c r="N57" s="8">
        <v>0.75</v>
      </c>
    </row>
    <row r="58" spans="2:14" x14ac:dyDescent="0.2">
      <c r="B58" s="16" t="s">
        <v>9</v>
      </c>
      <c r="C58" s="17" t="s">
        <v>10</v>
      </c>
      <c r="D58" s="20" t="s">
        <v>27</v>
      </c>
      <c r="E58" s="7">
        <v>0.6</v>
      </c>
      <c r="F58" s="36">
        <v>0.77</v>
      </c>
      <c r="G58" s="7">
        <v>0.82</v>
      </c>
      <c r="H58" s="36">
        <v>0.8</v>
      </c>
      <c r="I58" s="7">
        <v>0.8</v>
      </c>
      <c r="J58" s="36">
        <v>0.91</v>
      </c>
      <c r="K58" s="7"/>
      <c r="L58" s="36">
        <v>1</v>
      </c>
      <c r="M58" s="36"/>
      <c r="N58" s="7">
        <v>0.82</v>
      </c>
    </row>
    <row r="59" spans="2:14" x14ac:dyDescent="0.2">
      <c r="B59" s="28"/>
      <c r="C59" s="28"/>
      <c r="D59" s="20" t="s">
        <v>28</v>
      </c>
      <c r="E59" s="7">
        <v>0.86</v>
      </c>
      <c r="F59" s="36">
        <v>0.69</v>
      </c>
      <c r="G59" s="7">
        <v>0.72</v>
      </c>
      <c r="H59" s="36">
        <v>0.88</v>
      </c>
      <c r="I59" s="7">
        <v>0.68</v>
      </c>
      <c r="J59" s="36">
        <v>0.96</v>
      </c>
      <c r="K59" s="7"/>
      <c r="L59" s="36">
        <v>0.89</v>
      </c>
      <c r="M59" s="36"/>
      <c r="N59" s="7">
        <v>0.77</v>
      </c>
    </row>
    <row r="60" spans="2:14" x14ac:dyDescent="0.2">
      <c r="B60" s="28"/>
      <c r="C60" s="21"/>
      <c r="D60" s="22" t="s">
        <v>0</v>
      </c>
      <c r="E60" s="8">
        <v>0.76</v>
      </c>
      <c r="F60" s="37">
        <v>0.72</v>
      </c>
      <c r="G60" s="8">
        <v>0.76</v>
      </c>
      <c r="H60" s="37">
        <v>0.84</v>
      </c>
      <c r="I60" s="8">
        <v>0.75</v>
      </c>
      <c r="J60" s="37">
        <v>0.94</v>
      </c>
      <c r="K60" s="8"/>
      <c r="L60" s="37">
        <v>0.93</v>
      </c>
      <c r="M60" s="37"/>
      <c r="N60" s="8">
        <v>0.79</v>
      </c>
    </row>
    <row r="61" spans="2:14" x14ac:dyDescent="0.2">
      <c r="B61" s="28"/>
      <c r="C61" s="17" t="s">
        <v>23</v>
      </c>
      <c r="D61" s="20" t="s">
        <v>27</v>
      </c>
      <c r="E61" s="7">
        <v>0.89</v>
      </c>
      <c r="F61" s="36">
        <v>0.86</v>
      </c>
      <c r="G61" s="7">
        <v>0.8</v>
      </c>
      <c r="H61" s="36">
        <v>0.79</v>
      </c>
      <c r="I61" s="7">
        <v>0.81</v>
      </c>
      <c r="J61" s="36">
        <v>0.9</v>
      </c>
      <c r="K61" s="7"/>
      <c r="L61" s="36">
        <v>0.93</v>
      </c>
      <c r="M61" s="36"/>
      <c r="N61" s="7">
        <v>0.89</v>
      </c>
    </row>
    <row r="62" spans="2:14" x14ac:dyDescent="0.2">
      <c r="B62" s="28"/>
      <c r="C62" s="28"/>
      <c r="D62" s="20" t="s">
        <v>28</v>
      </c>
      <c r="E62" s="7">
        <v>0.8</v>
      </c>
      <c r="F62" s="36">
        <v>0.71</v>
      </c>
      <c r="G62" s="7">
        <v>0.77</v>
      </c>
      <c r="H62" s="36">
        <v>0.76</v>
      </c>
      <c r="I62" s="7">
        <v>0.72</v>
      </c>
      <c r="J62" s="36">
        <v>0.87</v>
      </c>
      <c r="K62" s="7">
        <v>0.5</v>
      </c>
      <c r="L62" s="36">
        <v>0.93</v>
      </c>
      <c r="M62" s="36"/>
      <c r="N62" s="7">
        <v>0.86</v>
      </c>
    </row>
    <row r="63" spans="2:14" x14ac:dyDescent="0.2">
      <c r="B63" s="28"/>
      <c r="C63" s="21"/>
      <c r="D63" s="22" t="s">
        <v>0</v>
      </c>
      <c r="E63" s="8">
        <v>0.84</v>
      </c>
      <c r="F63" s="37">
        <v>0.77</v>
      </c>
      <c r="G63" s="8">
        <v>0.78</v>
      </c>
      <c r="H63" s="37">
        <v>0.78</v>
      </c>
      <c r="I63" s="8">
        <v>0.76</v>
      </c>
      <c r="J63" s="37">
        <v>0.89</v>
      </c>
      <c r="K63" s="8">
        <v>0.5</v>
      </c>
      <c r="L63" s="37">
        <v>0.93</v>
      </c>
      <c r="M63" s="37"/>
      <c r="N63" s="8">
        <v>0.87</v>
      </c>
    </row>
    <row r="64" spans="2:14" x14ac:dyDescent="0.2">
      <c r="B64" s="28"/>
      <c r="C64" s="17" t="s">
        <v>24</v>
      </c>
      <c r="D64" s="20" t="s">
        <v>27</v>
      </c>
      <c r="E64" s="7">
        <v>0.83</v>
      </c>
      <c r="F64" s="36">
        <v>0.82</v>
      </c>
      <c r="G64" s="7">
        <v>0.85</v>
      </c>
      <c r="H64" s="36">
        <v>0.81</v>
      </c>
      <c r="I64" s="7">
        <v>0.84</v>
      </c>
      <c r="J64" s="36">
        <v>0.9</v>
      </c>
      <c r="K64" s="7">
        <v>0.95</v>
      </c>
      <c r="L64" s="36">
        <v>0.95</v>
      </c>
      <c r="M64" s="36">
        <v>0.96</v>
      </c>
      <c r="N64" s="7">
        <v>0.9</v>
      </c>
    </row>
    <row r="65" spans="2:14" x14ac:dyDescent="0.2">
      <c r="B65" s="28"/>
      <c r="C65" s="28"/>
      <c r="D65" s="20" t="s">
        <v>28</v>
      </c>
      <c r="E65" s="7">
        <v>0.91</v>
      </c>
      <c r="F65" s="36">
        <v>0.88</v>
      </c>
      <c r="G65" s="7">
        <v>0.82</v>
      </c>
      <c r="H65" s="36">
        <v>0.83</v>
      </c>
      <c r="I65" s="7">
        <v>0.76</v>
      </c>
      <c r="J65" s="36">
        <v>0.88</v>
      </c>
      <c r="K65" s="7">
        <v>0.88</v>
      </c>
      <c r="L65" s="36">
        <v>0.93</v>
      </c>
      <c r="M65" s="36">
        <v>0.94</v>
      </c>
      <c r="N65" s="7">
        <v>0.88</v>
      </c>
    </row>
    <row r="66" spans="2:14" x14ac:dyDescent="0.2">
      <c r="B66" s="28"/>
      <c r="C66" s="21"/>
      <c r="D66" s="22" t="s">
        <v>0</v>
      </c>
      <c r="E66" s="8">
        <v>0.88</v>
      </c>
      <c r="F66" s="37">
        <v>0.85</v>
      </c>
      <c r="G66" s="8">
        <v>0.84</v>
      </c>
      <c r="H66" s="37">
        <v>0.82</v>
      </c>
      <c r="I66" s="8">
        <v>0.8</v>
      </c>
      <c r="J66" s="37">
        <v>0.89</v>
      </c>
      <c r="K66" s="8">
        <v>0.93</v>
      </c>
      <c r="L66" s="37">
        <v>0.94</v>
      </c>
      <c r="M66" s="37">
        <v>0.95</v>
      </c>
      <c r="N66" s="8">
        <v>0.89</v>
      </c>
    </row>
    <row r="67" spans="2:14" x14ac:dyDescent="0.2">
      <c r="B67" s="28"/>
      <c r="C67" s="17" t="s">
        <v>11</v>
      </c>
      <c r="D67" s="20" t="s">
        <v>27</v>
      </c>
      <c r="E67" s="7">
        <v>0.84</v>
      </c>
      <c r="F67" s="36">
        <v>0.83</v>
      </c>
      <c r="G67" s="7">
        <v>0.83</v>
      </c>
      <c r="H67" s="36">
        <v>0.85</v>
      </c>
      <c r="I67" s="7">
        <v>0.85</v>
      </c>
      <c r="J67" s="36">
        <v>0.91</v>
      </c>
      <c r="K67" s="7">
        <v>0.9</v>
      </c>
      <c r="L67" s="36">
        <v>0.91</v>
      </c>
      <c r="M67" s="36">
        <v>0.92</v>
      </c>
      <c r="N67" s="7">
        <v>0.89</v>
      </c>
    </row>
    <row r="68" spans="2:14" x14ac:dyDescent="0.2">
      <c r="B68" s="28"/>
      <c r="C68" s="28"/>
      <c r="D68" s="20" t="s">
        <v>28</v>
      </c>
      <c r="E68" s="7">
        <v>0.7</v>
      </c>
      <c r="F68" s="36">
        <v>0.81</v>
      </c>
      <c r="G68" s="7">
        <v>0.84</v>
      </c>
      <c r="H68" s="36">
        <v>0.83</v>
      </c>
      <c r="I68" s="7">
        <v>0.81</v>
      </c>
      <c r="J68" s="36">
        <v>0.87</v>
      </c>
      <c r="K68" s="7">
        <v>0.89</v>
      </c>
      <c r="L68" s="36">
        <v>0.9</v>
      </c>
      <c r="M68" s="36">
        <v>0.91</v>
      </c>
      <c r="N68" s="7">
        <v>0.86</v>
      </c>
    </row>
    <row r="69" spans="2:14" x14ac:dyDescent="0.2">
      <c r="B69" s="28"/>
      <c r="C69" s="21"/>
      <c r="D69" s="22" t="s">
        <v>0</v>
      </c>
      <c r="E69" s="8">
        <v>0.81</v>
      </c>
      <c r="F69" s="37">
        <v>0.83</v>
      </c>
      <c r="G69" s="8">
        <v>0.83</v>
      </c>
      <c r="H69" s="37">
        <v>0.84</v>
      </c>
      <c r="I69" s="8">
        <v>0.83</v>
      </c>
      <c r="J69" s="37">
        <v>0.89</v>
      </c>
      <c r="K69" s="8">
        <v>0.9</v>
      </c>
      <c r="L69" s="37">
        <v>0.91</v>
      </c>
      <c r="M69" s="37">
        <v>0.91</v>
      </c>
      <c r="N69" s="8">
        <v>0.88</v>
      </c>
    </row>
    <row r="70" spans="2:14" x14ac:dyDescent="0.2">
      <c r="B70" s="28"/>
      <c r="C70" s="17" t="s">
        <v>12</v>
      </c>
      <c r="D70" s="20" t="s">
        <v>27</v>
      </c>
      <c r="E70" s="7">
        <v>0.85</v>
      </c>
      <c r="F70" s="36">
        <v>0.82</v>
      </c>
      <c r="G70" s="7">
        <v>0.86</v>
      </c>
      <c r="H70" s="36">
        <v>0.87</v>
      </c>
      <c r="I70" s="7">
        <v>0.86</v>
      </c>
      <c r="J70" s="36">
        <v>0.92</v>
      </c>
      <c r="K70" s="7">
        <v>0.91</v>
      </c>
      <c r="L70" s="36">
        <v>0.93</v>
      </c>
      <c r="M70" s="36">
        <v>0.91</v>
      </c>
      <c r="N70" s="7">
        <v>0.88</v>
      </c>
    </row>
    <row r="71" spans="2:14" x14ac:dyDescent="0.2">
      <c r="B71" s="28"/>
      <c r="C71" s="28"/>
      <c r="D71" s="20" t="s">
        <v>28</v>
      </c>
      <c r="E71" s="7">
        <v>0.82</v>
      </c>
      <c r="F71" s="36">
        <v>0.78</v>
      </c>
      <c r="G71" s="7">
        <v>0.84</v>
      </c>
      <c r="H71" s="36">
        <v>0.84</v>
      </c>
      <c r="I71" s="7">
        <v>0.82</v>
      </c>
      <c r="J71" s="36">
        <v>0.89</v>
      </c>
      <c r="K71" s="7">
        <v>0.87</v>
      </c>
      <c r="L71" s="36">
        <v>0.88</v>
      </c>
      <c r="M71" s="36">
        <v>0.88</v>
      </c>
      <c r="N71" s="7">
        <v>0.85</v>
      </c>
    </row>
    <row r="72" spans="2:14" x14ac:dyDescent="0.2">
      <c r="B72" s="28"/>
      <c r="C72" s="21"/>
      <c r="D72" s="22" t="s">
        <v>0</v>
      </c>
      <c r="E72" s="8">
        <v>0.84</v>
      </c>
      <c r="F72" s="37">
        <v>0.81</v>
      </c>
      <c r="G72" s="8">
        <v>0.85</v>
      </c>
      <c r="H72" s="37">
        <v>0.86</v>
      </c>
      <c r="I72" s="8">
        <v>0.84</v>
      </c>
      <c r="J72" s="37">
        <v>0.91</v>
      </c>
      <c r="K72" s="8">
        <v>0.9</v>
      </c>
      <c r="L72" s="37">
        <v>0.92</v>
      </c>
      <c r="M72" s="37">
        <v>0.9</v>
      </c>
      <c r="N72" s="8">
        <v>0.87</v>
      </c>
    </row>
    <row r="73" spans="2:14" x14ac:dyDescent="0.2">
      <c r="B73" s="28"/>
      <c r="C73" s="19" t="s">
        <v>0</v>
      </c>
      <c r="D73" s="20" t="s">
        <v>27</v>
      </c>
      <c r="E73" s="7">
        <v>0.84</v>
      </c>
      <c r="F73" s="36">
        <v>0.82</v>
      </c>
      <c r="G73" s="7">
        <v>0.84</v>
      </c>
      <c r="H73" s="36">
        <v>0.84</v>
      </c>
      <c r="I73" s="7">
        <v>0.85</v>
      </c>
      <c r="J73" s="36">
        <v>0.91</v>
      </c>
      <c r="K73" s="7">
        <v>0.91</v>
      </c>
      <c r="L73" s="36">
        <v>0.94</v>
      </c>
      <c r="M73" s="36">
        <v>0.92</v>
      </c>
      <c r="N73" s="7">
        <v>0.89</v>
      </c>
    </row>
    <row r="74" spans="2:14" x14ac:dyDescent="0.2">
      <c r="B74" s="28"/>
      <c r="C74" s="28"/>
      <c r="D74" s="20" t="s">
        <v>28</v>
      </c>
      <c r="E74" s="7">
        <v>0.81</v>
      </c>
      <c r="F74" s="36">
        <v>0.78</v>
      </c>
      <c r="G74" s="7">
        <v>0.82</v>
      </c>
      <c r="H74" s="36">
        <v>0.82</v>
      </c>
      <c r="I74" s="7">
        <v>0.79</v>
      </c>
      <c r="J74" s="36">
        <v>0.87</v>
      </c>
      <c r="K74" s="7">
        <v>0.88</v>
      </c>
      <c r="L74" s="36">
        <v>0.92</v>
      </c>
      <c r="M74" s="36">
        <v>0.91</v>
      </c>
      <c r="N74" s="7">
        <v>0.87</v>
      </c>
    </row>
    <row r="75" spans="2:14" x14ac:dyDescent="0.2">
      <c r="B75" s="21"/>
      <c r="C75" s="21"/>
      <c r="D75" s="22" t="s">
        <v>0</v>
      </c>
      <c r="E75" s="8">
        <v>0.83</v>
      </c>
      <c r="F75" s="37">
        <v>0.81</v>
      </c>
      <c r="G75" s="8">
        <v>0.83</v>
      </c>
      <c r="H75" s="37">
        <v>0.83</v>
      </c>
      <c r="I75" s="8">
        <v>0.82</v>
      </c>
      <c r="J75" s="37">
        <v>0.89</v>
      </c>
      <c r="K75" s="8">
        <v>0.9</v>
      </c>
      <c r="L75" s="37">
        <v>0.93</v>
      </c>
      <c r="M75" s="37">
        <v>0.92</v>
      </c>
      <c r="N75" s="8">
        <v>0.88</v>
      </c>
    </row>
    <row r="76" spans="2:14" x14ac:dyDescent="0.2">
      <c r="B76" s="29" t="s">
        <v>13</v>
      </c>
      <c r="C76" s="17" t="s">
        <v>10</v>
      </c>
      <c r="D76" s="20" t="s">
        <v>27</v>
      </c>
      <c r="E76" s="7">
        <v>0.85</v>
      </c>
      <c r="F76" s="36">
        <v>0.74</v>
      </c>
      <c r="G76" s="7">
        <v>0.74</v>
      </c>
      <c r="H76" s="36">
        <v>0.82</v>
      </c>
      <c r="I76" s="7">
        <v>0.69</v>
      </c>
      <c r="J76" s="36">
        <v>0.87</v>
      </c>
      <c r="K76" s="7"/>
      <c r="L76" s="36"/>
      <c r="M76" s="36"/>
      <c r="N76" s="7">
        <v>0.77</v>
      </c>
    </row>
    <row r="77" spans="2:14" x14ac:dyDescent="0.2">
      <c r="B77" s="28"/>
      <c r="C77" s="28"/>
      <c r="D77" s="20" t="s">
        <v>28</v>
      </c>
      <c r="E77" s="7">
        <v>0.75</v>
      </c>
      <c r="F77" s="36">
        <v>0.61</v>
      </c>
      <c r="G77" s="7">
        <v>0.74</v>
      </c>
      <c r="H77" s="36">
        <v>0.75</v>
      </c>
      <c r="I77" s="7">
        <v>0.82</v>
      </c>
      <c r="J77" s="36">
        <v>0.97</v>
      </c>
      <c r="K77" s="7"/>
      <c r="L77" s="36">
        <v>1</v>
      </c>
      <c r="M77" s="36"/>
      <c r="N77" s="7">
        <v>0.72</v>
      </c>
    </row>
    <row r="78" spans="2:14" x14ac:dyDescent="0.2">
      <c r="B78" s="28"/>
      <c r="C78" s="21"/>
      <c r="D78" s="22" t="s">
        <v>0</v>
      </c>
      <c r="E78" s="8">
        <v>0.81</v>
      </c>
      <c r="F78" s="37">
        <v>0.67</v>
      </c>
      <c r="G78" s="8">
        <v>0.74</v>
      </c>
      <c r="H78" s="37">
        <v>0.78</v>
      </c>
      <c r="I78" s="8">
        <v>0.75</v>
      </c>
      <c r="J78" s="37">
        <v>0.91</v>
      </c>
      <c r="K78" s="8"/>
      <c r="L78" s="37">
        <v>1</v>
      </c>
      <c r="M78" s="37"/>
      <c r="N78" s="8">
        <v>0.75</v>
      </c>
    </row>
    <row r="79" spans="2:14" x14ac:dyDescent="0.2">
      <c r="B79" s="28"/>
      <c r="C79" s="17" t="s">
        <v>23</v>
      </c>
      <c r="D79" s="20" t="s">
        <v>27</v>
      </c>
      <c r="E79" s="7">
        <v>0.81</v>
      </c>
      <c r="F79" s="36">
        <v>0.76</v>
      </c>
      <c r="G79" s="7">
        <v>0.78</v>
      </c>
      <c r="H79" s="36">
        <v>0.75</v>
      </c>
      <c r="I79" s="7">
        <v>0.83</v>
      </c>
      <c r="J79" s="36">
        <v>0.88</v>
      </c>
      <c r="K79" s="7"/>
      <c r="L79" s="36">
        <v>0.89</v>
      </c>
      <c r="M79" s="36"/>
      <c r="N79" s="7">
        <v>0.85</v>
      </c>
    </row>
    <row r="80" spans="2:14" x14ac:dyDescent="0.2">
      <c r="B80" s="28"/>
      <c r="C80" s="28"/>
      <c r="D80" s="20" t="s">
        <v>28</v>
      </c>
      <c r="E80" s="7">
        <v>0.82</v>
      </c>
      <c r="F80" s="36">
        <v>0.69</v>
      </c>
      <c r="G80" s="7">
        <v>0.82</v>
      </c>
      <c r="H80" s="36">
        <v>0.75</v>
      </c>
      <c r="I80" s="7">
        <v>0.7</v>
      </c>
      <c r="J80" s="36">
        <v>0.84</v>
      </c>
      <c r="K80" s="7"/>
      <c r="L80" s="36">
        <v>0.91</v>
      </c>
      <c r="M80" s="36"/>
      <c r="N80" s="7">
        <v>0.83</v>
      </c>
    </row>
    <row r="81" spans="2:14" x14ac:dyDescent="0.2">
      <c r="B81" s="28"/>
      <c r="C81" s="21"/>
      <c r="D81" s="22" t="s">
        <v>0</v>
      </c>
      <c r="E81" s="8">
        <v>0.82</v>
      </c>
      <c r="F81" s="37">
        <v>0.73</v>
      </c>
      <c r="G81" s="8">
        <v>0.8</v>
      </c>
      <c r="H81" s="37">
        <v>0.75</v>
      </c>
      <c r="I81" s="8">
        <v>0.77</v>
      </c>
      <c r="J81" s="37">
        <v>0.86</v>
      </c>
      <c r="K81" s="8"/>
      <c r="L81" s="37">
        <v>0.91</v>
      </c>
      <c r="M81" s="37"/>
      <c r="N81" s="8">
        <v>0.84</v>
      </c>
    </row>
    <row r="82" spans="2:14" x14ac:dyDescent="0.2">
      <c r="B82" s="28"/>
      <c r="C82" s="17" t="s">
        <v>24</v>
      </c>
      <c r="D82" s="20" t="s">
        <v>27</v>
      </c>
      <c r="E82" s="7">
        <v>0.75</v>
      </c>
      <c r="F82" s="36">
        <v>0.86</v>
      </c>
      <c r="G82" s="7">
        <v>0.82</v>
      </c>
      <c r="H82" s="36">
        <v>0.78</v>
      </c>
      <c r="I82" s="7">
        <v>0.81</v>
      </c>
      <c r="J82" s="36">
        <v>0.89</v>
      </c>
      <c r="K82" s="7">
        <v>0.91</v>
      </c>
      <c r="L82" s="36">
        <v>0.92</v>
      </c>
      <c r="M82" s="36">
        <v>0.93</v>
      </c>
      <c r="N82" s="7">
        <v>0.88</v>
      </c>
    </row>
    <row r="83" spans="2:14" x14ac:dyDescent="0.2">
      <c r="B83" s="28"/>
      <c r="C83" s="28"/>
      <c r="D83" s="20" t="s">
        <v>28</v>
      </c>
      <c r="E83" s="7">
        <v>0.76</v>
      </c>
      <c r="F83" s="36">
        <v>0.81</v>
      </c>
      <c r="G83" s="7">
        <v>0.78</v>
      </c>
      <c r="H83" s="36">
        <v>0.74</v>
      </c>
      <c r="I83" s="7">
        <v>0.74</v>
      </c>
      <c r="J83" s="36">
        <v>0.84</v>
      </c>
      <c r="K83" s="7">
        <v>0.89</v>
      </c>
      <c r="L83" s="36">
        <v>0.91</v>
      </c>
      <c r="M83" s="36">
        <v>0.94</v>
      </c>
      <c r="N83" s="7">
        <v>0.84</v>
      </c>
    </row>
    <row r="84" spans="2:14" x14ac:dyDescent="0.2">
      <c r="B84" s="28"/>
      <c r="C84" s="21"/>
      <c r="D84" s="22" t="s">
        <v>0</v>
      </c>
      <c r="E84" s="8">
        <v>0.75</v>
      </c>
      <c r="F84" s="37">
        <v>0.84</v>
      </c>
      <c r="G84" s="8">
        <v>0.8</v>
      </c>
      <c r="H84" s="37">
        <v>0.76</v>
      </c>
      <c r="I84" s="8">
        <v>0.77</v>
      </c>
      <c r="J84" s="37">
        <v>0.87</v>
      </c>
      <c r="K84" s="8">
        <v>0.9</v>
      </c>
      <c r="L84" s="37">
        <v>0.91</v>
      </c>
      <c r="M84" s="37">
        <v>0.93</v>
      </c>
      <c r="N84" s="8">
        <v>0.86</v>
      </c>
    </row>
    <row r="85" spans="2:14" x14ac:dyDescent="0.2">
      <c r="B85" s="28"/>
      <c r="C85" s="17" t="s">
        <v>11</v>
      </c>
      <c r="D85" s="20" t="s">
        <v>27</v>
      </c>
      <c r="E85" s="7">
        <v>0.76</v>
      </c>
      <c r="F85" s="36">
        <v>0.77</v>
      </c>
      <c r="G85" s="7">
        <v>0.81</v>
      </c>
      <c r="H85" s="36">
        <v>0.82</v>
      </c>
      <c r="I85" s="7">
        <v>0.81</v>
      </c>
      <c r="J85" s="36">
        <v>0.89</v>
      </c>
      <c r="K85" s="7">
        <v>0.87</v>
      </c>
      <c r="L85" s="36">
        <v>0.91</v>
      </c>
      <c r="M85" s="36">
        <v>0.92</v>
      </c>
      <c r="N85" s="7">
        <v>0.85</v>
      </c>
    </row>
    <row r="86" spans="2:14" x14ac:dyDescent="0.2">
      <c r="B86" s="28"/>
      <c r="C86" s="28"/>
      <c r="D86" s="20" t="s">
        <v>28</v>
      </c>
      <c r="E86" s="7">
        <v>0.79</v>
      </c>
      <c r="F86" s="36">
        <v>0.76</v>
      </c>
      <c r="G86" s="7">
        <v>0.76</v>
      </c>
      <c r="H86" s="36">
        <v>0.78</v>
      </c>
      <c r="I86" s="7">
        <v>0.78</v>
      </c>
      <c r="J86" s="36">
        <v>0.82</v>
      </c>
      <c r="K86" s="7">
        <v>0.89</v>
      </c>
      <c r="L86" s="36">
        <v>0.92</v>
      </c>
      <c r="M86" s="36">
        <v>0.92</v>
      </c>
      <c r="N86" s="7">
        <v>0.81</v>
      </c>
    </row>
    <row r="87" spans="2:14" x14ac:dyDescent="0.2">
      <c r="B87" s="28"/>
      <c r="C87" s="21"/>
      <c r="D87" s="22" t="s">
        <v>0</v>
      </c>
      <c r="E87" s="8">
        <v>0.77</v>
      </c>
      <c r="F87" s="37">
        <v>0.77</v>
      </c>
      <c r="G87" s="8">
        <v>0.79</v>
      </c>
      <c r="H87" s="37">
        <v>0.81</v>
      </c>
      <c r="I87" s="8">
        <v>0.8</v>
      </c>
      <c r="J87" s="37">
        <v>0.86</v>
      </c>
      <c r="K87" s="8">
        <v>0.87</v>
      </c>
      <c r="L87" s="37">
        <v>0.91</v>
      </c>
      <c r="M87" s="37">
        <v>0.92</v>
      </c>
      <c r="N87" s="8">
        <v>0.84</v>
      </c>
    </row>
    <row r="88" spans="2:14" x14ac:dyDescent="0.2">
      <c r="B88" s="28"/>
      <c r="C88" s="17" t="s">
        <v>12</v>
      </c>
      <c r="D88" s="20" t="s">
        <v>27</v>
      </c>
      <c r="E88" s="7">
        <v>0.74</v>
      </c>
      <c r="F88" s="36">
        <v>0.76</v>
      </c>
      <c r="G88" s="7">
        <v>0.8</v>
      </c>
      <c r="H88" s="36">
        <v>0.81</v>
      </c>
      <c r="I88" s="7">
        <v>0.84</v>
      </c>
      <c r="J88" s="36">
        <v>0.91</v>
      </c>
      <c r="K88" s="7">
        <v>0.88</v>
      </c>
      <c r="L88" s="36">
        <v>0.94</v>
      </c>
      <c r="M88" s="36">
        <v>0.9</v>
      </c>
      <c r="N88" s="7">
        <v>0.85</v>
      </c>
    </row>
    <row r="89" spans="2:14" x14ac:dyDescent="0.2">
      <c r="B89" s="28"/>
      <c r="C89" s="28"/>
      <c r="D89" s="20" t="s">
        <v>28</v>
      </c>
      <c r="E89" s="7">
        <v>0.67</v>
      </c>
      <c r="F89" s="36">
        <v>0.68</v>
      </c>
      <c r="G89" s="7">
        <v>0.77</v>
      </c>
      <c r="H89" s="36">
        <v>0.74</v>
      </c>
      <c r="I89" s="7">
        <v>0.78</v>
      </c>
      <c r="J89" s="36">
        <v>0.86</v>
      </c>
      <c r="K89" s="7">
        <v>0.82</v>
      </c>
      <c r="L89" s="36">
        <v>0.9</v>
      </c>
      <c r="M89" s="36">
        <v>0.87</v>
      </c>
      <c r="N89" s="7">
        <v>0.8</v>
      </c>
    </row>
    <row r="90" spans="2:14" x14ac:dyDescent="0.2">
      <c r="B90" s="28"/>
      <c r="C90" s="21"/>
      <c r="D90" s="22" t="s">
        <v>0</v>
      </c>
      <c r="E90" s="8">
        <v>0.72</v>
      </c>
      <c r="F90" s="37">
        <v>0.73</v>
      </c>
      <c r="G90" s="8">
        <v>0.79</v>
      </c>
      <c r="H90" s="37">
        <v>0.79</v>
      </c>
      <c r="I90" s="8">
        <v>0.81</v>
      </c>
      <c r="J90" s="37">
        <v>0.89</v>
      </c>
      <c r="K90" s="8">
        <v>0.86</v>
      </c>
      <c r="L90" s="37">
        <v>0.93</v>
      </c>
      <c r="M90" s="37">
        <v>0.89</v>
      </c>
      <c r="N90" s="8">
        <v>0.83</v>
      </c>
    </row>
    <row r="91" spans="2:14" x14ac:dyDescent="0.2">
      <c r="B91" s="28"/>
      <c r="C91" s="19" t="s">
        <v>0</v>
      </c>
      <c r="D91" s="20" t="s">
        <v>27</v>
      </c>
      <c r="E91" s="7">
        <v>0.76</v>
      </c>
      <c r="F91" s="36">
        <v>0.78</v>
      </c>
      <c r="G91" s="7">
        <v>0.81</v>
      </c>
      <c r="H91" s="36">
        <v>0.8</v>
      </c>
      <c r="I91" s="7">
        <v>0.82</v>
      </c>
      <c r="J91" s="36">
        <v>0.89</v>
      </c>
      <c r="K91" s="7">
        <v>0.88</v>
      </c>
      <c r="L91" s="36">
        <v>0.92</v>
      </c>
      <c r="M91" s="36">
        <v>0.91</v>
      </c>
      <c r="N91" s="7">
        <v>0.86</v>
      </c>
    </row>
    <row r="92" spans="2:14" x14ac:dyDescent="0.2">
      <c r="B92" s="28"/>
      <c r="C92" s="28"/>
      <c r="D92" s="20" t="s">
        <v>28</v>
      </c>
      <c r="E92" s="7">
        <v>0.74</v>
      </c>
      <c r="F92" s="36">
        <v>0.71</v>
      </c>
      <c r="G92" s="7">
        <v>0.78</v>
      </c>
      <c r="H92" s="36">
        <v>0.76</v>
      </c>
      <c r="I92" s="7">
        <v>0.76</v>
      </c>
      <c r="J92" s="36">
        <v>0.84</v>
      </c>
      <c r="K92" s="7">
        <v>0.86</v>
      </c>
      <c r="L92" s="36">
        <v>0.91</v>
      </c>
      <c r="M92" s="36">
        <v>0.9</v>
      </c>
      <c r="N92" s="7">
        <v>0.82</v>
      </c>
    </row>
    <row r="93" spans="2:14" x14ac:dyDescent="0.2">
      <c r="B93" s="21"/>
      <c r="C93" s="21"/>
      <c r="D93" s="22" t="s">
        <v>0</v>
      </c>
      <c r="E93" s="8">
        <v>0.75</v>
      </c>
      <c r="F93" s="37">
        <v>0.75</v>
      </c>
      <c r="G93" s="8">
        <v>0.79</v>
      </c>
      <c r="H93" s="37">
        <v>0.78</v>
      </c>
      <c r="I93" s="8">
        <v>0.79</v>
      </c>
      <c r="J93" s="37">
        <v>0.87</v>
      </c>
      <c r="K93" s="8">
        <v>0.87</v>
      </c>
      <c r="L93" s="37">
        <v>0.91</v>
      </c>
      <c r="M93" s="37">
        <v>0.91</v>
      </c>
      <c r="N93" s="8">
        <v>0.84</v>
      </c>
    </row>
    <row r="94" spans="2:14" x14ac:dyDescent="0.2">
      <c r="B94" s="16" t="s">
        <v>0</v>
      </c>
      <c r="C94" s="17" t="s">
        <v>10</v>
      </c>
      <c r="D94" s="20" t="s">
        <v>27</v>
      </c>
      <c r="E94" s="7">
        <v>0.77</v>
      </c>
      <c r="F94" s="36">
        <v>0.74</v>
      </c>
      <c r="G94" s="7">
        <v>0.75</v>
      </c>
      <c r="H94" s="36">
        <v>0.82</v>
      </c>
      <c r="I94" s="7">
        <v>0.78</v>
      </c>
      <c r="J94" s="36">
        <v>0.9</v>
      </c>
      <c r="K94" s="7"/>
      <c r="L94" s="36">
        <v>0.94</v>
      </c>
      <c r="M94" s="36"/>
      <c r="N94" s="7">
        <v>0.76</v>
      </c>
    </row>
    <row r="95" spans="2:14" x14ac:dyDescent="0.2">
      <c r="B95" s="28"/>
      <c r="C95" s="28"/>
      <c r="D95" s="20" t="s">
        <v>28</v>
      </c>
      <c r="E95" s="7">
        <v>0.76</v>
      </c>
      <c r="F95" s="36">
        <v>0.69</v>
      </c>
      <c r="G95" s="7">
        <v>0.74</v>
      </c>
      <c r="H95" s="36">
        <v>0.76</v>
      </c>
      <c r="I95" s="7">
        <v>0.8</v>
      </c>
      <c r="J95" s="36">
        <v>0.9</v>
      </c>
      <c r="K95" s="7"/>
      <c r="L95" s="36">
        <v>0.94</v>
      </c>
      <c r="M95" s="36"/>
      <c r="N95" s="7">
        <v>0.73</v>
      </c>
    </row>
    <row r="96" spans="2:14" x14ac:dyDescent="0.2">
      <c r="B96" s="28"/>
      <c r="C96" s="21"/>
      <c r="D96" s="22" t="s">
        <v>0</v>
      </c>
      <c r="E96" s="8">
        <v>0.77</v>
      </c>
      <c r="F96" s="37">
        <v>0.71</v>
      </c>
      <c r="G96" s="8">
        <v>0.74</v>
      </c>
      <c r="H96" s="37">
        <v>0.8</v>
      </c>
      <c r="I96" s="8">
        <v>0.78</v>
      </c>
      <c r="J96" s="37">
        <v>0.91</v>
      </c>
      <c r="K96" s="8"/>
      <c r="L96" s="37">
        <v>0.95</v>
      </c>
      <c r="M96" s="37"/>
      <c r="N96" s="8">
        <v>0.74</v>
      </c>
    </row>
    <row r="97" spans="2:14" x14ac:dyDescent="0.2">
      <c r="B97" s="28"/>
      <c r="C97" s="17" t="s">
        <v>23</v>
      </c>
      <c r="D97" s="20" t="s">
        <v>27</v>
      </c>
      <c r="E97" s="7">
        <v>0.75</v>
      </c>
      <c r="F97" s="36">
        <v>0.71</v>
      </c>
      <c r="G97" s="7">
        <v>0.78</v>
      </c>
      <c r="H97" s="36">
        <v>0.82</v>
      </c>
      <c r="I97" s="7">
        <v>0.81</v>
      </c>
      <c r="J97" s="36">
        <v>0.89</v>
      </c>
      <c r="K97" s="7">
        <v>1</v>
      </c>
      <c r="L97" s="36">
        <v>0.93</v>
      </c>
      <c r="M97" s="36"/>
      <c r="N97" s="7">
        <v>0.87</v>
      </c>
    </row>
    <row r="98" spans="2:14" x14ac:dyDescent="0.2">
      <c r="B98" s="28"/>
      <c r="C98" s="28"/>
      <c r="D98" s="20" t="s">
        <v>28</v>
      </c>
      <c r="E98" s="7">
        <v>0.74</v>
      </c>
      <c r="F98" s="36">
        <v>0.7</v>
      </c>
      <c r="G98" s="7">
        <v>0.78</v>
      </c>
      <c r="H98" s="36">
        <v>0.77</v>
      </c>
      <c r="I98" s="7">
        <v>0.75</v>
      </c>
      <c r="J98" s="36">
        <v>0.86</v>
      </c>
      <c r="K98" s="7">
        <v>0.5</v>
      </c>
      <c r="L98" s="36">
        <v>0.93</v>
      </c>
      <c r="M98" s="36">
        <v>1</v>
      </c>
      <c r="N98" s="7">
        <v>0.84</v>
      </c>
    </row>
    <row r="99" spans="2:14" x14ac:dyDescent="0.2">
      <c r="B99" s="28"/>
      <c r="C99" s="21"/>
      <c r="D99" s="22" t="s">
        <v>0</v>
      </c>
      <c r="E99" s="8">
        <v>0.74</v>
      </c>
      <c r="F99" s="37">
        <v>0.7</v>
      </c>
      <c r="G99" s="8">
        <v>0.78</v>
      </c>
      <c r="H99" s="37">
        <v>0.8</v>
      </c>
      <c r="I99" s="8">
        <v>0.78</v>
      </c>
      <c r="J99" s="37">
        <v>0.88</v>
      </c>
      <c r="K99" s="8">
        <v>0.93</v>
      </c>
      <c r="L99" s="37">
        <v>0.93</v>
      </c>
      <c r="M99" s="37">
        <v>1</v>
      </c>
      <c r="N99" s="8">
        <v>0.85</v>
      </c>
    </row>
    <row r="100" spans="2:14" x14ac:dyDescent="0.2">
      <c r="B100" s="28"/>
      <c r="C100" s="17" t="s">
        <v>24</v>
      </c>
      <c r="D100" s="20" t="s">
        <v>27</v>
      </c>
      <c r="E100" s="7">
        <v>0.72</v>
      </c>
      <c r="F100" s="36">
        <v>0.72</v>
      </c>
      <c r="G100" s="7">
        <v>0.76</v>
      </c>
      <c r="H100" s="36">
        <v>0.78</v>
      </c>
      <c r="I100" s="7">
        <v>0.82</v>
      </c>
      <c r="J100" s="36">
        <v>0.9</v>
      </c>
      <c r="K100" s="7">
        <v>0.94</v>
      </c>
      <c r="L100" s="36">
        <v>0.95</v>
      </c>
      <c r="M100" s="36">
        <v>0.96</v>
      </c>
      <c r="N100" s="7">
        <v>0.89</v>
      </c>
    </row>
    <row r="101" spans="2:14" x14ac:dyDescent="0.2">
      <c r="B101" s="28"/>
      <c r="C101" s="28"/>
      <c r="D101" s="20" t="s">
        <v>28</v>
      </c>
      <c r="E101" s="7">
        <v>0.8</v>
      </c>
      <c r="F101" s="36">
        <v>0.74</v>
      </c>
      <c r="G101" s="7">
        <v>0.78</v>
      </c>
      <c r="H101" s="36">
        <v>0.8</v>
      </c>
      <c r="I101" s="7">
        <v>0.79</v>
      </c>
      <c r="J101" s="36">
        <v>0.87</v>
      </c>
      <c r="K101" s="7">
        <v>0.9</v>
      </c>
      <c r="L101" s="36">
        <v>0.93</v>
      </c>
      <c r="M101" s="36">
        <v>0.95</v>
      </c>
      <c r="N101" s="7">
        <v>0.87</v>
      </c>
    </row>
    <row r="102" spans="2:14" x14ac:dyDescent="0.2">
      <c r="B102" s="28"/>
      <c r="C102" s="21"/>
      <c r="D102" s="22" t="s">
        <v>0</v>
      </c>
      <c r="E102" s="8">
        <v>0.75</v>
      </c>
      <c r="F102" s="37">
        <v>0.72</v>
      </c>
      <c r="G102" s="8">
        <v>0.77</v>
      </c>
      <c r="H102" s="37">
        <v>0.79</v>
      </c>
      <c r="I102" s="8">
        <v>0.81</v>
      </c>
      <c r="J102" s="37">
        <v>0.89</v>
      </c>
      <c r="K102" s="8">
        <v>0.93</v>
      </c>
      <c r="L102" s="37">
        <v>0.94</v>
      </c>
      <c r="M102" s="37">
        <v>0.96</v>
      </c>
      <c r="N102" s="8">
        <v>0.88</v>
      </c>
    </row>
    <row r="103" spans="2:14" x14ac:dyDescent="0.2">
      <c r="B103" s="28"/>
      <c r="C103" s="17" t="s">
        <v>11</v>
      </c>
      <c r="D103" s="20" t="s">
        <v>27</v>
      </c>
      <c r="E103" s="7">
        <v>0.75</v>
      </c>
      <c r="F103" s="36">
        <v>0.73</v>
      </c>
      <c r="G103" s="7">
        <v>0.74</v>
      </c>
      <c r="H103" s="36">
        <v>0.76</v>
      </c>
      <c r="I103" s="7">
        <v>0.8</v>
      </c>
      <c r="J103" s="36">
        <v>0.88</v>
      </c>
      <c r="K103" s="7">
        <v>0.9</v>
      </c>
      <c r="L103" s="36">
        <v>0.91</v>
      </c>
      <c r="M103" s="36">
        <v>0.91</v>
      </c>
      <c r="N103" s="7">
        <v>0.83</v>
      </c>
    </row>
    <row r="104" spans="2:14" x14ac:dyDescent="0.2">
      <c r="B104" s="28"/>
      <c r="C104" s="28"/>
      <c r="D104" s="20" t="s">
        <v>28</v>
      </c>
      <c r="E104" s="7">
        <v>0.71</v>
      </c>
      <c r="F104" s="36">
        <v>0.71</v>
      </c>
      <c r="G104" s="7">
        <v>0.76</v>
      </c>
      <c r="H104" s="36">
        <v>0.77</v>
      </c>
      <c r="I104" s="7">
        <v>0.8</v>
      </c>
      <c r="J104" s="36">
        <v>0.85</v>
      </c>
      <c r="K104" s="7">
        <v>0.89</v>
      </c>
      <c r="L104" s="36">
        <v>0.9</v>
      </c>
      <c r="M104" s="36">
        <v>0.91</v>
      </c>
      <c r="N104" s="7">
        <v>0.82</v>
      </c>
    </row>
    <row r="105" spans="2:14" x14ac:dyDescent="0.2">
      <c r="B105" s="28"/>
      <c r="C105" s="21"/>
      <c r="D105" s="22" t="s">
        <v>0</v>
      </c>
      <c r="E105" s="8">
        <v>0.74</v>
      </c>
      <c r="F105" s="37">
        <v>0.73</v>
      </c>
      <c r="G105" s="8">
        <v>0.75</v>
      </c>
      <c r="H105" s="37">
        <v>0.76</v>
      </c>
      <c r="I105" s="8">
        <v>0.8</v>
      </c>
      <c r="J105" s="37">
        <v>0.87</v>
      </c>
      <c r="K105" s="8">
        <v>0.9</v>
      </c>
      <c r="L105" s="37">
        <v>0.91</v>
      </c>
      <c r="M105" s="37">
        <v>0.91</v>
      </c>
      <c r="N105" s="8">
        <v>0.83</v>
      </c>
    </row>
    <row r="106" spans="2:14" x14ac:dyDescent="0.2">
      <c r="B106" s="28"/>
      <c r="C106" s="17" t="s">
        <v>12</v>
      </c>
      <c r="D106" s="20" t="s">
        <v>27</v>
      </c>
      <c r="E106" s="7">
        <v>0.79</v>
      </c>
      <c r="F106" s="36">
        <v>0.76</v>
      </c>
      <c r="G106" s="7">
        <v>0.79</v>
      </c>
      <c r="H106" s="36">
        <v>0.78</v>
      </c>
      <c r="I106" s="7">
        <v>0.82</v>
      </c>
      <c r="J106" s="36">
        <v>0.89</v>
      </c>
      <c r="K106" s="7">
        <v>0.91</v>
      </c>
      <c r="L106" s="36">
        <v>0.92</v>
      </c>
      <c r="M106" s="36">
        <v>0.89</v>
      </c>
      <c r="N106" s="7">
        <v>0.83</v>
      </c>
    </row>
    <row r="107" spans="2:14" x14ac:dyDescent="0.2">
      <c r="B107" s="28"/>
      <c r="C107" s="28"/>
      <c r="D107" s="20" t="s">
        <v>28</v>
      </c>
      <c r="E107" s="7">
        <v>0.73</v>
      </c>
      <c r="F107" s="36">
        <v>0.72</v>
      </c>
      <c r="G107" s="7">
        <v>0.77</v>
      </c>
      <c r="H107" s="36">
        <v>0.76</v>
      </c>
      <c r="I107" s="7">
        <v>0.79</v>
      </c>
      <c r="J107" s="36">
        <v>0.85</v>
      </c>
      <c r="K107" s="7">
        <v>0.85</v>
      </c>
      <c r="L107" s="36">
        <v>0.89</v>
      </c>
      <c r="M107" s="36">
        <v>0.89</v>
      </c>
      <c r="N107" s="7">
        <v>0.79</v>
      </c>
    </row>
    <row r="108" spans="2:14" x14ac:dyDescent="0.2">
      <c r="B108" s="28"/>
      <c r="C108" s="21"/>
      <c r="D108" s="22" t="s">
        <v>0</v>
      </c>
      <c r="E108" s="8">
        <v>0.77</v>
      </c>
      <c r="F108" s="37">
        <v>0.75</v>
      </c>
      <c r="G108" s="8">
        <v>0.78</v>
      </c>
      <c r="H108" s="37">
        <v>0.77</v>
      </c>
      <c r="I108" s="8">
        <v>0.81</v>
      </c>
      <c r="J108" s="37">
        <v>0.88</v>
      </c>
      <c r="K108" s="8">
        <v>0.89</v>
      </c>
      <c r="L108" s="37">
        <v>0.91</v>
      </c>
      <c r="M108" s="37">
        <v>0.89</v>
      </c>
      <c r="N108" s="8">
        <v>0.82</v>
      </c>
    </row>
    <row r="109" spans="2:14" x14ac:dyDescent="0.2">
      <c r="B109" s="28"/>
      <c r="C109" s="19" t="s">
        <v>0</v>
      </c>
      <c r="D109" s="20" t="s">
        <v>27</v>
      </c>
      <c r="E109" s="7">
        <v>0.77</v>
      </c>
      <c r="F109" s="36">
        <v>0.74</v>
      </c>
      <c r="G109" s="7">
        <v>0.77</v>
      </c>
      <c r="H109" s="36">
        <v>0.78</v>
      </c>
      <c r="I109" s="7">
        <v>0.81</v>
      </c>
      <c r="J109" s="36">
        <v>0.9</v>
      </c>
      <c r="K109" s="7">
        <v>0.91</v>
      </c>
      <c r="L109" s="36">
        <v>0.93</v>
      </c>
      <c r="M109" s="36">
        <v>0.92</v>
      </c>
      <c r="N109" s="7">
        <v>0.86</v>
      </c>
    </row>
    <row r="110" spans="2:14" x14ac:dyDescent="0.2">
      <c r="B110" s="28"/>
      <c r="C110" s="28"/>
      <c r="D110" s="20" t="s">
        <v>28</v>
      </c>
      <c r="E110" s="7">
        <v>0.74</v>
      </c>
      <c r="F110" s="36">
        <v>0.71</v>
      </c>
      <c r="G110" s="7">
        <v>0.77</v>
      </c>
      <c r="H110" s="36">
        <v>0.77</v>
      </c>
      <c r="I110" s="7">
        <v>0.79</v>
      </c>
      <c r="J110" s="36">
        <v>0.86</v>
      </c>
      <c r="K110" s="7">
        <v>0.88</v>
      </c>
      <c r="L110" s="36">
        <v>0.92</v>
      </c>
      <c r="M110" s="36">
        <v>0.91</v>
      </c>
      <c r="N110" s="7">
        <v>0.84</v>
      </c>
    </row>
    <row r="111" spans="2:14" x14ac:dyDescent="0.2">
      <c r="B111" s="21"/>
      <c r="C111" s="21"/>
      <c r="D111" s="22" t="s">
        <v>0</v>
      </c>
      <c r="E111" s="8">
        <v>0.76</v>
      </c>
      <c r="F111" s="37">
        <v>0.72</v>
      </c>
      <c r="G111" s="8">
        <v>0.77</v>
      </c>
      <c r="H111" s="37">
        <v>0.78</v>
      </c>
      <c r="I111" s="8">
        <v>0.8</v>
      </c>
      <c r="J111" s="37">
        <v>0.88</v>
      </c>
      <c r="K111" s="8">
        <v>0.9</v>
      </c>
      <c r="L111" s="37">
        <v>0.93</v>
      </c>
      <c r="M111" s="37">
        <v>0.92</v>
      </c>
      <c r="N111" s="8">
        <v>0.85</v>
      </c>
    </row>
    <row r="112" spans="2:14" x14ac:dyDescent="0.2">
      <c r="B112" s="78"/>
    </row>
    <row r="113" spans="1:14" x14ac:dyDescent="0.2">
      <c r="B113" s="5" t="s">
        <v>25</v>
      </c>
      <c r="D113" s="26"/>
      <c r="E113" s="3"/>
      <c r="F113" s="3"/>
      <c r="G113" s="3"/>
      <c r="H113" s="3"/>
      <c r="I113" s="3"/>
      <c r="J113" s="3"/>
      <c r="K113" s="26"/>
      <c r="L113" s="26"/>
      <c r="M113" s="26"/>
      <c r="N113" s="3"/>
    </row>
    <row r="114" spans="1:14" x14ac:dyDescent="0.2">
      <c r="A114" s="3">
        <v>1</v>
      </c>
      <c r="B114" s="5" t="s">
        <v>124</v>
      </c>
      <c r="D114" s="26"/>
      <c r="E114" s="3"/>
      <c r="F114" s="3"/>
      <c r="G114" s="3"/>
      <c r="H114" s="3"/>
      <c r="I114" s="3"/>
      <c r="J114" s="3"/>
      <c r="K114" s="26"/>
      <c r="L114" s="26"/>
      <c r="M114" s="26"/>
      <c r="N114" s="3"/>
    </row>
    <row r="115" spans="1:14" x14ac:dyDescent="0.2">
      <c r="A115" s="3">
        <v>2</v>
      </c>
      <c r="B115" s="5" t="s">
        <v>119</v>
      </c>
      <c r="D115" s="26"/>
      <c r="E115" s="3"/>
      <c r="F115" s="3"/>
      <c r="G115" s="3"/>
      <c r="H115" s="3"/>
      <c r="I115" s="3"/>
      <c r="J115" s="3"/>
      <c r="K115" s="26"/>
      <c r="L115" s="26"/>
      <c r="M115" s="26"/>
      <c r="N115" s="3"/>
    </row>
    <row r="116" spans="1:14" x14ac:dyDescent="0.2">
      <c r="A116" s="3">
        <v>3</v>
      </c>
      <c r="B116" s="17" t="s">
        <v>133</v>
      </c>
      <c r="D116" s="26"/>
      <c r="E116" s="3"/>
      <c r="F116" s="3"/>
      <c r="G116" s="3"/>
      <c r="H116" s="3"/>
      <c r="I116" s="3"/>
      <c r="J116" s="3"/>
      <c r="K116" s="26"/>
      <c r="L116" s="26"/>
      <c r="M116" s="26"/>
      <c r="N116" s="3"/>
    </row>
    <row r="117" spans="1:14" x14ac:dyDescent="0.2">
      <c r="A117" s="69">
        <v>4</v>
      </c>
      <c r="B117" s="94" t="s">
        <v>132</v>
      </c>
    </row>
    <row r="118" spans="1:14" x14ac:dyDescent="0.2">
      <c r="A118" s="69">
        <v>5</v>
      </c>
      <c r="B118" s="17" t="s">
        <v>137</v>
      </c>
    </row>
    <row r="119" spans="1:14" x14ac:dyDescent="0.2">
      <c r="A119" s="69">
        <v>6</v>
      </c>
      <c r="B119" s="5" t="s">
        <v>120</v>
      </c>
    </row>
  </sheetData>
  <phoneticPr fontId="2" type="noConversion"/>
  <pageMargins left="0.42" right="0.32" top="0.5" bottom="0.46" header="0.5" footer="0.48"/>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Q39"/>
  <sheetViews>
    <sheetView zoomScale="80" workbookViewId="0">
      <pane ySplit="3" topLeftCell="A4" activePane="bottomLeft" state="frozen"/>
      <selection pane="bottomLeft" activeCell="A4" sqref="A4"/>
    </sheetView>
  </sheetViews>
  <sheetFormatPr defaultColWidth="9.140625" defaultRowHeight="12.75" x14ac:dyDescent="0.2"/>
  <cols>
    <col min="1" max="1" width="3" style="3" customWidth="1"/>
    <col min="2" max="2" width="25" style="5" customWidth="1"/>
    <col min="3" max="3" width="14" style="5" customWidth="1"/>
    <col min="4" max="9" width="14.7109375" style="26" customWidth="1"/>
    <col min="10" max="12" width="14.7109375" style="3" customWidth="1"/>
    <col min="13" max="13" width="14.7109375" style="26" customWidth="1"/>
    <col min="14" max="16384" width="9.140625" style="3"/>
  </cols>
  <sheetData>
    <row r="1" spans="2:17" s="1" customFormat="1" ht="15.75" x14ac:dyDescent="0.25">
      <c r="B1" s="15" t="s">
        <v>140</v>
      </c>
      <c r="C1" s="14"/>
      <c r="D1" s="23"/>
      <c r="E1" s="23"/>
      <c r="F1" s="23"/>
      <c r="G1" s="23"/>
      <c r="H1" s="23"/>
      <c r="I1" s="23"/>
      <c r="K1" s="70"/>
      <c r="L1" s="74"/>
      <c r="M1" s="76"/>
    </row>
    <row r="2" spans="2:17" s="1" customFormat="1" x14ac:dyDescent="0.2">
      <c r="B2" s="14"/>
      <c r="C2" s="14"/>
      <c r="D2" s="23"/>
      <c r="E2" s="23"/>
      <c r="F2" s="23"/>
      <c r="G2" s="23"/>
      <c r="H2" s="23"/>
      <c r="I2" s="23"/>
      <c r="M2" s="23"/>
    </row>
    <row r="3" spans="2:17" s="4" customFormat="1" ht="44.25" customHeight="1" x14ac:dyDescent="0.2">
      <c r="B3" s="30" t="s">
        <v>22</v>
      </c>
      <c r="C3" s="30" t="s">
        <v>6</v>
      </c>
      <c r="D3" s="32" t="s">
        <v>34</v>
      </c>
      <c r="E3" s="32" t="s">
        <v>35</v>
      </c>
      <c r="F3" s="32" t="s">
        <v>36</v>
      </c>
      <c r="G3" s="32" t="s">
        <v>26</v>
      </c>
      <c r="H3" s="32" t="s">
        <v>125</v>
      </c>
      <c r="I3" s="32" t="s">
        <v>128</v>
      </c>
      <c r="J3" s="32" t="s">
        <v>129</v>
      </c>
      <c r="K3" s="32" t="s">
        <v>130</v>
      </c>
      <c r="L3" s="63" t="s">
        <v>131</v>
      </c>
      <c r="M3" s="61" t="s">
        <v>0</v>
      </c>
    </row>
    <row r="4" spans="2:17" s="4" customFormat="1" x14ac:dyDescent="0.2">
      <c r="B4" s="109" t="s">
        <v>29</v>
      </c>
      <c r="C4" s="5" t="s">
        <v>7</v>
      </c>
      <c r="D4" s="24"/>
      <c r="E4" s="24"/>
      <c r="F4" s="24">
        <v>0.82</v>
      </c>
      <c r="G4" s="24">
        <v>0.78</v>
      </c>
      <c r="H4" s="24">
        <v>0.84</v>
      </c>
      <c r="I4" s="24">
        <v>0.9</v>
      </c>
      <c r="J4" s="24">
        <v>0.93</v>
      </c>
      <c r="K4" s="24">
        <v>0.94</v>
      </c>
      <c r="L4" s="36">
        <v>0.94</v>
      </c>
      <c r="M4" s="7">
        <v>0.91</v>
      </c>
    </row>
    <row r="5" spans="2:17" x14ac:dyDescent="0.2">
      <c r="B5" s="109"/>
      <c r="C5" s="5" t="s">
        <v>8</v>
      </c>
      <c r="D5" s="24"/>
      <c r="E5" s="24"/>
      <c r="F5" s="24"/>
      <c r="G5" s="24">
        <v>0.74</v>
      </c>
      <c r="H5" s="24">
        <v>0.82</v>
      </c>
      <c r="I5" s="24">
        <v>0.84</v>
      </c>
      <c r="J5" s="24">
        <v>0.89</v>
      </c>
      <c r="K5" s="24">
        <v>0.9</v>
      </c>
      <c r="L5" s="36">
        <v>0.9</v>
      </c>
      <c r="M5" s="7">
        <v>0.85</v>
      </c>
      <c r="P5" s="69"/>
      <c r="Q5" s="69"/>
    </row>
    <row r="6" spans="2:17" x14ac:dyDescent="0.2">
      <c r="B6" s="109"/>
      <c r="C6" s="5" t="s">
        <v>123</v>
      </c>
      <c r="D6" s="24"/>
      <c r="E6" s="24"/>
      <c r="F6" s="24">
        <v>0.53</v>
      </c>
      <c r="G6" s="24">
        <v>0.64</v>
      </c>
      <c r="H6" s="24">
        <v>0.6</v>
      </c>
      <c r="I6" s="24">
        <v>0.75</v>
      </c>
      <c r="J6" s="24">
        <v>0.87</v>
      </c>
      <c r="K6" s="24">
        <v>0.83</v>
      </c>
      <c r="L6" s="36">
        <v>0.86</v>
      </c>
      <c r="M6" s="7">
        <v>0.76</v>
      </c>
      <c r="P6" s="69"/>
      <c r="Q6" s="69"/>
    </row>
    <row r="7" spans="2:17" x14ac:dyDescent="0.2">
      <c r="B7" s="109"/>
      <c r="C7" s="5" t="s">
        <v>9</v>
      </c>
      <c r="D7" s="24"/>
      <c r="E7" s="24"/>
      <c r="F7" s="24">
        <v>0.85</v>
      </c>
      <c r="G7" s="24">
        <v>0.77</v>
      </c>
      <c r="H7" s="24">
        <v>0.81</v>
      </c>
      <c r="I7" s="24">
        <v>0.89</v>
      </c>
      <c r="J7" s="24">
        <v>0.93</v>
      </c>
      <c r="K7" s="24">
        <v>0.93</v>
      </c>
      <c r="L7" s="36">
        <v>0.92</v>
      </c>
      <c r="M7" s="7">
        <v>0.9</v>
      </c>
      <c r="P7" s="69"/>
      <c r="Q7" s="69"/>
    </row>
    <row r="8" spans="2:17" x14ac:dyDescent="0.2">
      <c r="B8" s="109"/>
      <c r="C8" s="5" t="s">
        <v>13</v>
      </c>
      <c r="D8" s="24"/>
      <c r="E8" s="24"/>
      <c r="F8" s="24">
        <v>0.67</v>
      </c>
      <c r="G8" s="24">
        <v>0.77</v>
      </c>
      <c r="H8" s="24">
        <v>0.74</v>
      </c>
      <c r="I8" s="24">
        <v>0.87</v>
      </c>
      <c r="J8" s="24">
        <v>0.88</v>
      </c>
      <c r="K8" s="24">
        <v>0.91</v>
      </c>
      <c r="L8" s="36">
        <v>0.93</v>
      </c>
      <c r="M8" s="7">
        <v>0.87</v>
      </c>
      <c r="P8" s="69"/>
      <c r="Q8" s="69"/>
    </row>
    <row r="9" spans="2:17" x14ac:dyDescent="0.2">
      <c r="B9" s="110"/>
      <c r="C9" s="6" t="s">
        <v>0</v>
      </c>
      <c r="D9" s="25"/>
      <c r="E9" s="25"/>
      <c r="F9" s="25">
        <v>0.84</v>
      </c>
      <c r="G9" s="25">
        <v>0.74</v>
      </c>
      <c r="H9" s="25">
        <v>0.8</v>
      </c>
      <c r="I9" s="25">
        <v>0.88</v>
      </c>
      <c r="J9" s="25">
        <v>0.92</v>
      </c>
      <c r="K9" s="25">
        <v>0.93</v>
      </c>
      <c r="L9" s="37">
        <v>0.93</v>
      </c>
      <c r="M9" s="8">
        <v>0.89</v>
      </c>
    </row>
    <row r="10" spans="2:17" x14ac:dyDescent="0.2">
      <c r="B10" s="112" t="s">
        <v>134</v>
      </c>
      <c r="C10" s="5" t="s">
        <v>7</v>
      </c>
      <c r="D10" s="24">
        <v>0.78</v>
      </c>
      <c r="E10" s="24">
        <v>0.72</v>
      </c>
      <c r="F10" s="24">
        <v>0.79</v>
      </c>
      <c r="G10" s="24">
        <v>0.83</v>
      </c>
      <c r="H10" s="24">
        <v>0.84</v>
      </c>
      <c r="I10" s="24">
        <v>0.92</v>
      </c>
      <c r="J10" s="24">
        <v>0.85</v>
      </c>
      <c r="K10" s="24">
        <v>0.91</v>
      </c>
      <c r="L10" s="36">
        <v>0.79</v>
      </c>
      <c r="M10" s="7">
        <v>0.84</v>
      </c>
    </row>
    <row r="11" spans="2:17" x14ac:dyDescent="0.2">
      <c r="B11" s="113"/>
      <c r="C11" s="5" t="s">
        <v>8</v>
      </c>
      <c r="D11" s="24">
        <v>0.68</v>
      </c>
      <c r="E11" s="24">
        <v>0.68</v>
      </c>
      <c r="F11" s="24">
        <v>0.7</v>
      </c>
      <c r="G11" s="24">
        <v>0.75</v>
      </c>
      <c r="H11" s="24">
        <v>0.75</v>
      </c>
      <c r="I11" s="24">
        <v>0.88</v>
      </c>
      <c r="J11" s="24">
        <v>0.77</v>
      </c>
      <c r="K11" s="24">
        <v>0.92</v>
      </c>
      <c r="L11" s="36">
        <v>0.61</v>
      </c>
      <c r="M11" s="7">
        <v>0.76</v>
      </c>
    </row>
    <row r="12" spans="2:17" x14ac:dyDescent="0.2">
      <c r="B12" s="113"/>
      <c r="C12" s="5" t="s">
        <v>123</v>
      </c>
      <c r="D12" s="24">
        <v>0.66</v>
      </c>
      <c r="E12" s="24">
        <v>0.69</v>
      </c>
      <c r="F12" s="24">
        <v>0.66</v>
      </c>
      <c r="G12" s="24">
        <v>0.71</v>
      </c>
      <c r="H12" s="24">
        <v>0.7</v>
      </c>
      <c r="I12" s="24">
        <v>0.86</v>
      </c>
      <c r="J12" s="24">
        <v>0.88</v>
      </c>
      <c r="K12" s="24">
        <v>0.9</v>
      </c>
      <c r="L12" s="36">
        <v>0.44</v>
      </c>
      <c r="M12" s="7">
        <v>0.75</v>
      </c>
    </row>
    <row r="13" spans="2:17" x14ac:dyDescent="0.2">
      <c r="B13" s="113"/>
      <c r="C13" s="5" t="s">
        <v>9</v>
      </c>
      <c r="D13" s="24">
        <v>0.83</v>
      </c>
      <c r="E13" s="24">
        <v>0.77</v>
      </c>
      <c r="F13" s="24">
        <v>0.81</v>
      </c>
      <c r="G13" s="24">
        <v>0.84</v>
      </c>
      <c r="H13" s="24">
        <v>0.84</v>
      </c>
      <c r="I13" s="24">
        <v>0.92</v>
      </c>
      <c r="J13" s="24">
        <v>0.86</v>
      </c>
      <c r="K13" s="24">
        <v>0.9</v>
      </c>
      <c r="L13" s="36">
        <v>0.77</v>
      </c>
      <c r="M13" s="7">
        <v>0.86</v>
      </c>
    </row>
    <row r="14" spans="2:17" x14ac:dyDescent="0.2">
      <c r="B14" s="113"/>
      <c r="C14" s="5" t="s">
        <v>13</v>
      </c>
      <c r="D14" s="24">
        <v>0.67</v>
      </c>
      <c r="E14" s="24">
        <v>0.72</v>
      </c>
      <c r="F14" s="24">
        <v>0.79</v>
      </c>
      <c r="G14" s="24">
        <v>0.79</v>
      </c>
      <c r="H14" s="24">
        <v>0.8</v>
      </c>
      <c r="I14" s="24">
        <v>0.9</v>
      </c>
      <c r="J14" s="24">
        <v>0.85</v>
      </c>
      <c r="K14" s="24">
        <v>0.91</v>
      </c>
      <c r="L14" s="36">
        <v>0.75</v>
      </c>
      <c r="M14" s="7">
        <v>0.81</v>
      </c>
    </row>
    <row r="15" spans="2:17" x14ac:dyDescent="0.2">
      <c r="B15" s="114"/>
      <c r="C15" s="6" t="s">
        <v>0</v>
      </c>
      <c r="D15" s="25">
        <v>0.75</v>
      </c>
      <c r="E15" s="25">
        <v>0.71</v>
      </c>
      <c r="F15" s="25">
        <v>0.76</v>
      </c>
      <c r="G15" s="25">
        <v>0.81</v>
      </c>
      <c r="H15" s="25">
        <v>0.82</v>
      </c>
      <c r="I15" s="25">
        <v>0.91</v>
      </c>
      <c r="J15" s="25">
        <v>0.85</v>
      </c>
      <c r="K15" s="25">
        <v>0.91</v>
      </c>
      <c r="L15" s="37">
        <v>0.73</v>
      </c>
      <c r="M15" s="8">
        <v>0.82</v>
      </c>
    </row>
    <row r="16" spans="2:17" x14ac:dyDescent="0.2">
      <c r="B16" s="108" t="s">
        <v>1</v>
      </c>
      <c r="C16" s="5" t="s">
        <v>7</v>
      </c>
      <c r="D16" s="24">
        <v>0.78</v>
      </c>
      <c r="E16" s="24">
        <v>0.73</v>
      </c>
      <c r="F16" s="24">
        <v>0.79</v>
      </c>
      <c r="G16" s="24">
        <v>0.72</v>
      </c>
      <c r="H16" s="24">
        <v>0.79</v>
      </c>
      <c r="I16" s="24">
        <v>0.87</v>
      </c>
      <c r="J16" s="24"/>
      <c r="K16" s="24">
        <v>0.91</v>
      </c>
      <c r="L16" s="36">
        <v>0.86</v>
      </c>
      <c r="M16" s="7">
        <v>0.76</v>
      </c>
    </row>
    <row r="17" spans="2:13" x14ac:dyDescent="0.2">
      <c r="B17" s="109"/>
      <c r="C17" s="5" t="s">
        <v>8</v>
      </c>
      <c r="D17" s="24">
        <v>0.72</v>
      </c>
      <c r="E17" s="24">
        <v>0.64</v>
      </c>
      <c r="F17" s="24">
        <v>0.69</v>
      </c>
      <c r="G17" s="24">
        <v>0.64</v>
      </c>
      <c r="H17" s="24">
        <v>0.72</v>
      </c>
      <c r="I17" s="24">
        <v>0.82</v>
      </c>
      <c r="J17" s="24"/>
      <c r="K17" s="24">
        <v>0.82</v>
      </c>
      <c r="L17" s="36">
        <v>0.8</v>
      </c>
      <c r="M17" s="7">
        <v>0.69</v>
      </c>
    </row>
    <row r="18" spans="2:13" x14ac:dyDescent="0.2">
      <c r="B18" s="109"/>
      <c r="C18" s="5" t="s">
        <v>123</v>
      </c>
      <c r="D18" s="24">
        <v>0.72</v>
      </c>
      <c r="E18" s="24">
        <v>0.63</v>
      </c>
      <c r="F18" s="24">
        <v>0.7</v>
      </c>
      <c r="G18" s="24">
        <v>0.68</v>
      </c>
      <c r="H18" s="24">
        <v>0.71</v>
      </c>
      <c r="I18" s="24">
        <v>0.86</v>
      </c>
      <c r="J18" s="24"/>
      <c r="K18" s="24">
        <v>0.85</v>
      </c>
      <c r="L18" s="36">
        <v>0.74</v>
      </c>
      <c r="M18" s="7">
        <v>0.71</v>
      </c>
    </row>
    <row r="19" spans="2:13" x14ac:dyDescent="0.2">
      <c r="B19" s="109"/>
      <c r="C19" s="5" t="s">
        <v>9</v>
      </c>
      <c r="D19" s="24">
        <v>0.85</v>
      </c>
      <c r="E19" s="24">
        <v>0.81</v>
      </c>
      <c r="F19" s="24">
        <v>0.84</v>
      </c>
      <c r="G19" s="24">
        <v>0.8</v>
      </c>
      <c r="H19" s="24">
        <v>0.79</v>
      </c>
      <c r="I19" s="24">
        <v>0.95</v>
      </c>
      <c r="J19" s="24"/>
      <c r="K19" s="24">
        <v>0.84</v>
      </c>
      <c r="L19" s="36">
        <v>1</v>
      </c>
      <c r="M19" s="7">
        <v>0.83</v>
      </c>
    </row>
    <row r="20" spans="2:13" x14ac:dyDescent="0.2">
      <c r="B20" s="109"/>
      <c r="C20" s="5" t="s">
        <v>13</v>
      </c>
      <c r="D20" s="24">
        <v>0.78</v>
      </c>
      <c r="E20" s="24">
        <v>0.75</v>
      </c>
      <c r="F20" s="24">
        <v>0.8</v>
      </c>
      <c r="G20" s="24">
        <v>0.74</v>
      </c>
      <c r="H20" s="24">
        <v>0.7</v>
      </c>
      <c r="I20" s="24">
        <v>0.84</v>
      </c>
      <c r="J20" s="24"/>
      <c r="K20" s="24">
        <v>0.92</v>
      </c>
      <c r="L20" s="36">
        <v>0.74</v>
      </c>
      <c r="M20" s="7">
        <v>0.76</v>
      </c>
    </row>
    <row r="21" spans="2:13" x14ac:dyDescent="0.2">
      <c r="B21" s="110"/>
      <c r="C21" s="6" t="s">
        <v>0</v>
      </c>
      <c r="D21" s="25">
        <v>0.75</v>
      </c>
      <c r="E21" s="25">
        <v>0.69</v>
      </c>
      <c r="F21" s="25">
        <v>0.75</v>
      </c>
      <c r="G21" s="25">
        <v>0.69</v>
      </c>
      <c r="H21" s="25">
        <v>0.74</v>
      </c>
      <c r="I21" s="25">
        <v>0.84</v>
      </c>
      <c r="J21" s="25"/>
      <c r="K21" s="25">
        <v>0.85</v>
      </c>
      <c r="L21" s="37">
        <v>0.78</v>
      </c>
      <c r="M21" s="8">
        <v>0.73</v>
      </c>
    </row>
    <row r="22" spans="2:13" ht="12.75" customHeight="1" x14ac:dyDescent="0.2">
      <c r="B22" s="112" t="s">
        <v>136</v>
      </c>
      <c r="C22" s="5" t="s">
        <v>7</v>
      </c>
      <c r="D22" s="24">
        <v>0.78</v>
      </c>
      <c r="E22" s="24">
        <v>0.78</v>
      </c>
      <c r="F22" s="24">
        <v>0.8</v>
      </c>
      <c r="G22" s="24">
        <v>0.84</v>
      </c>
      <c r="H22" s="24">
        <v>0.84</v>
      </c>
      <c r="I22" s="24">
        <v>0.87</v>
      </c>
      <c r="J22" s="24">
        <v>0.95</v>
      </c>
      <c r="K22" s="24">
        <v>0.9</v>
      </c>
      <c r="L22" s="36">
        <v>0.88</v>
      </c>
      <c r="M22" s="7">
        <v>0.83</v>
      </c>
    </row>
    <row r="23" spans="2:13" x14ac:dyDescent="0.2">
      <c r="B23" s="113"/>
      <c r="C23" s="5" t="s">
        <v>8</v>
      </c>
      <c r="D23" s="24">
        <v>0.77</v>
      </c>
      <c r="E23" s="24">
        <v>0.75</v>
      </c>
      <c r="F23" s="24">
        <v>0.75</v>
      </c>
      <c r="G23" s="24">
        <v>0.77</v>
      </c>
      <c r="H23" s="24">
        <v>0.79</v>
      </c>
      <c r="I23" s="24">
        <v>0.84</v>
      </c>
      <c r="J23" s="24">
        <v>0.88</v>
      </c>
      <c r="K23" s="24">
        <v>0.87</v>
      </c>
      <c r="L23" s="36">
        <v>0.75</v>
      </c>
      <c r="M23" s="7">
        <v>0.77</v>
      </c>
    </row>
    <row r="24" spans="2:13" x14ac:dyDescent="0.2">
      <c r="B24" s="113"/>
      <c r="C24" s="5" t="s">
        <v>123</v>
      </c>
      <c r="D24" s="24">
        <v>0.7</v>
      </c>
      <c r="E24" s="24">
        <v>0.75</v>
      </c>
      <c r="F24" s="24">
        <v>0.77</v>
      </c>
      <c r="G24" s="24">
        <v>0.78</v>
      </c>
      <c r="H24" s="24">
        <v>0.75</v>
      </c>
      <c r="I24" s="24">
        <v>0.81</v>
      </c>
      <c r="J24" s="24">
        <v>0.83</v>
      </c>
      <c r="K24" s="24">
        <v>0.86</v>
      </c>
      <c r="L24" s="36">
        <v>0.89</v>
      </c>
      <c r="M24" s="7">
        <v>0.77</v>
      </c>
    </row>
    <row r="25" spans="2:13" x14ac:dyDescent="0.2">
      <c r="B25" s="113"/>
      <c r="C25" s="5" t="s">
        <v>9</v>
      </c>
      <c r="D25" s="24">
        <v>0.81</v>
      </c>
      <c r="E25" s="24">
        <v>0.84</v>
      </c>
      <c r="F25" s="24">
        <v>0.84</v>
      </c>
      <c r="G25" s="24">
        <v>0.86</v>
      </c>
      <c r="H25" s="24">
        <v>0.8</v>
      </c>
      <c r="I25" s="24">
        <v>0.86</v>
      </c>
      <c r="J25" s="24">
        <v>0.9</v>
      </c>
      <c r="K25" s="24">
        <v>0.85</v>
      </c>
      <c r="L25" s="36">
        <v>0.85</v>
      </c>
      <c r="M25" s="7">
        <v>0.84</v>
      </c>
    </row>
    <row r="26" spans="2:13" x14ac:dyDescent="0.2">
      <c r="B26" s="113"/>
      <c r="C26" s="5" t="s">
        <v>13</v>
      </c>
      <c r="D26" s="24">
        <v>0.85</v>
      </c>
      <c r="E26" s="24">
        <v>0.82</v>
      </c>
      <c r="F26" s="24">
        <v>0.81</v>
      </c>
      <c r="G26" s="24">
        <v>0.8</v>
      </c>
      <c r="H26" s="24">
        <v>0.82</v>
      </c>
      <c r="I26" s="24">
        <v>0.85</v>
      </c>
      <c r="J26" s="24">
        <v>0.89</v>
      </c>
      <c r="K26" s="24">
        <v>0.99</v>
      </c>
      <c r="L26" s="36">
        <v>0.88</v>
      </c>
      <c r="M26" s="7">
        <v>0.83</v>
      </c>
    </row>
    <row r="27" spans="2:13" x14ac:dyDescent="0.2">
      <c r="B27" s="114"/>
      <c r="C27" s="6" t="s">
        <v>0</v>
      </c>
      <c r="D27" s="25">
        <v>0.78</v>
      </c>
      <c r="E27" s="25">
        <v>0.77</v>
      </c>
      <c r="F27" s="25">
        <v>0.79</v>
      </c>
      <c r="G27" s="25">
        <v>0.82</v>
      </c>
      <c r="H27" s="25">
        <v>0.81</v>
      </c>
      <c r="I27" s="25">
        <v>0.86</v>
      </c>
      <c r="J27" s="25">
        <v>0.91</v>
      </c>
      <c r="K27" s="25">
        <v>0.9</v>
      </c>
      <c r="L27" s="37">
        <v>0.85</v>
      </c>
      <c r="M27" s="8">
        <v>0.81</v>
      </c>
    </row>
    <row r="28" spans="2:13" x14ac:dyDescent="0.2">
      <c r="B28" s="108" t="s">
        <v>2</v>
      </c>
      <c r="C28" s="5" t="s">
        <v>7</v>
      </c>
      <c r="D28" s="24">
        <v>0.78</v>
      </c>
      <c r="E28" s="24">
        <v>0.74</v>
      </c>
      <c r="F28" s="24">
        <v>0.79</v>
      </c>
      <c r="G28" s="24">
        <v>0.81</v>
      </c>
      <c r="H28" s="24">
        <v>0.83</v>
      </c>
      <c r="I28" s="24">
        <v>0.9</v>
      </c>
      <c r="J28" s="24">
        <v>0.92</v>
      </c>
      <c r="K28" s="24">
        <v>0.94</v>
      </c>
      <c r="L28" s="36">
        <v>0.94</v>
      </c>
      <c r="M28" s="7">
        <v>0.88</v>
      </c>
    </row>
    <row r="29" spans="2:13" x14ac:dyDescent="0.2">
      <c r="B29" s="109"/>
      <c r="C29" s="5" t="s">
        <v>8</v>
      </c>
      <c r="D29" s="24">
        <v>0.73</v>
      </c>
      <c r="E29" s="24">
        <v>0.69</v>
      </c>
      <c r="F29" s="24">
        <v>0.71</v>
      </c>
      <c r="G29" s="24">
        <v>0.7</v>
      </c>
      <c r="H29" s="24">
        <v>0.75</v>
      </c>
      <c r="I29" s="24">
        <v>0.85</v>
      </c>
      <c r="J29" s="24">
        <v>0.86</v>
      </c>
      <c r="K29" s="24">
        <v>0.89</v>
      </c>
      <c r="L29" s="36">
        <v>0.86</v>
      </c>
      <c r="M29" s="7">
        <v>0.77</v>
      </c>
    </row>
    <row r="30" spans="2:13" x14ac:dyDescent="0.2">
      <c r="B30" s="109"/>
      <c r="C30" s="5" t="s">
        <v>123</v>
      </c>
      <c r="D30" s="24">
        <v>0.71</v>
      </c>
      <c r="E30" s="24">
        <v>0.71</v>
      </c>
      <c r="F30" s="24">
        <v>0.71</v>
      </c>
      <c r="G30" s="24">
        <v>0.72</v>
      </c>
      <c r="H30" s="24">
        <v>0.7</v>
      </c>
      <c r="I30" s="24">
        <v>0.78</v>
      </c>
      <c r="J30" s="24">
        <v>0.87</v>
      </c>
      <c r="K30" s="24">
        <v>0.83</v>
      </c>
      <c r="L30" s="36">
        <v>0.83</v>
      </c>
      <c r="M30" s="7">
        <v>0.75</v>
      </c>
    </row>
    <row r="31" spans="2:13" x14ac:dyDescent="0.2">
      <c r="B31" s="109"/>
      <c r="C31" s="5" t="s">
        <v>9</v>
      </c>
      <c r="D31" s="24">
        <v>0.83</v>
      </c>
      <c r="E31" s="24">
        <v>0.81</v>
      </c>
      <c r="F31" s="24">
        <v>0.83</v>
      </c>
      <c r="G31" s="24">
        <v>0.83</v>
      </c>
      <c r="H31" s="24">
        <v>0.82</v>
      </c>
      <c r="I31" s="24">
        <v>0.89</v>
      </c>
      <c r="J31" s="24">
        <v>0.9</v>
      </c>
      <c r="K31" s="24">
        <v>0.93</v>
      </c>
      <c r="L31" s="36">
        <v>0.92</v>
      </c>
      <c r="M31" s="7">
        <v>0.88</v>
      </c>
    </row>
    <row r="32" spans="2:13" x14ac:dyDescent="0.2">
      <c r="B32" s="109"/>
      <c r="C32" s="5" t="s">
        <v>13</v>
      </c>
      <c r="D32" s="24">
        <v>0.75</v>
      </c>
      <c r="E32" s="24">
        <v>0.75</v>
      </c>
      <c r="F32" s="24">
        <v>0.79</v>
      </c>
      <c r="G32" s="24">
        <v>0.78</v>
      </c>
      <c r="H32" s="24">
        <v>0.79</v>
      </c>
      <c r="I32" s="24">
        <v>0.87</v>
      </c>
      <c r="J32" s="24">
        <v>0.87</v>
      </c>
      <c r="K32" s="24">
        <v>0.91</v>
      </c>
      <c r="L32" s="36">
        <v>0.91</v>
      </c>
      <c r="M32" s="7">
        <v>0.84</v>
      </c>
    </row>
    <row r="33" spans="1:13" x14ac:dyDescent="0.2">
      <c r="B33" s="110"/>
      <c r="C33" s="6" t="s">
        <v>0</v>
      </c>
      <c r="D33" s="25">
        <v>0.76</v>
      </c>
      <c r="E33" s="25">
        <v>0.72</v>
      </c>
      <c r="F33" s="25">
        <v>0.77</v>
      </c>
      <c r="G33" s="25">
        <v>0.78</v>
      </c>
      <c r="H33" s="25">
        <v>0.8</v>
      </c>
      <c r="I33" s="25">
        <v>0.88</v>
      </c>
      <c r="J33" s="25">
        <v>0.9</v>
      </c>
      <c r="K33" s="25">
        <v>0.93</v>
      </c>
      <c r="L33" s="37">
        <v>0.92</v>
      </c>
      <c r="M33" s="8">
        <v>0.85</v>
      </c>
    </row>
    <row r="34" spans="1:13" x14ac:dyDescent="0.2">
      <c r="B34" s="78"/>
    </row>
    <row r="35" spans="1:13" x14ac:dyDescent="0.2">
      <c r="B35" s="5" t="s">
        <v>25</v>
      </c>
    </row>
    <row r="36" spans="1:13" x14ac:dyDescent="0.2">
      <c r="A36" s="3">
        <v>1</v>
      </c>
      <c r="B36" s="5" t="s">
        <v>124</v>
      </c>
    </row>
    <row r="37" spans="1:13" x14ac:dyDescent="0.2">
      <c r="A37" s="3">
        <v>2</v>
      </c>
      <c r="B37" s="5" t="s">
        <v>119</v>
      </c>
    </row>
    <row r="38" spans="1:13" x14ac:dyDescent="0.2">
      <c r="A38" s="3">
        <v>3</v>
      </c>
      <c r="B38" s="17" t="s">
        <v>133</v>
      </c>
    </row>
    <row r="39" spans="1:13" x14ac:dyDescent="0.2">
      <c r="A39" s="69">
        <v>4</v>
      </c>
      <c r="B39" s="5" t="s">
        <v>120</v>
      </c>
    </row>
  </sheetData>
  <mergeCells count="5">
    <mergeCell ref="B28:B33"/>
    <mergeCell ref="B10:B15"/>
    <mergeCell ref="B4:B9"/>
    <mergeCell ref="B16:B21"/>
    <mergeCell ref="B22:B27"/>
  </mergeCells>
  <phoneticPr fontId="2" type="noConversion"/>
  <pageMargins left="0.42" right="0.32" top="0.5" bottom="0.5" header="0.5" footer="0.5"/>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P39"/>
  <sheetViews>
    <sheetView zoomScale="80" workbookViewId="0">
      <pane ySplit="3" topLeftCell="A4" activePane="bottomLeft" state="frozen"/>
      <selection pane="bottomLeft" activeCell="A4" sqref="A4"/>
    </sheetView>
  </sheetViews>
  <sheetFormatPr defaultColWidth="9.140625" defaultRowHeight="12.75" x14ac:dyDescent="0.2"/>
  <cols>
    <col min="1" max="1" width="3" style="3" customWidth="1"/>
    <col min="2" max="2" width="25" style="5" customWidth="1"/>
    <col min="3" max="3" width="14" style="5" customWidth="1"/>
    <col min="4" max="9" width="14.7109375" style="26" customWidth="1"/>
    <col min="10" max="13" width="14.7109375" style="3" customWidth="1"/>
    <col min="14" max="16384" width="9.140625" style="3"/>
  </cols>
  <sheetData>
    <row r="1" spans="2:16" s="1" customFormat="1" ht="15.75" x14ac:dyDescent="0.25">
      <c r="B1" s="15" t="s">
        <v>141</v>
      </c>
      <c r="C1" s="14"/>
      <c r="D1" s="23"/>
      <c r="E1" s="23"/>
      <c r="F1" s="23"/>
      <c r="G1" s="23"/>
      <c r="H1" s="23"/>
      <c r="I1" s="23"/>
      <c r="J1" s="70"/>
      <c r="K1" s="74"/>
      <c r="L1" s="74"/>
    </row>
    <row r="2" spans="2:16" s="1" customFormat="1" x14ac:dyDescent="0.2">
      <c r="B2" s="14"/>
      <c r="C2" s="14"/>
      <c r="D2" s="23"/>
      <c r="E2" s="23"/>
      <c r="F2" s="23"/>
      <c r="G2" s="23"/>
      <c r="H2" s="23"/>
      <c r="I2" s="23"/>
    </row>
    <row r="3" spans="2:16" s="4" customFormat="1" ht="44.25" customHeight="1" x14ac:dyDescent="0.2">
      <c r="B3" s="30" t="s">
        <v>22</v>
      </c>
      <c r="C3" s="30" t="s">
        <v>5</v>
      </c>
      <c r="D3" s="32" t="s">
        <v>34</v>
      </c>
      <c r="E3" s="32" t="s">
        <v>35</v>
      </c>
      <c r="F3" s="32" t="s">
        <v>36</v>
      </c>
      <c r="G3" s="32" t="s">
        <v>26</v>
      </c>
      <c r="H3" s="32" t="s">
        <v>125</v>
      </c>
      <c r="I3" s="32" t="s">
        <v>128</v>
      </c>
      <c r="J3" s="32" t="s">
        <v>129</v>
      </c>
      <c r="K3" s="32" t="s">
        <v>130</v>
      </c>
      <c r="L3" s="63" t="s">
        <v>131</v>
      </c>
      <c r="M3" s="61" t="s">
        <v>0</v>
      </c>
    </row>
    <row r="4" spans="2:16" s="4" customFormat="1" ht="13.7" customHeight="1" x14ac:dyDescent="0.2">
      <c r="B4" s="109" t="s">
        <v>29</v>
      </c>
      <c r="C4" s="5" t="s">
        <v>10</v>
      </c>
      <c r="D4" s="24"/>
      <c r="E4" s="24"/>
      <c r="F4" s="24">
        <v>1</v>
      </c>
      <c r="G4" s="24">
        <v>0.82</v>
      </c>
      <c r="H4" s="24">
        <v>0.97</v>
      </c>
      <c r="I4" s="24">
        <v>0.91</v>
      </c>
      <c r="J4" s="24"/>
      <c r="K4" s="24">
        <v>0.95</v>
      </c>
      <c r="L4" s="36"/>
      <c r="M4" s="7">
        <v>0.91</v>
      </c>
    </row>
    <row r="5" spans="2:16" s="4" customFormat="1" ht="13.7" customHeight="1" x14ac:dyDescent="0.2">
      <c r="B5" s="109"/>
      <c r="C5" s="5" t="s">
        <v>23</v>
      </c>
      <c r="D5" s="24"/>
      <c r="E5" s="24"/>
      <c r="F5" s="24">
        <v>0.86</v>
      </c>
      <c r="G5" s="24">
        <v>0.74</v>
      </c>
      <c r="H5" s="24">
        <v>0.75</v>
      </c>
      <c r="I5" s="24">
        <v>0.88</v>
      </c>
      <c r="J5" s="24"/>
      <c r="K5" s="24">
        <v>0.93</v>
      </c>
      <c r="L5" s="36">
        <v>1</v>
      </c>
      <c r="M5" s="7">
        <v>0.88</v>
      </c>
    </row>
    <row r="6" spans="2:16" ht="13.7" customHeight="1" x14ac:dyDescent="0.2">
      <c r="B6" s="109"/>
      <c r="C6" s="5" t="s">
        <v>24</v>
      </c>
      <c r="D6" s="24"/>
      <c r="E6" s="24"/>
      <c r="F6" s="24">
        <v>0.8</v>
      </c>
      <c r="G6" s="24">
        <v>0.74</v>
      </c>
      <c r="H6" s="24">
        <v>0.79</v>
      </c>
      <c r="I6" s="24">
        <v>0.89</v>
      </c>
      <c r="J6" s="24">
        <v>0.94</v>
      </c>
      <c r="K6" s="24">
        <v>0.94</v>
      </c>
      <c r="L6" s="36">
        <v>0.96</v>
      </c>
      <c r="M6" s="7">
        <v>0.9</v>
      </c>
      <c r="P6" s="69"/>
    </row>
    <row r="7" spans="2:16" ht="13.7" customHeight="1" x14ac:dyDescent="0.2">
      <c r="B7" s="109"/>
      <c r="C7" s="5" t="s">
        <v>11</v>
      </c>
      <c r="D7" s="24"/>
      <c r="E7" s="24"/>
      <c r="F7" s="24">
        <v>1</v>
      </c>
      <c r="G7" s="24">
        <v>0.77</v>
      </c>
      <c r="H7" s="24">
        <v>0.82</v>
      </c>
      <c r="I7" s="24">
        <v>0.85</v>
      </c>
      <c r="J7" s="24">
        <v>0.91</v>
      </c>
      <c r="K7" s="24">
        <v>0.91</v>
      </c>
      <c r="L7" s="36">
        <v>0.92</v>
      </c>
      <c r="M7" s="7">
        <v>0.88</v>
      </c>
      <c r="P7" s="69"/>
    </row>
    <row r="8" spans="2:16" ht="13.7" customHeight="1" x14ac:dyDescent="0.2">
      <c r="B8" s="109"/>
      <c r="C8" s="5" t="s">
        <v>12</v>
      </c>
      <c r="D8" s="24"/>
      <c r="E8" s="24"/>
      <c r="F8" s="24"/>
      <c r="G8" s="24">
        <v>0.66</v>
      </c>
      <c r="H8" s="24">
        <v>0.86</v>
      </c>
      <c r="I8" s="24">
        <v>0.88</v>
      </c>
      <c r="J8" s="24">
        <v>0.92</v>
      </c>
      <c r="K8" s="24">
        <v>0.92</v>
      </c>
      <c r="L8" s="36">
        <v>0.92</v>
      </c>
      <c r="M8" s="7">
        <v>0.9</v>
      </c>
      <c r="P8" s="69"/>
    </row>
    <row r="9" spans="2:16" ht="13.7" customHeight="1" x14ac:dyDescent="0.2">
      <c r="B9" s="110"/>
      <c r="C9" s="6" t="s">
        <v>0</v>
      </c>
      <c r="D9" s="25"/>
      <c r="E9" s="25"/>
      <c r="F9" s="25">
        <v>0.84</v>
      </c>
      <c r="G9" s="25">
        <v>0.74</v>
      </c>
      <c r="H9" s="25">
        <v>0.8</v>
      </c>
      <c r="I9" s="25">
        <v>0.88</v>
      </c>
      <c r="J9" s="25">
        <v>0.92</v>
      </c>
      <c r="K9" s="25">
        <v>0.93</v>
      </c>
      <c r="L9" s="37">
        <v>0.93</v>
      </c>
      <c r="M9" s="8">
        <v>0.89</v>
      </c>
      <c r="P9" s="69"/>
    </row>
    <row r="10" spans="2:16" ht="13.7" customHeight="1" x14ac:dyDescent="0.2">
      <c r="B10" s="112" t="s">
        <v>134</v>
      </c>
      <c r="C10" s="5" t="s">
        <v>10</v>
      </c>
      <c r="D10" s="24">
        <v>0.81</v>
      </c>
      <c r="E10" s="24">
        <v>0.65</v>
      </c>
      <c r="F10" s="24">
        <v>0.71</v>
      </c>
      <c r="G10" s="24">
        <v>0.78</v>
      </c>
      <c r="H10" s="24">
        <v>0.76</v>
      </c>
      <c r="I10" s="24">
        <v>0.91</v>
      </c>
      <c r="J10" s="24"/>
      <c r="K10" s="24"/>
      <c r="L10" s="36"/>
      <c r="M10" s="7">
        <v>0.7</v>
      </c>
    </row>
    <row r="11" spans="2:16" s="4" customFormat="1" ht="13.7" customHeight="1" x14ac:dyDescent="0.2">
      <c r="B11" s="113"/>
      <c r="C11" s="5" t="s">
        <v>23</v>
      </c>
      <c r="D11" s="24">
        <v>0.85</v>
      </c>
      <c r="E11" s="24">
        <v>0.71</v>
      </c>
      <c r="F11" s="24">
        <v>0.77</v>
      </c>
      <c r="G11" s="24">
        <v>0.79</v>
      </c>
      <c r="H11" s="24">
        <v>0.8</v>
      </c>
      <c r="I11" s="24">
        <v>0.91</v>
      </c>
      <c r="J11" s="24">
        <v>0.5</v>
      </c>
      <c r="K11" s="24"/>
      <c r="L11" s="36"/>
      <c r="M11" s="7">
        <v>0.81</v>
      </c>
    </row>
    <row r="12" spans="2:16" ht="13.7" customHeight="1" x14ac:dyDescent="0.2">
      <c r="B12" s="113"/>
      <c r="C12" s="5" t="s">
        <v>24</v>
      </c>
      <c r="D12" s="24">
        <v>0.75</v>
      </c>
      <c r="E12" s="24">
        <v>0.75</v>
      </c>
      <c r="F12" s="24">
        <v>0.76</v>
      </c>
      <c r="G12" s="24">
        <v>0.8</v>
      </c>
      <c r="H12" s="24">
        <v>0.82</v>
      </c>
      <c r="I12" s="24">
        <v>0.91</v>
      </c>
      <c r="J12" s="24">
        <v>0.89</v>
      </c>
      <c r="K12" s="24">
        <v>0.95</v>
      </c>
      <c r="L12" s="36">
        <v>0.92</v>
      </c>
      <c r="M12" s="7">
        <v>0.85</v>
      </c>
    </row>
    <row r="13" spans="2:16" ht="13.7" customHeight="1" x14ac:dyDescent="0.2">
      <c r="B13" s="113"/>
      <c r="C13" s="5" t="s">
        <v>11</v>
      </c>
      <c r="D13" s="24">
        <v>0.7</v>
      </c>
      <c r="E13" s="24">
        <v>0.75</v>
      </c>
      <c r="F13" s="24">
        <v>0.76</v>
      </c>
      <c r="G13" s="24">
        <v>0.81</v>
      </c>
      <c r="H13" s="24">
        <v>0.82</v>
      </c>
      <c r="I13" s="24">
        <v>0.9</v>
      </c>
      <c r="J13" s="24">
        <v>0.86</v>
      </c>
      <c r="K13" s="24">
        <v>0.9</v>
      </c>
      <c r="L13" s="36">
        <v>0.78</v>
      </c>
      <c r="M13" s="7">
        <v>0.83</v>
      </c>
    </row>
    <row r="14" spans="2:16" ht="13.7" customHeight="1" x14ac:dyDescent="0.2">
      <c r="B14" s="113"/>
      <c r="C14" s="5" t="s">
        <v>12</v>
      </c>
      <c r="D14" s="24">
        <v>0.75</v>
      </c>
      <c r="E14" s="24">
        <v>0.76</v>
      </c>
      <c r="F14" s="24">
        <v>0.78</v>
      </c>
      <c r="G14" s="24">
        <v>0.82</v>
      </c>
      <c r="H14" s="24">
        <v>0.84</v>
      </c>
      <c r="I14" s="24">
        <v>0.89</v>
      </c>
      <c r="J14" s="24">
        <v>0.83</v>
      </c>
      <c r="K14" s="24">
        <v>0.9</v>
      </c>
      <c r="L14" s="36">
        <v>0.63</v>
      </c>
      <c r="M14" s="7">
        <v>0.83</v>
      </c>
    </row>
    <row r="15" spans="2:16" ht="13.7" customHeight="1" x14ac:dyDescent="0.2">
      <c r="B15" s="114"/>
      <c r="C15" s="6" t="s">
        <v>0</v>
      </c>
      <c r="D15" s="25">
        <v>0.75</v>
      </c>
      <c r="E15" s="25">
        <v>0.71</v>
      </c>
      <c r="F15" s="25">
        <v>0.76</v>
      </c>
      <c r="G15" s="25">
        <v>0.81</v>
      </c>
      <c r="H15" s="25">
        <v>0.82</v>
      </c>
      <c r="I15" s="25">
        <v>0.91</v>
      </c>
      <c r="J15" s="25">
        <v>0.85</v>
      </c>
      <c r="K15" s="25">
        <v>0.91</v>
      </c>
      <c r="L15" s="37">
        <v>0.73</v>
      </c>
      <c r="M15" s="8">
        <v>0.82</v>
      </c>
    </row>
    <row r="16" spans="2:16" ht="13.7" customHeight="1" x14ac:dyDescent="0.2">
      <c r="B16" s="108" t="s">
        <v>1</v>
      </c>
      <c r="C16" s="5" t="s">
        <v>10</v>
      </c>
      <c r="D16" s="24">
        <v>0.65</v>
      </c>
      <c r="E16" s="24">
        <v>0.84</v>
      </c>
      <c r="F16" s="24">
        <v>0.67</v>
      </c>
      <c r="G16" s="24">
        <v>0.66</v>
      </c>
      <c r="H16" s="24">
        <v>0.78</v>
      </c>
      <c r="I16" s="24">
        <v>0.78</v>
      </c>
      <c r="J16" s="24"/>
      <c r="K16" s="24"/>
      <c r="L16" s="36"/>
      <c r="M16" s="7">
        <v>0.75</v>
      </c>
    </row>
    <row r="17" spans="2:13" s="4" customFormat="1" ht="13.7" customHeight="1" x14ac:dyDescent="0.2">
      <c r="B17" s="109"/>
      <c r="C17" s="5" t="s">
        <v>23</v>
      </c>
      <c r="D17" s="24">
        <v>0.74</v>
      </c>
      <c r="E17" s="24">
        <v>0.65</v>
      </c>
      <c r="F17" s="24">
        <v>0.75</v>
      </c>
      <c r="G17" s="24">
        <v>0.7</v>
      </c>
      <c r="H17" s="24">
        <v>0.7</v>
      </c>
      <c r="I17" s="24">
        <v>0.61</v>
      </c>
      <c r="J17" s="24"/>
      <c r="K17" s="24"/>
      <c r="L17" s="36"/>
      <c r="M17" s="7">
        <v>0.7</v>
      </c>
    </row>
    <row r="18" spans="2:13" ht="13.7" customHeight="1" x14ac:dyDescent="0.2">
      <c r="B18" s="109"/>
      <c r="C18" s="5" t="s">
        <v>24</v>
      </c>
      <c r="D18" s="24">
        <v>0.72</v>
      </c>
      <c r="E18" s="24">
        <v>0.6</v>
      </c>
      <c r="F18" s="24">
        <v>0.78</v>
      </c>
      <c r="G18" s="24">
        <v>0.63</v>
      </c>
      <c r="H18" s="24">
        <v>0.71</v>
      </c>
      <c r="I18" s="24">
        <v>0.75</v>
      </c>
      <c r="J18" s="24"/>
      <c r="K18" s="24">
        <v>0.9</v>
      </c>
      <c r="L18" s="36">
        <v>0.67</v>
      </c>
      <c r="M18" s="7">
        <v>0.69</v>
      </c>
    </row>
    <row r="19" spans="2:13" ht="13.7" customHeight="1" x14ac:dyDescent="0.2">
      <c r="B19" s="109"/>
      <c r="C19" s="5" t="s">
        <v>11</v>
      </c>
      <c r="D19" s="24">
        <v>0.74</v>
      </c>
      <c r="E19" s="24">
        <v>0.68</v>
      </c>
      <c r="F19" s="24">
        <v>0.72</v>
      </c>
      <c r="G19" s="24">
        <v>0.66</v>
      </c>
      <c r="H19" s="24">
        <v>0.74</v>
      </c>
      <c r="I19" s="24">
        <v>0.85</v>
      </c>
      <c r="J19" s="24"/>
      <c r="K19" s="24">
        <v>0.8</v>
      </c>
      <c r="L19" s="36">
        <v>0.78</v>
      </c>
      <c r="M19" s="7">
        <v>0.71</v>
      </c>
    </row>
    <row r="20" spans="2:13" ht="13.7" customHeight="1" x14ac:dyDescent="0.2">
      <c r="B20" s="109"/>
      <c r="C20" s="5" t="s">
        <v>12</v>
      </c>
      <c r="D20" s="24">
        <v>0.77</v>
      </c>
      <c r="E20" s="24">
        <v>0.71</v>
      </c>
      <c r="F20" s="24">
        <v>0.78</v>
      </c>
      <c r="G20" s="24">
        <v>0.72</v>
      </c>
      <c r="H20" s="24">
        <v>0.74</v>
      </c>
      <c r="I20" s="24">
        <v>0.86</v>
      </c>
      <c r="J20" s="24"/>
      <c r="K20" s="24">
        <v>0.86</v>
      </c>
      <c r="L20" s="36">
        <v>0.79</v>
      </c>
      <c r="M20" s="7">
        <v>0.75</v>
      </c>
    </row>
    <row r="21" spans="2:13" ht="13.7" customHeight="1" x14ac:dyDescent="0.2">
      <c r="B21" s="110"/>
      <c r="C21" s="6" t="s">
        <v>0</v>
      </c>
      <c r="D21" s="25">
        <v>0.75</v>
      </c>
      <c r="E21" s="25">
        <v>0.69</v>
      </c>
      <c r="F21" s="25">
        <v>0.75</v>
      </c>
      <c r="G21" s="25">
        <v>0.69</v>
      </c>
      <c r="H21" s="25">
        <v>0.74</v>
      </c>
      <c r="I21" s="25">
        <v>0.84</v>
      </c>
      <c r="J21" s="25"/>
      <c r="K21" s="25">
        <v>0.85</v>
      </c>
      <c r="L21" s="37">
        <v>0.78</v>
      </c>
      <c r="M21" s="8">
        <v>0.73</v>
      </c>
    </row>
    <row r="22" spans="2:13" ht="13.7" customHeight="1" x14ac:dyDescent="0.2">
      <c r="B22" s="112" t="s">
        <v>136</v>
      </c>
      <c r="C22" s="5" t="s">
        <v>10</v>
      </c>
      <c r="D22" s="24">
        <v>0.76</v>
      </c>
      <c r="E22" s="24">
        <v>0.77</v>
      </c>
      <c r="F22" s="24">
        <v>0.81</v>
      </c>
      <c r="G22" s="24">
        <v>0.85</v>
      </c>
      <c r="H22" s="24">
        <v>0.79</v>
      </c>
      <c r="I22" s="24">
        <v>1</v>
      </c>
      <c r="J22" s="24"/>
      <c r="K22" s="24"/>
      <c r="L22" s="36"/>
      <c r="M22" s="7">
        <v>0.78</v>
      </c>
    </row>
    <row r="23" spans="2:13" s="4" customFormat="1" ht="13.7" customHeight="1" x14ac:dyDescent="0.2">
      <c r="B23" s="113"/>
      <c r="C23" s="5" t="s">
        <v>23</v>
      </c>
      <c r="D23" s="24">
        <v>0.71</v>
      </c>
      <c r="E23" s="24">
        <v>0.7</v>
      </c>
      <c r="F23" s="24">
        <v>0.81</v>
      </c>
      <c r="G23" s="24">
        <v>0.87</v>
      </c>
      <c r="H23" s="24">
        <v>0.79</v>
      </c>
      <c r="I23" s="24">
        <v>0.84</v>
      </c>
      <c r="J23" s="24">
        <v>1</v>
      </c>
      <c r="K23" s="24"/>
      <c r="L23" s="36"/>
      <c r="M23" s="7">
        <v>0.81</v>
      </c>
    </row>
    <row r="24" spans="2:13" ht="13.7" customHeight="1" x14ac:dyDescent="0.2">
      <c r="B24" s="113"/>
      <c r="C24" s="5" t="s">
        <v>24</v>
      </c>
      <c r="D24" s="24">
        <v>0.82</v>
      </c>
      <c r="E24" s="24">
        <v>0.78</v>
      </c>
      <c r="F24" s="24">
        <v>0.78</v>
      </c>
      <c r="G24" s="24">
        <v>0.83</v>
      </c>
      <c r="H24" s="24">
        <v>0.82</v>
      </c>
      <c r="I24" s="24">
        <v>0.85</v>
      </c>
      <c r="J24" s="24">
        <v>0.95</v>
      </c>
      <c r="K24" s="24">
        <v>0.87</v>
      </c>
      <c r="L24" s="36">
        <v>0.84</v>
      </c>
      <c r="M24" s="7">
        <v>0.82</v>
      </c>
    </row>
    <row r="25" spans="2:13" ht="13.7" customHeight="1" x14ac:dyDescent="0.2">
      <c r="B25" s="113"/>
      <c r="C25" s="5" t="s">
        <v>11</v>
      </c>
      <c r="D25" s="24">
        <v>0.84</v>
      </c>
      <c r="E25" s="24">
        <v>0.84</v>
      </c>
      <c r="F25" s="24">
        <v>0.76</v>
      </c>
      <c r="G25" s="24">
        <v>0.8</v>
      </c>
      <c r="H25" s="24">
        <v>0.8</v>
      </c>
      <c r="I25" s="24">
        <v>0.86</v>
      </c>
      <c r="J25" s="24">
        <v>0.91</v>
      </c>
      <c r="K25" s="24">
        <v>0.89</v>
      </c>
      <c r="L25" s="36">
        <v>0.87</v>
      </c>
      <c r="M25" s="7">
        <v>0.81</v>
      </c>
    </row>
    <row r="26" spans="2:13" ht="13.7" customHeight="1" x14ac:dyDescent="0.2">
      <c r="B26" s="113"/>
      <c r="C26" s="5" t="s">
        <v>12</v>
      </c>
      <c r="D26" s="24">
        <v>0.82</v>
      </c>
      <c r="E26" s="24">
        <v>0.84</v>
      </c>
      <c r="F26" s="24">
        <v>0.79</v>
      </c>
      <c r="G26" s="24">
        <v>0.8</v>
      </c>
      <c r="H26" s="24">
        <v>0.84</v>
      </c>
      <c r="I26" s="24">
        <v>0.89</v>
      </c>
      <c r="J26" s="24">
        <v>0.91</v>
      </c>
      <c r="K26" s="24">
        <v>0.91</v>
      </c>
      <c r="L26" s="36">
        <v>0.84</v>
      </c>
      <c r="M26" s="7">
        <v>0.83</v>
      </c>
    </row>
    <row r="27" spans="2:13" ht="13.7" customHeight="1" x14ac:dyDescent="0.2">
      <c r="B27" s="114"/>
      <c r="C27" s="6" t="s">
        <v>0</v>
      </c>
      <c r="D27" s="25">
        <v>0.78</v>
      </c>
      <c r="E27" s="25">
        <v>0.77</v>
      </c>
      <c r="F27" s="25">
        <v>0.79</v>
      </c>
      <c r="G27" s="25">
        <v>0.82</v>
      </c>
      <c r="H27" s="25">
        <v>0.81</v>
      </c>
      <c r="I27" s="25">
        <v>0.86</v>
      </c>
      <c r="J27" s="25">
        <v>0.91</v>
      </c>
      <c r="K27" s="25">
        <v>0.9</v>
      </c>
      <c r="L27" s="37">
        <v>0.85</v>
      </c>
      <c r="M27" s="8">
        <v>0.81</v>
      </c>
    </row>
    <row r="28" spans="2:13" ht="13.7" customHeight="1" x14ac:dyDescent="0.2">
      <c r="B28" s="108" t="s">
        <v>2</v>
      </c>
      <c r="C28" s="5" t="s">
        <v>10</v>
      </c>
      <c r="D28" s="24">
        <v>0.77</v>
      </c>
      <c r="E28" s="24">
        <v>0.71</v>
      </c>
      <c r="F28" s="24">
        <v>0.74</v>
      </c>
      <c r="G28" s="24">
        <v>0.8</v>
      </c>
      <c r="H28" s="24">
        <v>0.78</v>
      </c>
      <c r="I28" s="24">
        <v>0.91</v>
      </c>
      <c r="J28" s="24"/>
      <c r="K28" s="24">
        <v>0.95</v>
      </c>
      <c r="L28" s="36"/>
      <c r="M28" s="7">
        <v>0.74</v>
      </c>
    </row>
    <row r="29" spans="2:13" s="4" customFormat="1" ht="13.7" customHeight="1" x14ac:dyDescent="0.2">
      <c r="B29" s="109"/>
      <c r="C29" s="5" t="s">
        <v>23</v>
      </c>
      <c r="D29" s="24">
        <v>0.74</v>
      </c>
      <c r="E29" s="24">
        <v>0.7</v>
      </c>
      <c r="F29" s="24">
        <v>0.78</v>
      </c>
      <c r="G29" s="24">
        <v>0.8</v>
      </c>
      <c r="H29" s="24">
        <v>0.78</v>
      </c>
      <c r="I29" s="24">
        <v>0.88</v>
      </c>
      <c r="J29" s="24">
        <v>0.93</v>
      </c>
      <c r="K29" s="24">
        <v>0.93</v>
      </c>
      <c r="L29" s="36">
        <v>1</v>
      </c>
      <c r="M29" s="7">
        <v>0.85</v>
      </c>
    </row>
    <row r="30" spans="2:13" ht="13.7" customHeight="1" x14ac:dyDescent="0.2">
      <c r="B30" s="109"/>
      <c r="C30" s="5" t="s">
        <v>24</v>
      </c>
      <c r="D30" s="24">
        <v>0.75</v>
      </c>
      <c r="E30" s="24">
        <v>0.72</v>
      </c>
      <c r="F30" s="24">
        <v>0.77</v>
      </c>
      <c r="G30" s="24">
        <v>0.79</v>
      </c>
      <c r="H30" s="24">
        <v>0.81</v>
      </c>
      <c r="I30" s="24">
        <v>0.89</v>
      </c>
      <c r="J30" s="24">
        <v>0.93</v>
      </c>
      <c r="K30" s="24">
        <v>0.94</v>
      </c>
      <c r="L30" s="36">
        <v>0.96</v>
      </c>
      <c r="M30" s="7">
        <v>0.88</v>
      </c>
    </row>
    <row r="31" spans="2:13" ht="13.7" customHeight="1" x14ac:dyDescent="0.2">
      <c r="B31" s="109"/>
      <c r="C31" s="5" t="s">
        <v>11</v>
      </c>
      <c r="D31" s="24">
        <v>0.74</v>
      </c>
      <c r="E31" s="24">
        <v>0.73</v>
      </c>
      <c r="F31" s="24">
        <v>0.75</v>
      </c>
      <c r="G31" s="24">
        <v>0.76</v>
      </c>
      <c r="H31" s="24">
        <v>0.8</v>
      </c>
      <c r="I31" s="24">
        <v>0.87</v>
      </c>
      <c r="J31" s="24">
        <v>0.9</v>
      </c>
      <c r="K31" s="24">
        <v>0.91</v>
      </c>
      <c r="L31" s="36">
        <v>0.91</v>
      </c>
      <c r="M31" s="7">
        <v>0.83</v>
      </c>
    </row>
    <row r="32" spans="2:13" ht="13.7" customHeight="1" x14ac:dyDescent="0.2">
      <c r="B32" s="109"/>
      <c r="C32" s="5" t="s">
        <v>12</v>
      </c>
      <c r="D32" s="24">
        <v>0.77</v>
      </c>
      <c r="E32" s="24">
        <v>0.75</v>
      </c>
      <c r="F32" s="24">
        <v>0.78</v>
      </c>
      <c r="G32" s="24">
        <v>0.77</v>
      </c>
      <c r="H32" s="24">
        <v>0.81</v>
      </c>
      <c r="I32" s="24">
        <v>0.88</v>
      </c>
      <c r="J32" s="24">
        <v>0.89</v>
      </c>
      <c r="K32" s="24">
        <v>0.91</v>
      </c>
      <c r="L32" s="36">
        <v>0.89</v>
      </c>
      <c r="M32" s="7">
        <v>0.82</v>
      </c>
    </row>
    <row r="33" spans="1:13" ht="13.7" customHeight="1" x14ac:dyDescent="0.2">
      <c r="B33" s="110"/>
      <c r="C33" s="6" t="s">
        <v>0</v>
      </c>
      <c r="D33" s="25">
        <v>0.76</v>
      </c>
      <c r="E33" s="25">
        <v>0.72</v>
      </c>
      <c r="F33" s="25">
        <v>0.77</v>
      </c>
      <c r="G33" s="25">
        <v>0.78</v>
      </c>
      <c r="H33" s="25">
        <v>0.8</v>
      </c>
      <c r="I33" s="25">
        <v>0.88</v>
      </c>
      <c r="J33" s="25">
        <v>0.9</v>
      </c>
      <c r="K33" s="25">
        <v>0.93</v>
      </c>
      <c r="L33" s="37">
        <v>0.92</v>
      </c>
      <c r="M33" s="8">
        <v>0.85</v>
      </c>
    </row>
    <row r="34" spans="1:13" x14ac:dyDescent="0.2">
      <c r="B34" s="78"/>
    </row>
    <row r="35" spans="1:13" x14ac:dyDescent="0.2">
      <c r="B35" s="5" t="s">
        <v>25</v>
      </c>
    </row>
    <row r="36" spans="1:13" x14ac:dyDescent="0.2">
      <c r="A36" s="3">
        <v>1</v>
      </c>
      <c r="B36" s="5" t="s">
        <v>124</v>
      </c>
    </row>
    <row r="37" spans="1:13" x14ac:dyDescent="0.2">
      <c r="A37" s="3">
        <v>2</v>
      </c>
      <c r="B37" s="5" t="s">
        <v>119</v>
      </c>
    </row>
    <row r="38" spans="1:13" x14ac:dyDescent="0.2">
      <c r="A38" s="3">
        <v>3</v>
      </c>
      <c r="B38" s="94" t="s">
        <v>132</v>
      </c>
    </row>
    <row r="39" spans="1:13" x14ac:dyDescent="0.2">
      <c r="A39" s="69">
        <v>4</v>
      </c>
      <c r="B39" s="5" t="s">
        <v>120</v>
      </c>
    </row>
  </sheetData>
  <mergeCells count="5">
    <mergeCell ref="B22:B27"/>
    <mergeCell ref="B16:B21"/>
    <mergeCell ref="B10:B15"/>
    <mergeCell ref="B4:B9"/>
    <mergeCell ref="B28:B33"/>
  </mergeCells>
  <phoneticPr fontId="2" type="noConversion"/>
  <pageMargins left="0.42" right="0.32" top="0.5" bottom="0.5" header="0.5" footer="0.5"/>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Q24"/>
  <sheetViews>
    <sheetView zoomScale="80" workbookViewId="0"/>
  </sheetViews>
  <sheetFormatPr defaultColWidth="9.140625" defaultRowHeight="12.75" x14ac:dyDescent="0.2"/>
  <cols>
    <col min="1" max="1" width="3" style="3" customWidth="1"/>
    <col min="2" max="2" width="25" style="5" customWidth="1"/>
    <col min="3" max="3" width="10.7109375" style="5" customWidth="1"/>
    <col min="4" max="8" width="14.7109375" style="26" customWidth="1"/>
    <col min="9" max="12" width="14.7109375" style="3" customWidth="1"/>
    <col min="13" max="13" width="14.7109375" style="26" customWidth="1"/>
    <col min="14" max="16384" width="9.140625" style="3"/>
  </cols>
  <sheetData>
    <row r="1" spans="2:17" s="1" customFormat="1" ht="15.75" x14ac:dyDescent="0.25">
      <c r="B1" s="15" t="s">
        <v>142</v>
      </c>
      <c r="C1" s="14"/>
      <c r="D1" s="23"/>
      <c r="E1" s="23"/>
      <c r="F1" s="23"/>
      <c r="G1" s="23"/>
      <c r="H1" s="23"/>
      <c r="K1" s="70"/>
      <c r="L1" s="74"/>
      <c r="M1" s="72"/>
    </row>
    <row r="2" spans="2:17" s="1" customFormat="1" x14ac:dyDescent="0.2">
      <c r="B2" s="14"/>
      <c r="C2" s="14"/>
      <c r="D2" s="23"/>
      <c r="E2" s="23"/>
      <c r="F2" s="23"/>
      <c r="G2" s="23"/>
      <c r="H2" s="23"/>
      <c r="M2" s="23"/>
    </row>
    <row r="3" spans="2:17" s="4" customFormat="1" ht="45" customHeight="1" x14ac:dyDescent="0.2">
      <c r="B3" s="38" t="s">
        <v>22</v>
      </c>
      <c r="C3" s="38" t="s">
        <v>4</v>
      </c>
      <c r="D3" s="33" t="s">
        <v>34</v>
      </c>
      <c r="E3" s="33" t="s">
        <v>35</v>
      </c>
      <c r="F3" s="33" t="s">
        <v>36</v>
      </c>
      <c r="G3" s="33" t="s">
        <v>26</v>
      </c>
      <c r="H3" s="33" t="s">
        <v>125</v>
      </c>
      <c r="I3" s="33" t="s">
        <v>128</v>
      </c>
      <c r="J3" s="33" t="s">
        <v>129</v>
      </c>
      <c r="K3" s="33" t="s">
        <v>130</v>
      </c>
      <c r="L3" s="43" t="s">
        <v>131</v>
      </c>
      <c r="M3" s="61" t="s">
        <v>0</v>
      </c>
    </row>
    <row r="4" spans="2:17" s="4" customFormat="1" x14ac:dyDescent="0.2">
      <c r="B4" s="5" t="s">
        <v>29</v>
      </c>
      <c r="C4" s="14" t="s">
        <v>27</v>
      </c>
      <c r="D4" s="24"/>
      <c r="E4" s="24"/>
      <c r="F4" s="24">
        <v>0.91</v>
      </c>
      <c r="G4" s="24">
        <v>0.75</v>
      </c>
      <c r="H4" s="24">
        <v>0.79</v>
      </c>
      <c r="I4" s="24">
        <v>0.89</v>
      </c>
      <c r="J4" s="24">
        <v>0.93</v>
      </c>
      <c r="K4" s="24">
        <v>0.94</v>
      </c>
      <c r="L4" s="36">
        <v>0.93</v>
      </c>
      <c r="M4" s="7">
        <v>0.9</v>
      </c>
    </row>
    <row r="5" spans="2:17" x14ac:dyDescent="0.2">
      <c r="B5" s="27"/>
      <c r="C5" s="14" t="s">
        <v>28</v>
      </c>
      <c r="D5" s="24"/>
      <c r="E5" s="24"/>
      <c r="F5" s="24">
        <v>0.78</v>
      </c>
      <c r="G5" s="24">
        <v>0.74</v>
      </c>
      <c r="H5" s="24">
        <v>0.8</v>
      </c>
      <c r="I5" s="24">
        <v>0.87</v>
      </c>
      <c r="J5" s="24">
        <v>0.91</v>
      </c>
      <c r="K5" s="24">
        <v>0.93</v>
      </c>
      <c r="L5" s="36">
        <v>0.93</v>
      </c>
      <c r="M5" s="7">
        <v>0.88</v>
      </c>
      <c r="Q5" s="69"/>
    </row>
    <row r="6" spans="2:17" x14ac:dyDescent="0.2">
      <c r="B6" s="6"/>
      <c r="C6" s="6" t="s">
        <v>0</v>
      </c>
      <c r="D6" s="25"/>
      <c r="E6" s="25"/>
      <c r="F6" s="25">
        <v>0.84</v>
      </c>
      <c r="G6" s="25">
        <v>0.74</v>
      </c>
      <c r="H6" s="25">
        <v>0.8</v>
      </c>
      <c r="I6" s="25">
        <v>0.88</v>
      </c>
      <c r="J6" s="25">
        <v>0.92</v>
      </c>
      <c r="K6" s="25">
        <v>0.93</v>
      </c>
      <c r="L6" s="37">
        <v>0.93</v>
      </c>
      <c r="M6" s="8">
        <v>0.89</v>
      </c>
      <c r="Q6" s="69"/>
    </row>
    <row r="7" spans="2:17" x14ac:dyDescent="0.2">
      <c r="B7" s="117" t="s">
        <v>134</v>
      </c>
      <c r="C7" s="14" t="s">
        <v>27</v>
      </c>
      <c r="D7" s="24">
        <v>0.74</v>
      </c>
      <c r="E7" s="24">
        <v>0.73</v>
      </c>
      <c r="F7" s="24">
        <v>0.76</v>
      </c>
      <c r="G7" s="24">
        <v>0.81</v>
      </c>
      <c r="H7" s="24">
        <v>0.84</v>
      </c>
      <c r="I7" s="24">
        <v>0.92</v>
      </c>
      <c r="J7" s="24">
        <v>0.87</v>
      </c>
      <c r="K7" s="24">
        <v>0.91</v>
      </c>
      <c r="L7" s="36">
        <v>0.74</v>
      </c>
      <c r="M7" s="7">
        <v>0.84</v>
      </c>
      <c r="Q7" s="69"/>
    </row>
    <row r="8" spans="2:17" x14ac:dyDescent="0.2">
      <c r="B8" s="113"/>
      <c r="C8" s="14" t="s">
        <v>28</v>
      </c>
      <c r="D8" s="24">
        <v>0.77</v>
      </c>
      <c r="E8" s="24">
        <v>0.69</v>
      </c>
      <c r="F8" s="24">
        <v>0.76</v>
      </c>
      <c r="G8" s="24">
        <v>0.8</v>
      </c>
      <c r="H8" s="24">
        <v>0.8</v>
      </c>
      <c r="I8" s="24">
        <v>0.87</v>
      </c>
      <c r="J8" s="24">
        <v>0.81</v>
      </c>
      <c r="K8" s="24">
        <v>0.9</v>
      </c>
      <c r="L8" s="36">
        <v>0.72</v>
      </c>
      <c r="M8" s="7">
        <v>0.79</v>
      </c>
      <c r="Q8" s="69"/>
    </row>
    <row r="9" spans="2:17" x14ac:dyDescent="0.2">
      <c r="B9" s="114"/>
      <c r="C9" s="6" t="s">
        <v>0</v>
      </c>
      <c r="D9" s="25">
        <v>0.75</v>
      </c>
      <c r="E9" s="25">
        <v>0.71</v>
      </c>
      <c r="F9" s="25">
        <v>0.76</v>
      </c>
      <c r="G9" s="25">
        <v>0.81</v>
      </c>
      <c r="H9" s="25">
        <v>0.82</v>
      </c>
      <c r="I9" s="25">
        <v>0.91</v>
      </c>
      <c r="J9" s="25">
        <v>0.85</v>
      </c>
      <c r="K9" s="25">
        <v>0.91</v>
      </c>
      <c r="L9" s="37">
        <v>0.73</v>
      </c>
      <c r="M9" s="8">
        <v>0.82</v>
      </c>
      <c r="Q9" s="69"/>
    </row>
    <row r="10" spans="2:17" x14ac:dyDescent="0.2">
      <c r="B10" s="5" t="s">
        <v>1</v>
      </c>
      <c r="C10" s="14" t="s">
        <v>27</v>
      </c>
      <c r="D10" s="24">
        <v>0.76</v>
      </c>
      <c r="E10" s="24">
        <v>0.69</v>
      </c>
      <c r="F10" s="24">
        <v>0.75</v>
      </c>
      <c r="G10" s="24">
        <v>0.68</v>
      </c>
      <c r="H10" s="24">
        <v>0.74</v>
      </c>
      <c r="I10" s="24">
        <v>0.84</v>
      </c>
      <c r="J10" s="24"/>
      <c r="K10" s="24">
        <v>0.85</v>
      </c>
      <c r="L10" s="36">
        <v>0.76</v>
      </c>
      <c r="M10" s="7">
        <v>0.73</v>
      </c>
    </row>
    <row r="11" spans="2:17" x14ac:dyDescent="0.2">
      <c r="B11" s="27"/>
      <c r="C11" s="14" t="s">
        <v>28</v>
      </c>
      <c r="D11" s="24">
        <v>0.73</v>
      </c>
      <c r="E11" s="24">
        <v>0.68</v>
      </c>
      <c r="F11" s="24">
        <v>0.75</v>
      </c>
      <c r="G11" s="24">
        <v>0.69</v>
      </c>
      <c r="H11" s="24">
        <v>0.72</v>
      </c>
      <c r="I11" s="24">
        <v>0.82</v>
      </c>
      <c r="J11" s="24"/>
      <c r="K11" s="24">
        <v>0.83</v>
      </c>
      <c r="L11" s="36">
        <v>0.86</v>
      </c>
      <c r="M11" s="7">
        <v>0.72</v>
      </c>
    </row>
    <row r="12" spans="2:17" x14ac:dyDescent="0.2">
      <c r="B12" s="6"/>
      <c r="C12" s="6" t="s">
        <v>0</v>
      </c>
      <c r="D12" s="25">
        <v>0.75</v>
      </c>
      <c r="E12" s="25">
        <v>0.69</v>
      </c>
      <c r="F12" s="25">
        <v>0.75</v>
      </c>
      <c r="G12" s="25">
        <v>0.69</v>
      </c>
      <c r="H12" s="25">
        <v>0.74</v>
      </c>
      <c r="I12" s="25">
        <v>0.84</v>
      </c>
      <c r="J12" s="25"/>
      <c r="K12" s="25">
        <v>0.85</v>
      </c>
      <c r="L12" s="37">
        <v>0.78</v>
      </c>
      <c r="M12" s="8">
        <v>0.73</v>
      </c>
    </row>
    <row r="13" spans="2:17" x14ac:dyDescent="0.2">
      <c r="B13" s="115" t="s">
        <v>136</v>
      </c>
      <c r="C13" s="14" t="s">
        <v>27</v>
      </c>
      <c r="D13" s="24">
        <v>0.81</v>
      </c>
      <c r="E13" s="24">
        <v>0.8</v>
      </c>
      <c r="F13" s="24">
        <v>0.79</v>
      </c>
      <c r="G13" s="24">
        <v>0.83</v>
      </c>
      <c r="H13" s="24">
        <v>0.82</v>
      </c>
      <c r="I13" s="24">
        <v>0.89</v>
      </c>
      <c r="J13" s="24">
        <v>0.92</v>
      </c>
      <c r="K13" s="24">
        <v>0.89</v>
      </c>
      <c r="L13" s="36">
        <v>0.84</v>
      </c>
      <c r="M13" s="7">
        <v>0.83</v>
      </c>
    </row>
    <row r="14" spans="2:17" x14ac:dyDescent="0.2">
      <c r="B14" s="116"/>
      <c r="C14" s="14" t="s">
        <v>28</v>
      </c>
      <c r="D14" s="24">
        <v>0.74</v>
      </c>
      <c r="E14" s="24">
        <v>0.75</v>
      </c>
      <c r="F14" s="24">
        <v>0.79</v>
      </c>
      <c r="G14" s="24">
        <v>0.8</v>
      </c>
      <c r="H14" s="24">
        <v>0.8</v>
      </c>
      <c r="I14" s="24">
        <v>0.79</v>
      </c>
      <c r="J14" s="24">
        <v>0.87</v>
      </c>
      <c r="K14" s="24">
        <v>0.95</v>
      </c>
      <c r="L14" s="36">
        <v>0.87</v>
      </c>
      <c r="M14" s="7">
        <v>0.79</v>
      </c>
    </row>
    <row r="15" spans="2:17" x14ac:dyDescent="0.2">
      <c r="B15" s="6"/>
      <c r="C15" s="6" t="s">
        <v>0</v>
      </c>
      <c r="D15" s="25">
        <v>0.78</v>
      </c>
      <c r="E15" s="25">
        <v>0.77</v>
      </c>
      <c r="F15" s="25">
        <v>0.79</v>
      </c>
      <c r="G15" s="25">
        <v>0.82</v>
      </c>
      <c r="H15" s="25">
        <v>0.81</v>
      </c>
      <c r="I15" s="25">
        <v>0.86</v>
      </c>
      <c r="J15" s="25">
        <v>0.91</v>
      </c>
      <c r="K15" s="25">
        <v>0.9</v>
      </c>
      <c r="L15" s="37">
        <v>0.85</v>
      </c>
      <c r="M15" s="8">
        <v>0.81</v>
      </c>
    </row>
    <row r="16" spans="2:17" x14ac:dyDescent="0.2">
      <c r="B16" s="5" t="s">
        <v>2</v>
      </c>
      <c r="C16" s="14" t="s">
        <v>27</v>
      </c>
      <c r="D16" s="24">
        <v>0.77</v>
      </c>
      <c r="E16" s="24">
        <v>0.74</v>
      </c>
      <c r="F16" s="24">
        <v>0.77</v>
      </c>
      <c r="G16" s="24">
        <v>0.78</v>
      </c>
      <c r="H16" s="24">
        <v>0.81</v>
      </c>
      <c r="I16" s="24">
        <v>0.9</v>
      </c>
      <c r="J16" s="24">
        <v>0.91</v>
      </c>
      <c r="K16" s="24">
        <v>0.93</v>
      </c>
      <c r="L16" s="36">
        <v>0.92</v>
      </c>
      <c r="M16" s="7">
        <v>0.86</v>
      </c>
    </row>
    <row r="17" spans="1:13" x14ac:dyDescent="0.2">
      <c r="B17" s="27"/>
      <c r="C17" s="14" t="s">
        <v>28</v>
      </c>
      <c r="D17" s="24">
        <v>0.74</v>
      </c>
      <c r="E17" s="24">
        <v>0.71</v>
      </c>
      <c r="F17" s="24">
        <v>0.77</v>
      </c>
      <c r="G17" s="24">
        <v>0.77</v>
      </c>
      <c r="H17" s="24">
        <v>0.79</v>
      </c>
      <c r="I17" s="24">
        <v>0.86</v>
      </c>
      <c r="J17" s="24">
        <v>0.88</v>
      </c>
      <c r="K17" s="24">
        <v>0.92</v>
      </c>
      <c r="L17" s="36">
        <v>0.91</v>
      </c>
      <c r="M17" s="7">
        <v>0.84</v>
      </c>
    </row>
    <row r="18" spans="1:13" x14ac:dyDescent="0.2">
      <c r="B18" s="6"/>
      <c r="C18" s="6" t="s">
        <v>0</v>
      </c>
      <c r="D18" s="25">
        <v>0.76</v>
      </c>
      <c r="E18" s="25">
        <v>0.72</v>
      </c>
      <c r="F18" s="25">
        <v>0.77</v>
      </c>
      <c r="G18" s="25">
        <v>0.78</v>
      </c>
      <c r="H18" s="25">
        <v>0.8</v>
      </c>
      <c r="I18" s="25">
        <v>0.88</v>
      </c>
      <c r="J18" s="25">
        <v>0.9</v>
      </c>
      <c r="K18" s="25">
        <v>0.93</v>
      </c>
      <c r="L18" s="37">
        <v>0.92</v>
      </c>
      <c r="M18" s="8">
        <v>0.85</v>
      </c>
    </row>
    <row r="19" spans="1:13" x14ac:dyDescent="0.2">
      <c r="B19" s="78"/>
    </row>
    <row r="20" spans="1:13" x14ac:dyDescent="0.2">
      <c r="B20" s="5" t="s">
        <v>25</v>
      </c>
    </row>
    <row r="21" spans="1:13" x14ac:dyDescent="0.2">
      <c r="A21" s="3">
        <v>1</v>
      </c>
      <c r="B21" s="5" t="s">
        <v>124</v>
      </c>
    </row>
    <row r="22" spans="1:13" x14ac:dyDescent="0.2">
      <c r="A22" s="3">
        <v>2</v>
      </c>
      <c r="B22" s="5" t="s">
        <v>119</v>
      </c>
    </row>
    <row r="23" spans="1:13" x14ac:dyDescent="0.2">
      <c r="A23" s="3">
        <v>3</v>
      </c>
      <c r="B23" s="17" t="s">
        <v>137</v>
      </c>
    </row>
    <row r="24" spans="1:13" x14ac:dyDescent="0.2">
      <c r="A24" s="69">
        <v>4</v>
      </c>
      <c r="B24" s="5" t="s">
        <v>120</v>
      </c>
    </row>
  </sheetData>
  <mergeCells count="2">
    <mergeCell ref="B13:B14"/>
    <mergeCell ref="B7:B9"/>
  </mergeCells>
  <phoneticPr fontId="2" type="noConversion"/>
  <pageMargins left="0.42" right="0.32" top="0.5" bottom="0.5" header="0.5" footer="0.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P93"/>
  <sheetViews>
    <sheetView zoomScale="80" zoomScaleNormal="80" workbookViewId="0">
      <pane ySplit="3" topLeftCell="A4" activePane="bottomLeft" state="frozen"/>
      <selection pane="bottomLeft" activeCell="A4" sqref="A4"/>
    </sheetView>
  </sheetViews>
  <sheetFormatPr defaultColWidth="9.140625" defaultRowHeight="12.75" x14ac:dyDescent="0.2"/>
  <cols>
    <col min="1" max="1" width="3" style="1" customWidth="1"/>
    <col min="2" max="2" width="9.42578125" style="1" customWidth="1"/>
    <col min="3" max="3" width="71" style="1" customWidth="1"/>
    <col min="4" max="13" width="14.7109375" style="1" customWidth="1"/>
    <col min="14" max="16384" width="9.140625" style="1"/>
  </cols>
  <sheetData>
    <row r="1" spans="2:15" ht="15" x14ac:dyDescent="0.25">
      <c r="B1" s="47" t="s">
        <v>143</v>
      </c>
      <c r="F1" s="70"/>
      <c r="G1" s="74"/>
      <c r="H1" s="74"/>
    </row>
    <row r="2" spans="2:15" x14ac:dyDescent="0.2">
      <c r="G2" s="75"/>
      <c r="H2" s="75"/>
    </row>
    <row r="3" spans="2:15" ht="44.25" customHeight="1" x14ac:dyDescent="0.2">
      <c r="B3" s="48" t="s">
        <v>33</v>
      </c>
      <c r="C3" s="48"/>
      <c r="D3" s="32" t="s">
        <v>34</v>
      </c>
      <c r="E3" s="32" t="s">
        <v>35</v>
      </c>
      <c r="F3" s="32" t="s">
        <v>36</v>
      </c>
      <c r="G3" s="32" t="s">
        <v>26</v>
      </c>
      <c r="H3" s="32" t="s">
        <v>125</v>
      </c>
      <c r="I3" s="32" t="s">
        <v>128</v>
      </c>
      <c r="J3" s="32" t="s">
        <v>129</v>
      </c>
      <c r="K3" s="32" t="s">
        <v>130</v>
      </c>
      <c r="L3" s="32" t="s">
        <v>131</v>
      </c>
      <c r="M3" s="51" t="s">
        <v>0</v>
      </c>
    </row>
    <row r="4" spans="2:15" s="45" customFormat="1" ht="15" customHeight="1" x14ac:dyDescent="0.2">
      <c r="B4" s="53" t="s">
        <v>37</v>
      </c>
      <c r="C4" s="52"/>
      <c r="D4" s="87">
        <v>0.68</v>
      </c>
      <c r="E4" s="87">
        <v>0.63</v>
      </c>
      <c r="F4" s="88">
        <v>0.7</v>
      </c>
      <c r="G4" s="87">
        <v>0.74</v>
      </c>
      <c r="H4" s="87">
        <v>0.8</v>
      </c>
      <c r="I4" s="87">
        <v>0.86</v>
      </c>
      <c r="J4" s="87">
        <v>0.92</v>
      </c>
      <c r="K4" s="87">
        <v>0.9</v>
      </c>
      <c r="L4" s="88">
        <v>0.94</v>
      </c>
      <c r="M4" s="80">
        <v>0.85</v>
      </c>
    </row>
    <row r="5" spans="2:15" x14ac:dyDescent="0.2">
      <c r="B5" s="34"/>
      <c r="C5" s="49" t="s">
        <v>38</v>
      </c>
      <c r="D5" s="59">
        <v>0.68</v>
      </c>
      <c r="E5" s="56">
        <v>0.64</v>
      </c>
      <c r="F5" s="59">
        <v>0.65</v>
      </c>
      <c r="G5" s="56">
        <v>0.71</v>
      </c>
      <c r="H5" s="59">
        <v>0.63</v>
      </c>
      <c r="I5" s="56">
        <v>0.8</v>
      </c>
      <c r="J5" s="59">
        <v>0.88</v>
      </c>
      <c r="K5" s="56">
        <v>0.87</v>
      </c>
      <c r="L5" s="59">
        <v>0.91</v>
      </c>
      <c r="M5" s="56">
        <v>0.79</v>
      </c>
      <c r="O5" s="74"/>
    </row>
    <row r="6" spans="2:15" x14ac:dyDescent="0.2">
      <c r="B6" s="34"/>
      <c r="C6" s="49" t="s">
        <v>39</v>
      </c>
      <c r="D6" s="59"/>
      <c r="E6" s="56"/>
      <c r="F6" s="59">
        <v>0.7</v>
      </c>
      <c r="G6" s="56">
        <v>0.73</v>
      </c>
      <c r="H6" s="59">
        <v>0.54</v>
      </c>
      <c r="I6" s="56">
        <v>0.81</v>
      </c>
      <c r="J6" s="59">
        <v>0.92</v>
      </c>
      <c r="K6" s="56">
        <v>0.88</v>
      </c>
      <c r="L6" s="59">
        <v>0.9</v>
      </c>
      <c r="M6" s="56">
        <v>0.82</v>
      </c>
    </row>
    <row r="7" spans="2:15" x14ac:dyDescent="0.2">
      <c r="B7" s="34"/>
      <c r="C7" s="49" t="s">
        <v>40</v>
      </c>
      <c r="D7" s="59"/>
      <c r="E7" s="56"/>
      <c r="F7" s="59">
        <v>0.75</v>
      </c>
      <c r="G7" s="56">
        <v>0.67</v>
      </c>
      <c r="H7" s="59">
        <v>0.65</v>
      </c>
      <c r="I7" s="56">
        <v>0.83</v>
      </c>
      <c r="J7" s="59">
        <v>0.85</v>
      </c>
      <c r="K7" s="56">
        <v>0.89</v>
      </c>
      <c r="L7" s="59">
        <v>0.96</v>
      </c>
      <c r="M7" s="56">
        <v>0.83</v>
      </c>
    </row>
    <row r="8" spans="2:15" x14ac:dyDescent="0.2">
      <c r="B8" s="34"/>
      <c r="C8" s="49" t="s">
        <v>41</v>
      </c>
      <c r="D8" s="59"/>
      <c r="E8" s="56"/>
      <c r="F8" s="59">
        <v>0.83</v>
      </c>
      <c r="G8" s="56">
        <v>0.85</v>
      </c>
      <c r="H8" s="59">
        <v>0.9</v>
      </c>
      <c r="I8" s="56">
        <v>0.92</v>
      </c>
      <c r="J8" s="59">
        <v>0.88</v>
      </c>
      <c r="K8" s="56">
        <v>0.95</v>
      </c>
      <c r="L8" s="59">
        <v>0.98</v>
      </c>
      <c r="M8" s="56">
        <v>0.92</v>
      </c>
    </row>
    <row r="9" spans="2:15" x14ac:dyDescent="0.2">
      <c r="B9" s="34"/>
      <c r="C9" s="49" t="s">
        <v>42</v>
      </c>
      <c r="D9" s="59"/>
      <c r="E9" s="56"/>
      <c r="F9" s="59">
        <v>0.73</v>
      </c>
      <c r="G9" s="56">
        <v>0.77</v>
      </c>
      <c r="H9" s="59">
        <v>0.85</v>
      </c>
      <c r="I9" s="56">
        <v>0.88</v>
      </c>
      <c r="J9" s="59">
        <v>0.93</v>
      </c>
      <c r="K9" s="56">
        <v>0.94</v>
      </c>
      <c r="L9" s="59">
        <v>0.96</v>
      </c>
      <c r="M9" s="56">
        <v>0.88</v>
      </c>
    </row>
    <row r="10" spans="2:15" x14ac:dyDescent="0.2">
      <c r="B10" s="35"/>
      <c r="C10" s="50" t="s">
        <v>43</v>
      </c>
      <c r="D10" s="60"/>
      <c r="E10" s="57">
        <v>0.33</v>
      </c>
      <c r="F10" s="60">
        <v>0.89</v>
      </c>
      <c r="G10" s="57">
        <v>0.75</v>
      </c>
      <c r="H10" s="60">
        <v>0.87</v>
      </c>
      <c r="I10" s="57">
        <v>0.91</v>
      </c>
      <c r="J10" s="60">
        <v>0.97</v>
      </c>
      <c r="K10" s="57">
        <v>0.92</v>
      </c>
      <c r="L10" s="60">
        <v>0.9</v>
      </c>
      <c r="M10" s="56">
        <v>0.91</v>
      </c>
    </row>
    <row r="11" spans="2:15" ht="15" customHeight="1" x14ac:dyDescent="0.2">
      <c r="B11" s="53" t="s">
        <v>44</v>
      </c>
      <c r="C11" s="52"/>
      <c r="D11" s="89">
        <v>0.94</v>
      </c>
      <c r="E11" s="89">
        <v>0.7</v>
      </c>
      <c r="F11" s="89">
        <v>0.66</v>
      </c>
      <c r="G11" s="89">
        <v>0.65</v>
      </c>
      <c r="H11" s="89">
        <v>0.77</v>
      </c>
      <c r="I11" s="90">
        <v>0.83</v>
      </c>
      <c r="J11" s="90">
        <v>0.85</v>
      </c>
      <c r="K11" s="90">
        <v>0.89</v>
      </c>
      <c r="L11" s="89">
        <v>0.87</v>
      </c>
      <c r="M11" s="89">
        <v>0.83</v>
      </c>
    </row>
    <row r="12" spans="2:15" x14ac:dyDescent="0.2">
      <c r="B12" s="34"/>
      <c r="C12" s="49" t="s">
        <v>45</v>
      </c>
      <c r="D12" s="59">
        <v>0.9</v>
      </c>
      <c r="E12" s="56">
        <v>0.79</v>
      </c>
      <c r="F12" s="59">
        <v>0.41</v>
      </c>
      <c r="G12" s="56">
        <v>0.73</v>
      </c>
      <c r="H12" s="59">
        <v>0.79</v>
      </c>
      <c r="I12" s="56">
        <v>0.82</v>
      </c>
      <c r="J12" s="59">
        <v>0.86</v>
      </c>
      <c r="K12" s="56">
        <v>0.87</v>
      </c>
      <c r="L12" s="59">
        <v>0.87</v>
      </c>
      <c r="M12" s="56">
        <v>0.83</v>
      </c>
    </row>
    <row r="13" spans="2:15" x14ac:dyDescent="0.2">
      <c r="B13" s="34"/>
      <c r="C13" s="49" t="s">
        <v>46</v>
      </c>
      <c r="D13" s="59"/>
      <c r="E13" s="56">
        <v>0.68</v>
      </c>
      <c r="F13" s="59"/>
      <c r="G13" s="56">
        <v>0.7</v>
      </c>
      <c r="H13" s="59">
        <v>0.76</v>
      </c>
      <c r="I13" s="56">
        <v>0.86</v>
      </c>
      <c r="J13" s="59">
        <v>0.82</v>
      </c>
      <c r="K13" s="56">
        <v>0.93</v>
      </c>
      <c r="L13" s="59">
        <v>0.89</v>
      </c>
      <c r="M13" s="56">
        <v>0.85</v>
      </c>
    </row>
    <row r="14" spans="2:15" x14ac:dyDescent="0.2">
      <c r="B14" s="35"/>
      <c r="C14" s="50" t="s">
        <v>47</v>
      </c>
      <c r="D14" s="60">
        <v>0.96</v>
      </c>
      <c r="E14" s="57">
        <v>0.66</v>
      </c>
      <c r="F14" s="60">
        <v>0.89</v>
      </c>
      <c r="G14" s="57">
        <v>0.61</v>
      </c>
      <c r="H14" s="60">
        <v>0.75</v>
      </c>
      <c r="I14" s="57">
        <v>0.87</v>
      </c>
      <c r="J14" s="60">
        <v>0.9</v>
      </c>
      <c r="K14" s="57">
        <v>0.93</v>
      </c>
      <c r="L14" s="60">
        <v>0.87</v>
      </c>
      <c r="M14" s="57">
        <v>0.78</v>
      </c>
    </row>
    <row r="15" spans="2:15" ht="12.75" customHeight="1" x14ac:dyDescent="0.2">
      <c r="B15" s="53" t="s">
        <v>48</v>
      </c>
      <c r="C15" s="52"/>
      <c r="D15" s="81">
        <v>0.93</v>
      </c>
      <c r="E15" s="82">
        <v>0.61</v>
      </c>
      <c r="F15" s="81">
        <v>0.77</v>
      </c>
      <c r="G15" s="82">
        <v>0.85</v>
      </c>
      <c r="H15" s="81">
        <v>0.77</v>
      </c>
      <c r="I15" s="82">
        <v>0.8</v>
      </c>
      <c r="J15" s="81">
        <v>0.88</v>
      </c>
      <c r="K15" s="82">
        <v>0.94</v>
      </c>
      <c r="L15" s="81">
        <v>0.91</v>
      </c>
      <c r="M15" s="82">
        <v>0.85</v>
      </c>
    </row>
    <row r="16" spans="2:15" x14ac:dyDescent="0.2">
      <c r="B16" s="34"/>
      <c r="C16" s="49" t="s">
        <v>49</v>
      </c>
      <c r="D16" s="59">
        <v>1</v>
      </c>
      <c r="E16" s="56">
        <v>0.56000000000000005</v>
      </c>
      <c r="F16" s="59">
        <v>0.48</v>
      </c>
      <c r="G16" s="56">
        <v>0.6</v>
      </c>
      <c r="H16" s="59">
        <v>0.59</v>
      </c>
      <c r="I16" s="56">
        <v>0.81</v>
      </c>
      <c r="J16" s="59">
        <v>1</v>
      </c>
      <c r="K16" s="56">
        <v>0.94</v>
      </c>
      <c r="L16" s="59">
        <v>1</v>
      </c>
      <c r="M16" s="56">
        <v>0.79</v>
      </c>
    </row>
    <row r="17" spans="2:13" x14ac:dyDescent="0.2">
      <c r="B17" s="34"/>
      <c r="C17" s="49" t="s">
        <v>50</v>
      </c>
      <c r="D17" s="59"/>
      <c r="E17" s="56">
        <v>0.88</v>
      </c>
      <c r="F17" s="59">
        <v>0.93</v>
      </c>
      <c r="G17" s="56">
        <v>0.79</v>
      </c>
      <c r="H17" s="59">
        <v>0.75</v>
      </c>
      <c r="I17" s="56">
        <v>0.89</v>
      </c>
      <c r="J17" s="59">
        <v>1</v>
      </c>
      <c r="K17" s="56">
        <v>0.94</v>
      </c>
      <c r="L17" s="59">
        <v>0.91</v>
      </c>
      <c r="M17" s="56">
        <v>0.91</v>
      </c>
    </row>
    <row r="18" spans="2:13" x14ac:dyDescent="0.2">
      <c r="B18" s="34"/>
      <c r="C18" s="49" t="s">
        <v>51</v>
      </c>
      <c r="D18" s="59">
        <v>0.92</v>
      </c>
      <c r="E18" s="56">
        <v>0.54</v>
      </c>
      <c r="F18" s="59">
        <v>0.75</v>
      </c>
      <c r="G18" s="56">
        <v>0.76</v>
      </c>
      <c r="H18" s="59">
        <v>0.5</v>
      </c>
      <c r="I18" s="56">
        <v>0.83</v>
      </c>
      <c r="J18" s="59"/>
      <c r="K18" s="56"/>
      <c r="L18" s="59"/>
      <c r="M18" s="56">
        <v>0.72</v>
      </c>
    </row>
    <row r="19" spans="2:13" x14ac:dyDescent="0.2">
      <c r="B19" s="34"/>
      <c r="C19" s="49" t="s">
        <v>52</v>
      </c>
      <c r="D19" s="59">
        <v>0.93</v>
      </c>
      <c r="E19" s="56">
        <v>0.7</v>
      </c>
      <c r="F19" s="59">
        <v>0.73</v>
      </c>
      <c r="G19" s="56">
        <v>0.81</v>
      </c>
      <c r="H19" s="59">
        <v>0.73</v>
      </c>
      <c r="I19" s="56">
        <v>0.77</v>
      </c>
      <c r="J19" s="59">
        <v>0.77</v>
      </c>
      <c r="K19" s="56">
        <v>0.94</v>
      </c>
      <c r="L19" s="59">
        <v>0.95</v>
      </c>
      <c r="M19" s="56">
        <v>0.85</v>
      </c>
    </row>
    <row r="20" spans="2:13" x14ac:dyDescent="0.2">
      <c r="B20" s="34"/>
      <c r="C20" s="49" t="s">
        <v>53</v>
      </c>
      <c r="D20" s="59"/>
      <c r="E20" s="56">
        <v>0.72</v>
      </c>
      <c r="F20" s="59">
        <v>0.68</v>
      </c>
      <c r="G20" s="56">
        <v>0.82</v>
      </c>
      <c r="H20" s="59">
        <v>0.77</v>
      </c>
      <c r="I20" s="56">
        <v>0.86</v>
      </c>
      <c r="J20" s="59">
        <v>0.67</v>
      </c>
      <c r="K20" s="56">
        <v>0.94</v>
      </c>
      <c r="L20" s="59">
        <v>0.91</v>
      </c>
      <c r="M20" s="56">
        <v>0.89</v>
      </c>
    </row>
    <row r="21" spans="2:13" x14ac:dyDescent="0.2">
      <c r="B21" s="34"/>
      <c r="C21" s="49" t="s">
        <v>54</v>
      </c>
      <c r="D21" s="59"/>
      <c r="E21" s="56"/>
      <c r="F21" s="59"/>
      <c r="G21" s="56"/>
      <c r="H21" s="59">
        <v>0.82</v>
      </c>
      <c r="I21" s="56">
        <v>0.93</v>
      </c>
      <c r="J21" s="59">
        <v>0.88</v>
      </c>
      <c r="K21" s="56">
        <v>0.95</v>
      </c>
      <c r="L21" s="59">
        <v>0.93</v>
      </c>
      <c r="M21" s="56">
        <v>0.91</v>
      </c>
    </row>
    <row r="22" spans="2:13" x14ac:dyDescent="0.2">
      <c r="B22" s="34"/>
      <c r="C22" s="49" t="s">
        <v>55</v>
      </c>
      <c r="D22" s="59">
        <v>0.91</v>
      </c>
      <c r="E22" s="56">
        <v>0.66</v>
      </c>
      <c r="F22" s="59">
        <v>0.79</v>
      </c>
      <c r="G22" s="56">
        <v>0.9</v>
      </c>
      <c r="H22" s="59">
        <v>0.59</v>
      </c>
      <c r="I22" s="56">
        <v>0.67</v>
      </c>
      <c r="J22" s="59">
        <v>0.93</v>
      </c>
      <c r="K22" s="56">
        <v>0.93</v>
      </c>
      <c r="L22" s="59">
        <v>0.91</v>
      </c>
      <c r="M22" s="56">
        <v>0.82</v>
      </c>
    </row>
    <row r="23" spans="2:13" x14ac:dyDescent="0.2">
      <c r="B23" s="34"/>
      <c r="C23" s="49" t="s">
        <v>56</v>
      </c>
      <c r="D23" s="59"/>
      <c r="E23" s="56"/>
      <c r="F23" s="59">
        <v>0.96</v>
      </c>
      <c r="G23" s="56">
        <v>0.95</v>
      </c>
      <c r="H23" s="59">
        <v>0.85</v>
      </c>
      <c r="I23" s="56">
        <v>0.88</v>
      </c>
      <c r="J23" s="59">
        <v>0.88</v>
      </c>
      <c r="K23" s="56">
        <v>0.95</v>
      </c>
      <c r="L23" s="59">
        <v>0.89</v>
      </c>
      <c r="M23" s="56">
        <v>0.9</v>
      </c>
    </row>
    <row r="24" spans="2:13" x14ac:dyDescent="0.2">
      <c r="B24" s="34"/>
      <c r="C24" s="49" t="s">
        <v>57</v>
      </c>
      <c r="D24" s="59"/>
      <c r="E24" s="56">
        <v>1</v>
      </c>
      <c r="F24" s="59">
        <v>0.88</v>
      </c>
      <c r="G24" s="56">
        <v>0.85</v>
      </c>
      <c r="H24" s="59">
        <v>0.84</v>
      </c>
      <c r="I24" s="56">
        <v>0.75</v>
      </c>
      <c r="J24" s="59"/>
      <c r="K24" s="56">
        <v>1</v>
      </c>
      <c r="L24" s="59"/>
      <c r="M24" s="56">
        <v>0.85</v>
      </c>
    </row>
    <row r="25" spans="2:13" x14ac:dyDescent="0.2">
      <c r="B25" s="35"/>
      <c r="C25" s="50" t="s">
        <v>58</v>
      </c>
      <c r="D25" s="60"/>
      <c r="E25" s="57">
        <v>0.65</v>
      </c>
      <c r="F25" s="60">
        <v>0.98</v>
      </c>
      <c r="G25" s="57">
        <v>0.83</v>
      </c>
      <c r="H25" s="60">
        <v>0.83</v>
      </c>
      <c r="I25" s="57">
        <v>0.83</v>
      </c>
      <c r="J25" s="60">
        <v>0.33</v>
      </c>
      <c r="K25" s="57">
        <v>0.93</v>
      </c>
      <c r="L25" s="60">
        <v>0.91</v>
      </c>
      <c r="M25" s="57">
        <v>0.91</v>
      </c>
    </row>
    <row r="26" spans="2:13" ht="15" customHeight="1" x14ac:dyDescent="0.2">
      <c r="B26" s="53" t="s">
        <v>59</v>
      </c>
      <c r="C26" s="52"/>
      <c r="D26" s="81">
        <v>0.67</v>
      </c>
      <c r="E26" s="82">
        <v>0.62</v>
      </c>
      <c r="F26" s="81">
        <v>0.79</v>
      </c>
      <c r="G26" s="82">
        <v>0.84</v>
      </c>
      <c r="H26" s="81">
        <v>0.86</v>
      </c>
      <c r="I26" s="82">
        <v>0.9</v>
      </c>
      <c r="J26" s="81">
        <v>0.92</v>
      </c>
      <c r="K26" s="82">
        <v>0.95</v>
      </c>
      <c r="L26" s="81">
        <v>0.94</v>
      </c>
      <c r="M26" s="82">
        <v>0.85</v>
      </c>
    </row>
    <row r="27" spans="2:13" x14ac:dyDescent="0.2">
      <c r="B27" s="34"/>
      <c r="C27" s="49" t="s">
        <v>60</v>
      </c>
      <c r="D27" s="59"/>
      <c r="E27" s="56">
        <v>0.43</v>
      </c>
      <c r="F27" s="59"/>
      <c r="G27" s="56">
        <v>0.77</v>
      </c>
      <c r="H27" s="59">
        <v>0.85</v>
      </c>
      <c r="I27" s="56">
        <v>0.9</v>
      </c>
      <c r="J27" s="59">
        <v>0.87</v>
      </c>
      <c r="K27" s="56">
        <v>0.95</v>
      </c>
      <c r="L27" s="59">
        <v>0.94</v>
      </c>
      <c r="M27" s="56">
        <v>0.89</v>
      </c>
    </row>
    <row r="28" spans="2:13" x14ac:dyDescent="0.2">
      <c r="B28" s="35"/>
      <c r="C28" s="50" t="s">
        <v>61</v>
      </c>
      <c r="D28" s="60">
        <v>0.67</v>
      </c>
      <c r="E28" s="57">
        <v>0.62</v>
      </c>
      <c r="F28" s="60">
        <v>0.79</v>
      </c>
      <c r="G28" s="57">
        <v>0.85</v>
      </c>
      <c r="H28" s="60">
        <v>0.87</v>
      </c>
      <c r="I28" s="57">
        <v>0.88</v>
      </c>
      <c r="J28" s="60">
        <v>0.96</v>
      </c>
      <c r="K28" s="57">
        <v>0.85</v>
      </c>
      <c r="L28" s="60">
        <v>0.95</v>
      </c>
      <c r="M28" s="57">
        <v>0.82</v>
      </c>
    </row>
    <row r="29" spans="2:13" ht="15" customHeight="1" x14ac:dyDescent="0.2">
      <c r="B29" s="53" t="s">
        <v>62</v>
      </c>
      <c r="C29" s="52"/>
      <c r="D29" s="81">
        <v>0.6</v>
      </c>
      <c r="E29" s="82">
        <v>0.8</v>
      </c>
      <c r="F29" s="81">
        <v>0.75</v>
      </c>
      <c r="G29" s="82">
        <v>0.73</v>
      </c>
      <c r="H29" s="81">
        <v>0.87</v>
      </c>
      <c r="I29" s="82">
        <v>0.92</v>
      </c>
      <c r="J29" s="81">
        <v>0.89</v>
      </c>
      <c r="K29" s="82">
        <v>0.89</v>
      </c>
      <c r="L29" s="81">
        <v>0.9</v>
      </c>
      <c r="M29" s="82">
        <v>0.82</v>
      </c>
    </row>
    <row r="30" spans="2:13" x14ac:dyDescent="0.2">
      <c r="B30" s="34"/>
      <c r="C30" s="49" t="s">
        <v>63</v>
      </c>
      <c r="D30" s="59">
        <v>0.6</v>
      </c>
      <c r="E30" s="56">
        <v>0.71</v>
      </c>
      <c r="F30" s="59">
        <v>0.8</v>
      </c>
      <c r="G30" s="56">
        <v>0.73</v>
      </c>
      <c r="H30" s="59">
        <v>0.91</v>
      </c>
      <c r="I30" s="56">
        <v>0.93</v>
      </c>
      <c r="J30" s="59">
        <v>1</v>
      </c>
      <c r="K30" s="56">
        <v>0.94</v>
      </c>
      <c r="L30" s="59">
        <v>0.9</v>
      </c>
      <c r="M30" s="56">
        <v>0.84</v>
      </c>
    </row>
    <row r="31" spans="2:13" x14ac:dyDescent="0.2">
      <c r="B31" s="34"/>
      <c r="C31" s="49" t="s">
        <v>64</v>
      </c>
      <c r="D31" s="59"/>
      <c r="E31" s="56">
        <v>0.73</v>
      </c>
      <c r="F31" s="59">
        <v>0.73</v>
      </c>
      <c r="G31" s="56">
        <v>0.66</v>
      </c>
      <c r="H31" s="59">
        <v>0.75</v>
      </c>
      <c r="I31" s="56">
        <v>0.91</v>
      </c>
      <c r="J31" s="59">
        <v>0.84</v>
      </c>
      <c r="K31" s="56">
        <v>0.96</v>
      </c>
      <c r="L31" s="59">
        <v>0.93</v>
      </c>
      <c r="M31" s="56">
        <v>0.73</v>
      </c>
    </row>
    <row r="32" spans="2:13" x14ac:dyDescent="0.2">
      <c r="B32" s="34"/>
      <c r="C32" s="49" t="s">
        <v>65</v>
      </c>
      <c r="D32" s="59"/>
      <c r="E32" s="56">
        <v>0.76</v>
      </c>
      <c r="F32" s="59">
        <v>0.64</v>
      </c>
      <c r="G32" s="56">
        <v>0.63</v>
      </c>
      <c r="H32" s="59">
        <v>0.92</v>
      </c>
      <c r="I32" s="56">
        <v>0.95</v>
      </c>
      <c r="J32" s="59">
        <v>1</v>
      </c>
      <c r="K32" s="56">
        <v>0.97</v>
      </c>
      <c r="L32" s="59">
        <v>0.9</v>
      </c>
      <c r="M32" s="56">
        <v>0.85</v>
      </c>
    </row>
    <row r="33" spans="2:13" x14ac:dyDescent="0.2">
      <c r="B33" s="34"/>
      <c r="C33" s="49" t="s">
        <v>66</v>
      </c>
      <c r="D33" s="59"/>
      <c r="E33" s="56">
        <v>0.98</v>
      </c>
      <c r="F33" s="59">
        <v>0.78</v>
      </c>
      <c r="G33" s="56">
        <v>0.84</v>
      </c>
      <c r="H33" s="59">
        <v>0.97</v>
      </c>
      <c r="I33" s="56">
        <v>0.93</v>
      </c>
      <c r="J33" s="59">
        <v>1</v>
      </c>
      <c r="K33" s="56">
        <v>1</v>
      </c>
      <c r="L33" s="59">
        <v>1</v>
      </c>
      <c r="M33" s="56">
        <v>0.95</v>
      </c>
    </row>
    <row r="34" spans="2:13" x14ac:dyDescent="0.2">
      <c r="B34" s="34"/>
      <c r="C34" s="49" t="s">
        <v>67</v>
      </c>
      <c r="D34" s="59"/>
      <c r="E34" s="56">
        <v>0.73</v>
      </c>
      <c r="F34" s="59">
        <v>0.9</v>
      </c>
      <c r="G34" s="56">
        <v>0.84</v>
      </c>
      <c r="H34" s="59">
        <v>0.89</v>
      </c>
      <c r="I34" s="56">
        <v>0.91</v>
      </c>
      <c r="J34" s="59">
        <v>0.88</v>
      </c>
      <c r="K34" s="56">
        <v>0.87</v>
      </c>
      <c r="L34" s="59">
        <v>0.9</v>
      </c>
      <c r="M34" s="56">
        <v>0.89</v>
      </c>
    </row>
    <row r="35" spans="2:13" x14ac:dyDescent="0.2">
      <c r="B35" s="35"/>
      <c r="C35" s="50" t="s">
        <v>68</v>
      </c>
      <c r="D35" s="60"/>
      <c r="E35" s="57">
        <v>0.85</v>
      </c>
      <c r="F35" s="60">
        <v>0.65</v>
      </c>
      <c r="G35" s="57">
        <v>0.82</v>
      </c>
      <c r="H35" s="60">
        <v>0.83</v>
      </c>
      <c r="I35" s="57">
        <v>0.96</v>
      </c>
      <c r="J35" s="60">
        <v>1</v>
      </c>
      <c r="K35" s="57">
        <v>0.92</v>
      </c>
      <c r="L35" s="60">
        <v>1</v>
      </c>
      <c r="M35" s="57">
        <v>0.83</v>
      </c>
    </row>
    <row r="36" spans="2:13" x14ac:dyDescent="0.2">
      <c r="B36" s="53" t="s">
        <v>69</v>
      </c>
      <c r="C36" s="52"/>
      <c r="D36" s="81">
        <v>0.83</v>
      </c>
      <c r="E36" s="82">
        <v>0.69</v>
      </c>
      <c r="F36" s="81">
        <v>0.75</v>
      </c>
      <c r="G36" s="82">
        <v>0.81</v>
      </c>
      <c r="H36" s="81">
        <v>0.87</v>
      </c>
      <c r="I36" s="82">
        <v>0.94</v>
      </c>
      <c r="J36" s="81">
        <v>0.94</v>
      </c>
      <c r="K36" s="82">
        <v>0.94</v>
      </c>
      <c r="L36" s="81">
        <v>0.94</v>
      </c>
      <c r="M36" s="82">
        <v>0.92</v>
      </c>
    </row>
    <row r="37" spans="2:13" x14ac:dyDescent="0.2">
      <c r="B37" s="34"/>
      <c r="C37" s="49" t="s">
        <v>70</v>
      </c>
      <c r="D37" s="59"/>
      <c r="E37" s="56"/>
      <c r="F37" s="59"/>
      <c r="G37" s="56"/>
      <c r="H37" s="59"/>
      <c r="I37" s="56">
        <v>0.98</v>
      </c>
      <c r="J37" s="59">
        <v>1</v>
      </c>
      <c r="K37" s="56">
        <v>0.95</v>
      </c>
      <c r="L37" s="59">
        <v>0.98</v>
      </c>
      <c r="M37" s="56">
        <v>0.97</v>
      </c>
    </row>
    <row r="38" spans="2:13" x14ac:dyDescent="0.2">
      <c r="B38" s="34"/>
      <c r="C38" s="49" t="s">
        <v>71</v>
      </c>
      <c r="D38" s="59"/>
      <c r="E38" s="56">
        <v>0.76</v>
      </c>
      <c r="F38" s="59">
        <v>0.82</v>
      </c>
      <c r="G38" s="56">
        <v>0.92</v>
      </c>
      <c r="H38" s="59">
        <v>0.91</v>
      </c>
      <c r="I38" s="56">
        <v>0.94</v>
      </c>
      <c r="J38" s="59">
        <v>0.96</v>
      </c>
      <c r="K38" s="56">
        <v>0.94</v>
      </c>
      <c r="L38" s="59">
        <v>0.94</v>
      </c>
      <c r="M38" s="56">
        <v>0.94</v>
      </c>
    </row>
    <row r="39" spans="2:13" x14ac:dyDescent="0.2">
      <c r="B39" s="34"/>
      <c r="C39" s="49" t="s">
        <v>72</v>
      </c>
      <c r="D39" s="59"/>
      <c r="E39" s="56"/>
      <c r="F39" s="59">
        <v>0.8</v>
      </c>
      <c r="G39" s="56">
        <v>0.9</v>
      </c>
      <c r="H39" s="59">
        <v>0.9</v>
      </c>
      <c r="I39" s="56">
        <v>0.97</v>
      </c>
      <c r="J39" s="59">
        <v>0.96</v>
      </c>
      <c r="K39" s="56">
        <v>0.97</v>
      </c>
      <c r="L39" s="59">
        <v>1</v>
      </c>
      <c r="M39" s="56">
        <v>0.93</v>
      </c>
    </row>
    <row r="40" spans="2:13" x14ac:dyDescent="0.2">
      <c r="B40" s="34"/>
      <c r="C40" s="49" t="s">
        <v>73</v>
      </c>
      <c r="D40" s="59"/>
      <c r="E40" s="56"/>
      <c r="F40" s="59"/>
      <c r="G40" s="56"/>
      <c r="H40" s="59"/>
      <c r="I40" s="56">
        <v>0.96</v>
      </c>
      <c r="J40" s="59"/>
      <c r="K40" s="56">
        <v>1</v>
      </c>
      <c r="L40" s="59">
        <v>0.8</v>
      </c>
      <c r="M40" s="56">
        <v>0.96</v>
      </c>
    </row>
    <row r="41" spans="2:13" x14ac:dyDescent="0.2">
      <c r="B41" s="34"/>
      <c r="C41" s="49" t="s">
        <v>74</v>
      </c>
      <c r="D41" s="59"/>
      <c r="E41" s="56"/>
      <c r="F41" s="59"/>
      <c r="G41" s="56"/>
      <c r="H41" s="59"/>
      <c r="I41" s="56">
        <v>0.99</v>
      </c>
      <c r="J41" s="59"/>
      <c r="K41" s="56"/>
      <c r="L41" s="59">
        <v>0.88</v>
      </c>
      <c r="M41" s="56">
        <v>0.98</v>
      </c>
    </row>
    <row r="42" spans="2:13" x14ac:dyDescent="0.2">
      <c r="B42" s="34"/>
      <c r="C42" s="49" t="s">
        <v>75</v>
      </c>
      <c r="D42" s="59"/>
      <c r="E42" s="56">
        <v>0.83</v>
      </c>
      <c r="F42" s="59">
        <v>0.64</v>
      </c>
      <c r="G42" s="56">
        <v>0.82</v>
      </c>
      <c r="H42" s="59">
        <v>0.86</v>
      </c>
      <c r="I42" s="56">
        <v>0.96</v>
      </c>
      <c r="J42" s="59">
        <v>1</v>
      </c>
      <c r="K42" s="56">
        <v>0.84</v>
      </c>
      <c r="L42" s="59">
        <v>0.73</v>
      </c>
      <c r="M42" s="56">
        <v>0.84</v>
      </c>
    </row>
    <row r="43" spans="2:13" x14ac:dyDescent="0.2">
      <c r="B43" s="34"/>
      <c r="C43" s="49" t="s">
        <v>76</v>
      </c>
      <c r="D43" s="59">
        <v>0.88</v>
      </c>
      <c r="E43" s="56">
        <v>0.59</v>
      </c>
      <c r="F43" s="59">
        <v>0.82</v>
      </c>
      <c r="G43" s="56">
        <v>0.79</v>
      </c>
      <c r="H43" s="59">
        <v>0.91</v>
      </c>
      <c r="I43" s="56">
        <v>0.89</v>
      </c>
      <c r="J43" s="59">
        <v>0.9</v>
      </c>
      <c r="K43" s="56">
        <v>0.9</v>
      </c>
      <c r="L43" s="59">
        <v>0.93</v>
      </c>
      <c r="M43" s="56">
        <v>0.87</v>
      </c>
    </row>
    <row r="44" spans="2:13" x14ac:dyDescent="0.2">
      <c r="B44" s="34"/>
      <c r="C44" s="49" t="s">
        <v>77</v>
      </c>
      <c r="D44" s="59"/>
      <c r="E44" s="56"/>
      <c r="F44" s="59"/>
      <c r="G44" s="56"/>
      <c r="H44" s="59"/>
      <c r="I44" s="56">
        <v>0.9</v>
      </c>
      <c r="J44" s="59"/>
      <c r="K44" s="56">
        <v>0.97</v>
      </c>
      <c r="L44" s="59">
        <v>0.83</v>
      </c>
      <c r="M44" s="56">
        <v>0.92</v>
      </c>
    </row>
    <row r="45" spans="2:13" x14ac:dyDescent="0.2">
      <c r="B45" s="34"/>
      <c r="C45" s="49" t="s">
        <v>78</v>
      </c>
      <c r="D45" s="59"/>
      <c r="E45" s="56"/>
      <c r="F45" s="59"/>
      <c r="G45" s="56">
        <v>0.78</v>
      </c>
      <c r="H45" s="59">
        <v>0.88</v>
      </c>
      <c r="I45" s="56">
        <v>0.94</v>
      </c>
      <c r="J45" s="59">
        <v>0.5</v>
      </c>
      <c r="K45" s="56">
        <v>0.96</v>
      </c>
      <c r="L45" s="59">
        <v>0.98</v>
      </c>
      <c r="M45" s="56">
        <v>0.94</v>
      </c>
    </row>
    <row r="46" spans="2:13" x14ac:dyDescent="0.2">
      <c r="B46" s="34"/>
      <c r="C46" s="49" t="s">
        <v>79</v>
      </c>
      <c r="D46" s="59"/>
      <c r="E46" s="56"/>
      <c r="F46" s="59"/>
      <c r="G46" s="56">
        <v>0.73</v>
      </c>
      <c r="H46" s="59">
        <v>0.68</v>
      </c>
      <c r="I46" s="56">
        <v>0.85</v>
      </c>
      <c r="J46" s="59"/>
      <c r="K46" s="56">
        <v>0.88</v>
      </c>
      <c r="L46" s="59">
        <v>0.7</v>
      </c>
      <c r="M46" s="56">
        <v>0.82</v>
      </c>
    </row>
    <row r="47" spans="2:13" x14ac:dyDescent="0.2">
      <c r="B47" s="35"/>
      <c r="C47" s="50" t="s">
        <v>80</v>
      </c>
      <c r="D47" s="60">
        <v>0.71</v>
      </c>
      <c r="E47" s="57">
        <v>0.73</v>
      </c>
      <c r="F47" s="60">
        <v>0.76</v>
      </c>
      <c r="G47" s="57">
        <v>0.78</v>
      </c>
      <c r="H47" s="60">
        <v>0.81</v>
      </c>
      <c r="I47" s="57">
        <v>0.9</v>
      </c>
      <c r="J47" s="60">
        <v>0.96</v>
      </c>
      <c r="K47" s="57">
        <v>0.94</v>
      </c>
      <c r="L47" s="60">
        <v>0.94</v>
      </c>
      <c r="M47" s="57">
        <v>0.89</v>
      </c>
    </row>
    <row r="48" spans="2:13" x14ac:dyDescent="0.2">
      <c r="B48" s="53" t="s">
        <v>81</v>
      </c>
      <c r="C48" s="52"/>
      <c r="D48" s="81">
        <v>0.8</v>
      </c>
      <c r="E48" s="82">
        <v>0.75</v>
      </c>
      <c r="F48" s="81">
        <v>0.72</v>
      </c>
      <c r="G48" s="82">
        <v>0.81</v>
      </c>
      <c r="H48" s="81">
        <v>0.83</v>
      </c>
      <c r="I48" s="82">
        <v>0.9</v>
      </c>
      <c r="J48" s="81">
        <v>0.94</v>
      </c>
      <c r="K48" s="82">
        <v>0.92</v>
      </c>
      <c r="L48" s="81">
        <v>0.92</v>
      </c>
      <c r="M48" s="82">
        <v>0.9</v>
      </c>
    </row>
    <row r="49" spans="2:16" x14ac:dyDescent="0.2">
      <c r="B49" s="34"/>
      <c r="C49" s="49" t="s">
        <v>82</v>
      </c>
      <c r="D49" s="59"/>
      <c r="E49" s="56">
        <v>0.21</v>
      </c>
      <c r="F49" s="59">
        <v>0.72</v>
      </c>
      <c r="G49" s="56">
        <v>0.83</v>
      </c>
      <c r="H49" s="59">
        <v>0.84</v>
      </c>
      <c r="I49" s="56">
        <v>0.9</v>
      </c>
      <c r="J49" s="59">
        <v>0.94</v>
      </c>
      <c r="K49" s="56">
        <v>0.95</v>
      </c>
      <c r="L49" s="59">
        <v>0.9</v>
      </c>
      <c r="M49" s="56">
        <v>0.9</v>
      </c>
    </row>
    <row r="50" spans="2:16" x14ac:dyDescent="0.2">
      <c r="B50" s="34"/>
      <c r="C50" s="49" t="s">
        <v>83</v>
      </c>
      <c r="D50" s="59"/>
      <c r="E50" s="56">
        <v>0.75</v>
      </c>
      <c r="F50" s="59"/>
      <c r="G50" s="56">
        <v>0.57999999999999996</v>
      </c>
      <c r="H50" s="59">
        <v>0.73</v>
      </c>
      <c r="I50" s="56">
        <v>0.89</v>
      </c>
      <c r="J50" s="59">
        <v>0.92</v>
      </c>
      <c r="K50" s="56">
        <v>0.87</v>
      </c>
      <c r="L50" s="59">
        <v>0.93</v>
      </c>
      <c r="M50" s="56">
        <v>0.89</v>
      </c>
    </row>
    <row r="51" spans="2:16" x14ac:dyDescent="0.2">
      <c r="B51" s="35"/>
      <c r="C51" s="50" t="s">
        <v>84</v>
      </c>
      <c r="D51" s="60">
        <v>0.8</v>
      </c>
      <c r="E51" s="57">
        <v>0.83</v>
      </c>
      <c r="F51" s="60"/>
      <c r="G51" s="57">
        <v>0.65</v>
      </c>
      <c r="H51" s="60">
        <v>0.75</v>
      </c>
      <c r="I51" s="57">
        <v>0.86</v>
      </c>
      <c r="J51" s="60">
        <v>0.93</v>
      </c>
      <c r="K51" s="57">
        <v>0.97</v>
      </c>
      <c r="L51" s="60">
        <v>0.99</v>
      </c>
      <c r="M51" s="57">
        <v>0.9</v>
      </c>
    </row>
    <row r="52" spans="2:16" ht="15" customHeight="1" x14ac:dyDescent="0.2">
      <c r="B52" s="53" t="s">
        <v>85</v>
      </c>
      <c r="C52" s="52"/>
      <c r="D52" s="81">
        <v>0.78</v>
      </c>
      <c r="E52" s="82">
        <v>0.71</v>
      </c>
      <c r="F52" s="81">
        <v>0.75</v>
      </c>
      <c r="G52" s="82">
        <v>0.78</v>
      </c>
      <c r="H52" s="81">
        <v>0.76</v>
      </c>
      <c r="I52" s="82">
        <v>0.88</v>
      </c>
      <c r="J52" s="81">
        <v>0.82</v>
      </c>
      <c r="K52" s="82">
        <v>0.91</v>
      </c>
      <c r="L52" s="81">
        <v>0.93</v>
      </c>
      <c r="M52" s="82">
        <v>0.84</v>
      </c>
    </row>
    <row r="53" spans="2:16" x14ac:dyDescent="0.2">
      <c r="B53" s="34"/>
      <c r="C53" s="49" t="s">
        <v>86</v>
      </c>
      <c r="D53" s="59">
        <v>0.61</v>
      </c>
      <c r="E53" s="56">
        <v>0.9</v>
      </c>
      <c r="F53" s="59">
        <v>0.86</v>
      </c>
      <c r="G53" s="56">
        <v>0.86</v>
      </c>
      <c r="H53" s="59">
        <v>0.71</v>
      </c>
      <c r="I53" s="56">
        <v>0.85</v>
      </c>
      <c r="J53" s="59">
        <v>0.82</v>
      </c>
      <c r="K53" s="56">
        <v>0.91</v>
      </c>
      <c r="L53" s="59">
        <v>0.91</v>
      </c>
      <c r="M53" s="56">
        <v>0.85</v>
      </c>
    </row>
    <row r="54" spans="2:16" x14ac:dyDescent="0.2">
      <c r="B54" s="34"/>
      <c r="C54" s="49" t="s">
        <v>87</v>
      </c>
      <c r="D54" s="59"/>
      <c r="E54" s="56">
        <v>0.81</v>
      </c>
      <c r="F54" s="59">
        <v>0.76</v>
      </c>
      <c r="G54" s="56">
        <v>0.75</v>
      </c>
      <c r="H54" s="59">
        <v>0.73</v>
      </c>
      <c r="I54" s="56">
        <v>0.88</v>
      </c>
      <c r="J54" s="59">
        <v>0.81</v>
      </c>
      <c r="K54" s="56">
        <v>0.91</v>
      </c>
      <c r="L54" s="59">
        <v>0.94</v>
      </c>
      <c r="M54" s="56">
        <v>0.83</v>
      </c>
    </row>
    <row r="55" spans="2:16" x14ac:dyDescent="0.2">
      <c r="B55" s="34"/>
      <c r="C55" s="49" t="s">
        <v>88</v>
      </c>
      <c r="D55" s="59">
        <v>0.62</v>
      </c>
      <c r="E55" s="56">
        <v>0.71</v>
      </c>
      <c r="F55" s="59">
        <v>0.82</v>
      </c>
      <c r="G55" s="56">
        <v>0.76</v>
      </c>
      <c r="H55" s="59">
        <v>0.81</v>
      </c>
      <c r="I55" s="56">
        <v>0.9</v>
      </c>
      <c r="J55" s="59">
        <v>0.97</v>
      </c>
      <c r="K55" s="56">
        <v>0.89</v>
      </c>
      <c r="L55" s="59">
        <v>0.93</v>
      </c>
      <c r="M55" s="56">
        <v>0.86</v>
      </c>
    </row>
    <row r="56" spans="2:16" x14ac:dyDescent="0.2">
      <c r="B56" s="34"/>
      <c r="C56" s="49" t="s">
        <v>89</v>
      </c>
      <c r="D56" s="59">
        <v>0.85</v>
      </c>
      <c r="E56" s="56">
        <v>0.76</v>
      </c>
      <c r="F56" s="59">
        <v>0.85</v>
      </c>
      <c r="G56" s="56">
        <v>0.91</v>
      </c>
      <c r="H56" s="59">
        <v>0.75</v>
      </c>
      <c r="I56" s="56">
        <v>0.88</v>
      </c>
      <c r="J56" s="59">
        <v>1</v>
      </c>
      <c r="K56" s="56">
        <v>0.52</v>
      </c>
      <c r="L56" s="59">
        <v>0.96</v>
      </c>
      <c r="M56" s="56">
        <v>0.84</v>
      </c>
    </row>
    <row r="57" spans="2:16" x14ac:dyDescent="0.2">
      <c r="B57" s="34"/>
      <c r="C57" s="105" t="s">
        <v>122</v>
      </c>
      <c r="D57" s="59">
        <v>0.6</v>
      </c>
      <c r="E57" s="56">
        <v>0.68</v>
      </c>
      <c r="F57" s="59">
        <v>0.68</v>
      </c>
      <c r="G57" s="56">
        <v>0.88</v>
      </c>
      <c r="H57" s="59">
        <v>0.82</v>
      </c>
      <c r="I57" s="56">
        <v>0.88</v>
      </c>
      <c r="J57" s="59"/>
      <c r="K57" s="56"/>
      <c r="L57" s="59"/>
      <c r="M57" s="56">
        <v>0.69</v>
      </c>
      <c r="O57" s="75"/>
      <c r="P57" s="104"/>
    </row>
    <row r="58" spans="2:16" x14ac:dyDescent="0.2">
      <c r="B58" s="34"/>
      <c r="C58" s="49" t="s">
        <v>90</v>
      </c>
      <c r="D58" s="59">
        <v>0.82</v>
      </c>
      <c r="E58" s="56">
        <v>0.76</v>
      </c>
      <c r="F58" s="59">
        <v>0.73</v>
      </c>
      <c r="G58" s="56">
        <v>0.68</v>
      </c>
      <c r="H58" s="59">
        <v>0.82</v>
      </c>
      <c r="I58" s="56">
        <v>0.88</v>
      </c>
      <c r="J58" s="59">
        <v>0.92</v>
      </c>
      <c r="K58" s="56">
        <v>0.94</v>
      </c>
      <c r="L58" s="59">
        <v>0.93</v>
      </c>
      <c r="M58" s="56">
        <v>0.85</v>
      </c>
    </row>
    <row r="59" spans="2:16" x14ac:dyDescent="0.2">
      <c r="B59" s="35"/>
      <c r="C59" s="50" t="s">
        <v>91</v>
      </c>
      <c r="D59" s="60"/>
      <c r="E59" s="57">
        <v>0.81</v>
      </c>
      <c r="F59" s="60">
        <v>0.87</v>
      </c>
      <c r="G59" s="57">
        <v>0.57999999999999996</v>
      </c>
      <c r="H59" s="60">
        <v>0.7</v>
      </c>
      <c r="I59" s="57">
        <v>0.88</v>
      </c>
      <c r="J59" s="60">
        <v>0.9</v>
      </c>
      <c r="K59" s="57">
        <v>0.93</v>
      </c>
      <c r="L59" s="60">
        <v>0.86</v>
      </c>
      <c r="M59" s="57">
        <v>0.85</v>
      </c>
    </row>
    <row r="60" spans="2:16" ht="15" customHeight="1" x14ac:dyDescent="0.2">
      <c r="B60" s="53" t="s">
        <v>92</v>
      </c>
      <c r="C60" s="52"/>
      <c r="D60" s="81">
        <v>0.76</v>
      </c>
      <c r="E60" s="82">
        <v>0.72</v>
      </c>
      <c r="F60" s="81">
        <v>0.78</v>
      </c>
      <c r="G60" s="82">
        <v>0.74</v>
      </c>
      <c r="H60" s="81">
        <v>0.78</v>
      </c>
      <c r="I60" s="82">
        <v>0.87</v>
      </c>
      <c r="J60" s="81">
        <v>0.87</v>
      </c>
      <c r="K60" s="82">
        <v>0.92</v>
      </c>
      <c r="L60" s="81">
        <v>0.9</v>
      </c>
      <c r="M60" s="82">
        <v>0.82</v>
      </c>
    </row>
    <row r="61" spans="2:16" x14ac:dyDescent="0.2">
      <c r="B61" s="34"/>
      <c r="C61" s="49" t="s">
        <v>93</v>
      </c>
      <c r="D61" s="59"/>
      <c r="E61" s="56">
        <v>0.67</v>
      </c>
      <c r="F61" s="59"/>
      <c r="G61" s="56"/>
      <c r="H61" s="59">
        <v>0.71</v>
      </c>
      <c r="I61" s="56">
        <v>0.87</v>
      </c>
      <c r="J61" s="59">
        <v>0.87</v>
      </c>
      <c r="K61" s="56">
        <v>0.9</v>
      </c>
      <c r="L61" s="59">
        <v>0.91</v>
      </c>
      <c r="M61" s="56">
        <v>0.88</v>
      </c>
    </row>
    <row r="62" spans="2:16" x14ac:dyDescent="0.2">
      <c r="B62" s="34"/>
      <c r="C62" s="49" t="s">
        <v>94</v>
      </c>
      <c r="D62" s="59">
        <v>0.64</v>
      </c>
      <c r="E62" s="56">
        <v>0.79</v>
      </c>
      <c r="F62" s="59">
        <v>0.77</v>
      </c>
      <c r="G62" s="56">
        <v>0.66</v>
      </c>
      <c r="H62" s="59">
        <v>0.78</v>
      </c>
      <c r="I62" s="56">
        <v>0.85</v>
      </c>
      <c r="J62" s="59">
        <v>0.87</v>
      </c>
      <c r="K62" s="56">
        <v>0.9</v>
      </c>
      <c r="L62" s="59">
        <v>0.84</v>
      </c>
      <c r="M62" s="56">
        <v>0.81</v>
      </c>
    </row>
    <row r="63" spans="2:16" x14ac:dyDescent="0.2">
      <c r="B63" s="34"/>
      <c r="C63" s="49" t="s">
        <v>95</v>
      </c>
      <c r="D63" s="59"/>
      <c r="E63" s="56">
        <v>0.83</v>
      </c>
      <c r="F63" s="59">
        <v>0.85</v>
      </c>
      <c r="G63" s="56">
        <v>0.83</v>
      </c>
      <c r="H63" s="59">
        <v>0.82</v>
      </c>
      <c r="I63" s="56">
        <v>0.9</v>
      </c>
      <c r="J63" s="59">
        <v>0.87</v>
      </c>
      <c r="K63" s="56">
        <v>0.9</v>
      </c>
      <c r="L63" s="59">
        <v>0.93</v>
      </c>
      <c r="M63" s="56">
        <v>0.86</v>
      </c>
    </row>
    <row r="64" spans="2:16" x14ac:dyDescent="0.2">
      <c r="B64" s="34"/>
      <c r="C64" s="49" t="s">
        <v>96</v>
      </c>
      <c r="D64" s="59">
        <v>0.6</v>
      </c>
      <c r="E64" s="56">
        <v>0.67</v>
      </c>
      <c r="F64" s="59">
        <v>0.68</v>
      </c>
      <c r="G64" s="56">
        <v>0.72</v>
      </c>
      <c r="H64" s="59">
        <v>0.74</v>
      </c>
      <c r="I64" s="56">
        <v>0.87</v>
      </c>
      <c r="J64" s="59">
        <v>0.89</v>
      </c>
      <c r="K64" s="56">
        <v>0.93</v>
      </c>
      <c r="L64" s="59">
        <v>0.95</v>
      </c>
      <c r="M64" s="56">
        <v>0.88</v>
      </c>
    </row>
    <row r="65" spans="2:13" x14ac:dyDescent="0.2">
      <c r="B65" s="34"/>
      <c r="C65" s="49" t="s">
        <v>97</v>
      </c>
      <c r="D65" s="59"/>
      <c r="E65" s="56"/>
      <c r="F65" s="59">
        <v>0.71</v>
      </c>
      <c r="G65" s="56"/>
      <c r="H65" s="59">
        <v>0.76</v>
      </c>
      <c r="I65" s="56">
        <v>0.89</v>
      </c>
      <c r="J65" s="59">
        <v>0.84</v>
      </c>
      <c r="K65" s="56">
        <v>0.96</v>
      </c>
      <c r="L65" s="59">
        <v>0.89</v>
      </c>
      <c r="M65" s="56">
        <v>0.9</v>
      </c>
    </row>
    <row r="66" spans="2:13" x14ac:dyDescent="0.2">
      <c r="B66" s="34"/>
      <c r="C66" s="49" t="s">
        <v>98</v>
      </c>
      <c r="D66" s="59"/>
      <c r="E66" s="56">
        <v>0.69</v>
      </c>
      <c r="F66" s="59"/>
      <c r="G66" s="56"/>
      <c r="H66" s="59">
        <v>0.81</v>
      </c>
      <c r="I66" s="56">
        <v>0.88</v>
      </c>
      <c r="J66" s="59">
        <v>1</v>
      </c>
      <c r="K66" s="56">
        <v>0.92</v>
      </c>
      <c r="L66" s="59">
        <v>0.91</v>
      </c>
      <c r="M66" s="56">
        <v>0.84</v>
      </c>
    </row>
    <row r="67" spans="2:13" x14ac:dyDescent="0.2">
      <c r="B67" s="34"/>
      <c r="C67" s="49" t="s">
        <v>99</v>
      </c>
      <c r="D67" s="59"/>
      <c r="E67" s="56"/>
      <c r="F67" s="59"/>
      <c r="G67" s="56"/>
      <c r="H67" s="59">
        <v>0.88</v>
      </c>
      <c r="I67" s="56">
        <v>0.82</v>
      </c>
      <c r="J67" s="59">
        <v>0.78</v>
      </c>
      <c r="K67" s="56">
        <v>0.89</v>
      </c>
      <c r="L67" s="59">
        <v>0.96</v>
      </c>
      <c r="M67" s="56">
        <v>0.88</v>
      </c>
    </row>
    <row r="68" spans="2:13" x14ac:dyDescent="0.2">
      <c r="B68" s="34"/>
      <c r="C68" s="49" t="s">
        <v>100</v>
      </c>
      <c r="D68" s="59">
        <v>0.76</v>
      </c>
      <c r="E68" s="56">
        <v>0.72</v>
      </c>
      <c r="F68" s="59">
        <v>0.75</v>
      </c>
      <c r="G68" s="56">
        <v>0.68</v>
      </c>
      <c r="H68" s="59">
        <v>0.75</v>
      </c>
      <c r="I68" s="56">
        <v>0.86</v>
      </c>
      <c r="J68" s="59">
        <v>0.82</v>
      </c>
      <c r="K68" s="56">
        <v>0.9</v>
      </c>
      <c r="L68" s="59">
        <v>0.9</v>
      </c>
      <c r="M68" s="56">
        <v>0.75</v>
      </c>
    </row>
    <row r="69" spans="2:13" x14ac:dyDescent="0.2">
      <c r="B69" s="34"/>
      <c r="C69" s="49" t="s">
        <v>101</v>
      </c>
      <c r="D69" s="59"/>
      <c r="E69" s="56"/>
      <c r="F69" s="59">
        <v>0.99</v>
      </c>
      <c r="G69" s="56">
        <v>0.85</v>
      </c>
      <c r="H69" s="59">
        <v>0.89</v>
      </c>
      <c r="I69" s="56">
        <v>0.84</v>
      </c>
      <c r="J69" s="59">
        <v>0.91</v>
      </c>
      <c r="K69" s="56">
        <v>0.92</v>
      </c>
      <c r="L69" s="59">
        <v>0.78</v>
      </c>
      <c r="M69" s="56">
        <v>0.86</v>
      </c>
    </row>
    <row r="70" spans="2:13" x14ac:dyDescent="0.2">
      <c r="B70" s="34"/>
      <c r="C70" s="49" t="s">
        <v>102</v>
      </c>
      <c r="D70" s="59"/>
      <c r="E70" s="56"/>
      <c r="F70" s="59">
        <v>0.86</v>
      </c>
      <c r="G70" s="56">
        <v>0.72</v>
      </c>
      <c r="H70" s="59">
        <v>0.67</v>
      </c>
      <c r="I70" s="56">
        <v>0.86</v>
      </c>
      <c r="J70" s="59">
        <v>0.91</v>
      </c>
      <c r="K70" s="56">
        <v>0.93</v>
      </c>
      <c r="L70" s="59">
        <v>0.95</v>
      </c>
      <c r="M70" s="56">
        <v>0.86</v>
      </c>
    </row>
    <row r="71" spans="2:13" x14ac:dyDescent="0.2">
      <c r="B71" s="34"/>
      <c r="C71" s="49" t="s">
        <v>103</v>
      </c>
      <c r="D71" s="59">
        <v>0.63</v>
      </c>
      <c r="E71" s="56">
        <v>0.61</v>
      </c>
      <c r="F71" s="59">
        <v>0.84</v>
      </c>
      <c r="G71" s="56">
        <v>0.81</v>
      </c>
      <c r="H71" s="59">
        <v>0.84</v>
      </c>
      <c r="I71" s="56">
        <v>0.89</v>
      </c>
      <c r="J71" s="59">
        <v>0.91</v>
      </c>
      <c r="K71" s="56">
        <v>0.75</v>
      </c>
      <c r="L71" s="59">
        <v>0.83</v>
      </c>
      <c r="M71" s="56">
        <v>0.86</v>
      </c>
    </row>
    <row r="72" spans="2:13" x14ac:dyDescent="0.2">
      <c r="B72" s="35"/>
      <c r="C72" s="50" t="s">
        <v>104</v>
      </c>
      <c r="D72" s="60">
        <v>0.61</v>
      </c>
      <c r="E72" s="57">
        <v>0.78</v>
      </c>
      <c r="F72" s="60">
        <v>0.93</v>
      </c>
      <c r="G72" s="57">
        <v>0.71</v>
      </c>
      <c r="H72" s="60">
        <v>0.65</v>
      </c>
      <c r="I72" s="57">
        <v>0.87</v>
      </c>
      <c r="J72" s="60">
        <v>0.87</v>
      </c>
      <c r="K72" s="57">
        <v>0.92</v>
      </c>
      <c r="L72" s="60">
        <v>0.81</v>
      </c>
      <c r="M72" s="57">
        <v>0.86</v>
      </c>
    </row>
    <row r="73" spans="2:13" x14ac:dyDescent="0.2">
      <c r="B73" s="53" t="s">
        <v>105</v>
      </c>
      <c r="C73" s="52"/>
      <c r="D73" s="81">
        <v>0.74</v>
      </c>
      <c r="E73" s="82">
        <v>0.78</v>
      </c>
      <c r="F73" s="81">
        <v>0.74</v>
      </c>
      <c r="G73" s="82">
        <v>0.75</v>
      </c>
      <c r="H73" s="81">
        <v>0.83</v>
      </c>
      <c r="I73" s="82">
        <v>0.89</v>
      </c>
      <c r="J73" s="81">
        <v>0.93</v>
      </c>
      <c r="K73" s="82">
        <v>0.93</v>
      </c>
      <c r="L73" s="81">
        <v>0.88</v>
      </c>
      <c r="M73" s="82">
        <v>0.86</v>
      </c>
    </row>
    <row r="74" spans="2:13" x14ac:dyDescent="0.2">
      <c r="B74" s="34"/>
      <c r="C74" s="49" t="s">
        <v>106</v>
      </c>
      <c r="D74" s="59">
        <v>0.89</v>
      </c>
      <c r="E74" s="56">
        <v>0.77</v>
      </c>
      <c r="F74" s="59">
        <v>0.7</v>
      </c>
      <c r="G74" s="56">
        <v>0.75</v>
      </c>
      <c r="H74" s="59">
        <v>0.9</v>
      </c>
      <c r="I74" s="56">
        <v>0.86</v>
      </c>
      <c r="J74" s="59">
        <v>0.93</v>
      </c>
      <c r="K74" s="56">
        <v>0.88</v>
      </c>
      <c r="L74" s="59">
        <v>0.92</v>
      </c>
      <c r="M74" s="56">
        <v>0.84</v>
      </c>
    </row>
    <row r="75" spans="2:13" x14ac:dyDescent="0.2">
      <c r="B75" s="34"/>
      <c r="C75" s="49" t="s">
        <v>107</v>
      </c>
      <c r="D75" s="59"/>
      <c r="E75" s="56">
        <v>0.79</v>
      </c>
      <c r="F75" s="59">
        <v>0.86</v>
      </c>
      <c r="G75" s="56">
        <v>0.8</v>
      </c>
      <c r="H75" s="59">
        <v>0.84</v>
      </c>
      <c r="I75" s="56">
        <v>0.93</v>
      </c>
      <c r="J75" s="59">
        <v>0.91</v>
      </c>
      <c r="K75" s="56">
        <v>0.93</v>
      </c>
      <c r="L75" s="59">
        <v>0.78</v>
      </c>
      <c r="M75" s="56">
        <v>0.88</v>
      </c>
    </row>
    <row r="76" spans="2:13" x14ac:dyDescent="0.2">
      <c r="B76" s="34"/>
      <c r="C76" s="49" t="s">
        <v>108</v>
      </c>
      <c r="D76" s="59"/>
      <c r="E76" s="56">
        <v>0.82</v>
      </c>
      <c r="F76" s="59">
        <v>0.81</v>
      </c>
      <c r="G76" s="56">
        <v>0.72</v>
      </c>
      <c r="H76" s="59">
        <v>0.8</v>
      </c>
      <c r="I76" s="56">
        <v>0.9</v>
      </c>
      <c r="J76" s="59">
        <v>1</v>
      </c>
      <c r="K76" s="56">
        <v>0.94</v>
      </c>
      <c r="L76" s="59">
        <v>0.96</v>
      </c>
      <c r="M76" s="56">
        <v>0.87</v>
      </c>
    </row>
    <row r="77" spans="2:13" x14ac:dyDescent="0.2">
      <c r="B77" s="34"/>
      <c r="C77" s="49" t="s">
        <v>109</v>
      </c>
      <c r="D77" s="59">
        <v>0.73</v>
      </c>
      <c r="E77" s="56">
        <v>0.7</v>
      </c>
      <c r="F77" s="59">
        <v>0.54</v>
      </c>
      <c r="G77" s="56">
        <v>0.71</v>
      </c>
      <c r="H77" s="59">
        <v>0.82</v>
      </c>
      <c r="I77" s="56">
        <v>0.87</v>
      </c>
      <c r="J77" s="59">
        <v>0.89</v>
      </c>
      <c r="K77" s="56">
        <v>0.91</v>
      </c>
      <c r="L77" s="59">
        <v>0.81</v>
      </c>
      <c r="M77" s="56">
        <v>0.86</v>
      </c>
    </row>
    <row r="78" spans="2:13" x14ac:dyDescent="0.2">
      <c r="B78" s="35"/>
      <c r="C78" s="50" t="s">
        <v>110</v>
      </c>
      <c r="D78" s="60"/>
      <c r="E78" s="57">
        <v>0.6</v>
      </c>
      <c r="F78" s="60">
        <v>0.82</v>
      </c>
      <c r="G78" s="57">
        <v>0.72</v>
      </c>
      <c r="H78" s="60">
        <v>0.86</v>
      </c>
      <c r="I78" s="57">
        <v>0.93</v>
      </c>
      <c r="J78" s="60">
        <v>1</v>
      </c>
      <c r="K78" s="57">
        <v>0.91</v>
      </c>
      <c r="L78" s="60">
        <v>0.74</v>
      </c>
      <c r="M78" s="57">
        <v>0.86</v>
      </c>
    </row>
    <row r="79" spans="2:13" ht="15" customHeight="1" x14ac:dyDescent="0.2">
      <c r="B79" s="53" t="s">
        <v>111</v>
      </c>
      <c r="C79" s="52"/>
      <c r="D79" s="81">
        <v>0.76</v>
      </c>
      <c r="E79" s="82">
        <v>0.73</v>
      </c>
      <c r="F79" s="81">
        <v>0.79</v>
      </c>
      <c r="G79" s="82">
        <v>0.83</v>
      </c>
      <c r="H79" s="81">
        <v>0.91</v>
      </c>
      <c r="I79" s="82">
        <v>0.87</v>
      </c>
      <c r="J79" s="81">
        <v>1</v>
      </c>
      <c r="K79" s="82">
        <v>1</v>
      </c>
      <c r="L79" s="81">
        <v>1</v>
      </c>
      <c r="M79" s="82">
        <v>0.81</v>
      </c>
    </row>
    <row r="80" spans="2:13" x14ac:dyDescent="0.2">
      <c r="B80" s="34"/>
      <c r="C80" s="49" t="s">
        <v>112</v>
      </c>
      <c r="D80" s="59">
        <v>0.79</v>
      </c>
      <c r="E80" s="56">
        <v>0.73</v>
      </c>
      <c r="F80" s="59">
        <v>0.82</v>
      </c>
      <c r="G80" s="56">
        <v>0.84</v>
      </c>
      <c r="H80" s="59">
        <v>0.88</v>
      </c>
      <c r="I80" s="56">
        <v>0.87</v>
      </c>
      <c r="J80" s="59">
        <v>1</v>
      </c>
      <c r="K80" s="56">
        <v>1</v>
      </c>
      <c r="L80" s="59">
        <v>1</v>
      </c>
      <c r="M80" s="56">
        <v>0.82</v>
      </c>
    </row>
    <row r="81" spans="1:13" x14ac:dyDescent="0.2">
      <c r="B81" s="35"/>
      <c r="C81" s="50" t="s">
        <v>113</v>
      </c>
      <c r="D81" s="60">
        <v>0.73</v>
      </c>
      <c r="E81" s="57">
        <v>0.72</v>
      </c>
      <c r="F81" s="60">
        <v>0.77</v>
      </c>
      <c r="G81" s="57">
        <v>0.83</v>
      </c>
      <c r="H81" s="60">
        <v>0.93</v>
      </c>
      <c r="I81" s="57"/>
      <c r="J81" s="60"/>
      <c r="K81" s="57"/>
      <c r="L81" s="60"/>
      <c r="M81" s="57">
        <v>0.81</v>
      </c>
    </row>
    <row r="82" spans="1:13" ht="15" customHeight="1" x14ac:dyDescent="0.2">
      <c r="B82" s="55" t="s">
        <v>114</v>
      </c>
      <c r="D82" s="81">
        <v>0.77</v>
      </c>
      <c r="E82" s="82">
        <v>0.77</v>
      </c>
      <c r="F82" s="81">
        <v>0.75</v>
      </c>
      <c r="G82" s="83">
        <v>0.79</v>
      </c>
      <c r="H82" s="81">
        <v>0.7</v>
      </c>
      <c r="I82" s="83">
        <v>0.87</v>
      </c>
      <c r="J82" s="81">
        <v>0.87</v>
      </c>
      <c r="K82" s="83">
        <v>0.88</v>
      </c>
      <c r="L82" s="81">
        <v>0.91</v>
      </c>
      <c r="M82" s="83">
        <v>0.78</v>
      </c>
    </row>
    <row r="83" spans="1:13" x14ac:dyDescent="0.2">
      <c r="B83" s="54"/>
      <c r="C83" s="46" t="s">
        <v>115</v>
      </c>
      <c r="D83" s="59">
        <v>0.74</v>
      </c>
      <c r="E83" s="56">
        <v>0.78</v>
      </c>
      <c r="F83" s="59">
        <v>0.76</v>
      </c>
      <c r="G83" s="58">
        <v>0.79</v>
      </c>
      <c r="H83" s="59">
        <v>0.7</v>
      </c>
      <c r="I83" s="58">
        <v>0.85</v>
      </c>
      <c r="J83" s="59">
        <v>1</v>
      </c>
      <c r="K83" s="58">
        <v>0.52</v>
      </c>
      <c r="L83" s="59">
        <v>0.83</v>
      </c>
      <c r="M83" s="58">
        <v>0.77</v>
      </c>
    </row>
    <row r="84" spans="1:13" x14ac:dyDescent="0.2">
      <c r="B84" s="54"/>
      <c r="C84" s="46" t="s">
        <v>116</v>
      </c>
      <c r="D84" s="59">
        <v>0.85</v>
      </c>
      <c r="E84" s="56">
        <v>0.71</v>
      </c>
      <c r="F84" s="59"/>
      <c r="G84" s="58">
        <v>0.99</v>
      </c>
      <c r="H84" s="59">
        <v>0.71</v>
      </c>
      <c r="I84" s="58">
        <v>0.73</v>
      </c>
      <c r="J84" s="59"/>
      <c r="K84" s="58">
        <v>1</v>
      </c>
      <c r="L84" s="59"/>
      <c r="M84" s="58">
        <v>0.8</v>
      </c>
    </row>
    <row r="85" spans="1:13" x14ac:dyDescent="0.2">
      <c r="B85" s="54"/>
      <c r="C85" s="46" t="s">
        <v>117</v>
      </c>
      <c r="D85" s="59">
        <v>0.8</v>
      </c>
      <c r="E85" s="56">
        <v>0.74</v>
      </c>
      <c r="F85" s="59">
        <v>0.69</v>
      </c>
      <c r="G85" s="58">
        <v>0.7</v>
      </c>
      <c r="H85" s="59">
        <v>0.69</v>
      </c>
      <c r="I85" s="58">
        <v>0.95</v>
      </c>
      <c r="J85" s="59">
        <v>0.87</v>
      </c>
      <c r="K85" s="58">
        <v>1</v>
      </c>
      <c r="L85" s="59"/>
      <c r="M85" s="58">
        <v>0.76</v>
      </c>
    </row>
    <row r="86" spans="1:13" x14ac:dyDescent="0.2">
      <c r="B86" s="54"/>
      <c r="C86" s="46" t="s">
        <v>127</v>
      </c>
      <c r="D86" s="59"/>
      <c r="E86" s="56">
        <v>0.7</v>
      </c>
      <c r="F86" s="59"/>
      <c r="G86" s="58"/>
      <c r="H86" s="59"/>
      <c r="I86" s="58">
        <v>1</v>
      </c>
      <c r="J86" s="59"/>
      <c r="K86" s="58">
        <v>0.93</v>
      </c>
      <c r="L86" s="59">
        <v>0.92</v>
      </c>
      <c r="M86" s="58">
        <v>0.85</v>
      </c>
    </row>
    <row r="87" spans="1:13" s="75" customFormat="1" x14ac:dyDescent="0.2">
      <c r="B87" s="79" t="s">
        <v>0</v>
      </c>
      <c r="C87" s="79"/>
      <c r="D87" s="84">
        <v>0.76</v>
      </c>
      <c r="E87" s="84">
        <v>0.72</v>
      </c>
      <c r="F87" s="84">
        <v>0.77</v>
      </c>
      <c r="G87" s="84">
        <v>0.78</v>
      </c>
      <c r="H87" s="84">
        <v>0.8</v>
      </c>
      <c r="I87" s="84">
        <v>0.88</v>
      </c>
      <c r="J87" s="84">
        <v>0.9</v>
      </c>
      <c r="K87" s="84">
        <v>0.93</v>
      </c>
      <c r="L87" s="85">
        <v>0.92</v>
      </c>
      <c r="M87" s="86">
        <v>0.85</v>
      </c>
    </row>
    <row r="89" spans="1:13" x14ac:dyDescent="0.2">
      <c r="B89" s="14" t="s">
        <v>25</v>
      </c>
      <c r="D89" s="3"/>
      <c r="E89" s="78"/>
    </row>
    <row r="90" spans="1:13" x14ac:dyDescent="0.2">
      <c r="A90" s="1">
        <v>1</v>
      </c>
      <c r="B90" s="5" t="s">
        <v>124</v>
      </c>
      <c r="D90" s="3"/>
      <c r="E90" s="5"/>
    </row>
    <row r="91" spans="1:13" x14ac:dyDescent="0.2">
      <c r="A91" s="3">
        <v>2</v>
      </c>
      <c r="B91" s="5" t="s">
        <v>119</v>
      </c>
      <c r="D91" s="3"/>
      <c r="E91" s="5"/>
    </row>
    <row r="92" spans="1:13" x14ac:dyDescent="0.2">
      <c r="A92" s="1">
        <v>3</v>
      </c>
      <c r="B92" s="1" t="s">
        <v>121</v>
      </c>
      <c r="D92" s="3"/>
      <c r="E92" s="5"/>
    </row>
    <row r="93" spans="1:13" x14ac:dyDescent="0.2">
      <c r="A93" s="1">
        <v>4</v>
      </c>
      <c r="B93" s="1" t="s">
        <v>120</v>
      </c>
      <c r="D93" s="3"/>
      <c r="E93" s="5"/>
    </row>
  </sheetData>
  <phoneticPr fontId="2" type="noConversion"/>
  <pageMargins left="0.42" right="0.32" top="0.5" bottom="0.5" header="0.5" footer="0.5"/>
  <pageSetup paperSize="9" orientation="landscape" r:id="rId1"/>
  <headerFooter alignWithMargins="0"/>
  <rowBreaks count="1" manualBreakCount="1">
    <brk id="3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Q31"/>
  <sheetViews>
    <sheetView zoomScale="80" zoomScaleNormal="80" workbookViewId="0"/>
  </sheetViews>
  <sheetFormatPr defaultRowHeight="12.75" x14ac:dyDescent="0.2"/>
  <cols>
    <col min="1" max="1" width="3.28515625" customWidth="1"/>
    <col min="2" max="2" width="28.140625" customWidth="1"/>
    <col min="3" max="3" width="11.7109375" customWidth="1"/>
    <col min="4" max="13" width="14.7109375" customWidth="1"/>
  </cols>
  <sheetData>
    <row r="1" spans="2:17" ht="15" x14ac:dyDescent="0.25">
      <c r="B1" s="40" t="s">
        <v>144</v>
      </c>
      <c r="K1" s="71"/>
      <c r="M1" s="74"/>
    </row>
    <row r="2" spans="2:17" x14ac:dyDescent="0.2">
      <c r="M2" s="31"/>
    </row>
    <row r="4" spans="2:17" ht="41.25" customHeight="1" x14ac:dyDescent="0.2">
      <c r="B4" s="44" t="s">
        <v>22</v>
      </c>
      <c r="C4" s="44" t="s">
        <v>32</v>
      </c>
      <c r="D4" s="43" t="s">
        <v>34</v>
      </c>
      <c r="E4" s="39" t="s">
        <v>35</v>
      </c>
      <c r="F4" s="43" t="s">
        <v>36</v>
      </c>
      <c r="G4" s="39" t="s">
        <v>26</v>
      </c>
      <c r="H4" s="33" t="s">
        <v>125</v>
      </c>
      <c r="I4" s="33" t="s">
        <v>128</v>
      </c>
      <c r="J4" s="33" t="s">
        <v>129</v>
      </c>
      <c r="K4" s="33" t="s">
        <v>130</v>
      </c>
      <c r="L4" s="43" t="s">
        <v>131</v>
      </c>
      <c r="M4" s="92" t="s">
        <v>0</v>
      </c>
      <c r="O4" s="73"/>
    </row>
    <row r="5" spans="2:17" x14ac:dyDescent="0.2">
      <c r="B5" s="118" t="s">
        <v>29</v>
      </c>
      <c r="C5" s="41" t="s">
        <v>30</v>
      </c>
      <c r="D5" s="58"/>
      <c r="E5" s="62"/>
      <c r="F5" s="58">
        <v>0.84</v>
      </c>
      <c r="G5" s="62">
        <v>0.75</v>
      </c>
      <c r="H5" s="58">
        <v>0.79</v>
      </c>
      <c r="I5" s="62">
        <v>0.89</v>
      </c>
      <c r="J5" s="58">
        <v>0.93</v>
      </c>
      <c r="K5" s="62">
        <v>0.93</v>
      </c>
      <c r="L5" s="59">
        <v>0.94</v>
      </c>
      <c r="M5" s="58">
        <v>0.89</v>
      </c>
    </row>
    <row r="6" spans="2:17" x14ac:dyDescent="0.2">
      <c r="B6" s="119"/>
      <c r="C6" s="41" t="s">
        <v>31</v>
      </c>
      <c r="D6" s="58"/>
      <c r="E6" s="59"/>
      <c r="F6" s="58">
        <v>1</v>
      </c>
      <c r="G6" s="59">
        <v>0.62</v>
      </c>
      <c r="H6" s="58">
        <v>0.81</v>
      </c>
      <c r="I6" s="59">
        <v>0.85</v>
      </c>
      <c r="J6" s="58">
        <v>0.91</v>
      </c>
      <c r="K6" s="59">
        <v>0.91</v>
      </c>
      <c r="L6" s="59">
        <v>0.91</v>
      </c>
      <c r="M6" s="58">
        <v>0.87</v>
      </c>
    </row>
    <row r="7" spans="2:17" x14ac:dyDescent="0.2">
      <c r="B7" s="120"/>
      <c r="C7" s="42" t="s">
        <v>0</v>
      </c>
      <c r="D7" s="57"/>
      <c r="E7" s="60"/>
      <c r="F7" s="57">
        <v>0.84</v>
      </c>
      <c r="G7" s="60">
        <v>0.74</v>
      </c>
      <c r="H7" s="57">
        <v>0.8</v>
      </c>
      <c r="I7" s="60">
        <v>0.88</v>
      </c>
      <c r="J7" s="57">
        <v>0.92</v>
      </c>
      <c r="K7" s="60">
        <v>0.93</v>
      </c>
      <c r="L7" s="60">
        <v>0.93</v>
      </c>
      <c r="M7" s="57">
        <v>0.89</v>
      </c>
    </row>
    <row r="8" spans="2:17" x14ac:dyDescent="0.2">
      <c r="B8" s="121" t="s">
        <v>134</v>
      </c>
      <c r="C8" s="41" t="s">
        <v>30</v>
      </c>
      <c r="D8" s="58">
        <v>0.75</v>
      </c>
      <c r="E8" s="62">
        <v>0.7</v>
      </c>
      <c r="F8" s="58">
        <v>0.76</v>
      </c>
      <c r="G8" s="62">
        <v>0.81</v>
      </c>
      <c r="H8" s="58">
        <v>0.84</v>
      </c>
      <c r="I8" s="62">
        <v>0.92</v>
      </c>
      <c r="J8" s="58">
        <v>0.91</v>
      </c>
      <c r="K8" s="62">
        <v>0.92</v>
      </c>
      <c r="L8" s="59">
        <v>0.73</v>
      </c>
      <c r="M8" s="58">
        <v>0.83</v>
      </c>
    </row>
    <row r="9" spans="2:17" x14ac:dyDescent="0.2">
      <c r="B9" s="122" t="s">
        <v>3</v>
      </c>
      <c r="C9" s="41" t="s">
        <v>31</v>
      </c>
      <c r="D9" s="58">
        <v>0.74</v>
      </c>
      <c r="E9" s="59">
        <v>0.8</v>
      </c>
      <c r="F9" s="58">
        <v>0.75</v>
      </c>
      <c r="G9" s="59">
        <v>0.8</v>
      </c>
      <c r="H9" s="58">
        <v>0.79</v>
      </c>
      <c r="I9" s="59">
        <v>0.82</v>
      </c>
      <c r="J9" s="58">
        <v>0.82</v>
      </c>
      <c r="K9" s="59">
        <v>0.86</v>
      </c>
      <c r="L9" s="59">
        <v>0.74</v>
      </c>
      <c r="M9" s="58">
        <v>0.79</v>
      </c>
      <c r="Q9" s="31"/>
    </row>
    <row r="10" spans="2:17" x14ac:dyDescent="0.2">
      <c r="B10" s="123"/>
      <c r="C10" s="42" t="s">
        <v>0</v>
      </c>
      <c r="D10" s="57">
        <v>0.75</v>
      </c>
      <c r="E10" s="60">
        <v>0.71</v>
      </c>
      <c r="F10" s="57">
        <v>0.76</v>
      </c>
      <c r="G10" s="60">
        <v>0.81</v>
      </c>
      <c r="H10" s="57">
        <v>0.82</v>
      </c>
      <c r="I10" s="60">
        <v>0.91</v>
      </c>
      <c r="J10" s="57">
        <v>0.85</v>
      </c>
      <c r="K10" s="60">
        <v>0.91</v>
      </c>
      <c r="L10" s="60">
        <v>0.73</v>
      </c>
      <c r="M10" s="57">
        <v>0.82</v>
      </c>
      <c r="Q10" s="31"/>
    </row>
    <row r="11" spans="2:17" x14ac:dyDescent="0.2">
      <c r="B11" s="124" t="s">
        <v>1</v>
      </c>
      <c r="C11" s="41" t="s">
        <v>30</v>
      </c>
      <c r="D11" s="58">
        <v>0.76</v>
      </c>
      <c r="E11" s="62">
        <v>0.69</v>
      </c>
      <c r="F11" s="58">
        <v>0.75</v>
      </c>
      <c r="G11" s="62">
        <v>0.7</v>
      </c>
      <c r="H11" s="58">
        <v>0.76</v>
      </c>
      <c r="I11" s="62">
        <v>0.85</v>
      </c>
      <c r="J11" s="58"/>
      <c r="K11" s="62">
        <v>0.85</v>
      </c>
      <c r="L11" s="59">
        <v>0.78</v>
      </c>
      <c r="M11" s="58">
        <v>0.74</v>
      </c>
      <c r="Q11" s="31"/>
    </row>
    <row r="12" spans="2:17" x14ac:dyDescent="0.2">
      <c r="B12" s="119"/>
      <c r="C12" s="41" t="s">
        <v>31</v>
      </c>
      <c r="D12" s="58">
        <v>0.74</v>
      </c>
      <c r="E12" s="59">
        <v>0.76</v>
      </c>
      <c r="F12" s="58">
        <v>0.73</v>
      </c>
      <c r="G12" s="59">
        <v>0.64</v>
      </c>
      <c r="H12" s="58">
        <v>0.52</v>
      </c>
      <c r="I12" s="59">
        <v>0.41</v>
      </c>
      <c r="J12" s="58"/>
      <c r="K12" s="59"/>
      <c r="L12" s="59"/>
      <c r="M12" s="58">
        <v>0.65</v>
      </c>
    </row>
    <row r="13" spans="2:17" x14ac:dyDescent="0.2">
      <c r="B13" s="120"/>
      <c r="C13" s="42" t="s">
        <v>0</v>
      </c>
      <c r="D13" s="57">
        <v>0.75</v>
      </c>
      <c r="E13" s="60">
        <v>0.69</v>
      </c>
      <c r="F13" s="57">
        <v>0.75</v>
      </c>
      <c r="G13" s="60">
        <v>0.69</v>
      </c>
      <c r="H13" s="57">
        <v>0.74</v>
      </c>
      <c r="I13" s="60">
        <v>0.84</v>
      </c>
      <c r="J13" s="57"/>
      <c r="K13" s="60">
        <v>0.85</v>
      </c>
      <c r="L13" s="60">
        <v>0.78</v>
      </c>
      <c r="M13" s="57">
        <v>0.73</v>
      </c>
    </row>
    <row r="14" spans="2:17" x14ac:dyDescent="0.2">
      <c r="B14" s="124" t="s">
        <v>136</v>
      </c>
      <c r="C14" s="41" t="s">
        <v>30</v>
      </c>
      <c r="D14" s="58">
        <v>0.77</v>
      </c>
      <c r="E14" s="62">
        <v>0.77</v>
      </c>
      <c r="F14" s="58">
        <v>0.81</v>
      </c>
      <c r="G14" s="62">
        <v>0.85</v>
      </c>
      <c r="H14" s="58">
        <v>0.84</v>
      </c>
      <c r="I14" s="62">
        <v>0.86</v>
      </c>
      <c r="J14" s="58">
        <v>0.93</v>
      </c>
      <c r="K14" s="62">
        <v>0.93</v>
      </c>
      <c r="L14" s="59">
        <v>0.86</v>
      </c>
      <c r="M14" s="58">
        <v>0.83</v>
      </c>
    </row>
    <row r="15" spans="2:17" x14ac:dyDescent="0.2">
      <c r="B15" s="119"/>
      <c r="C15" s="41" t="s">
        <v>31</v>
      </c>
      <c r="D15" s="58">
        <v>0.87</v>
      </c>
      <c r="E15" s="59">
        <v>0.84</v>
      </c>
      <c r="F15" s="58">
        <v>0.71</v>
      </c>
      <c r="G15" s="59">
        <v>0.76</v>
      </c>
      <c r="H15" s="58">
        <v>0.75</v>
      </c>
      <c r="I15" s="59">
        <v>0.87</v>
      </c>
      <c r="J15" s="58">
        <v>0.9</v>
      </c>
      <c r="K15" s="59">
        <v>0.79</v>
      </c>
      <c r="L15" s="59">
        <v>0.76</v>
      </c>
      <c r="M15" s="58">
        <v>0.78</v>
      </c>
    </row>
    <row r="16" spans="2:17" x14ac:dyDescent="0.2">
      <c r="B16" s="120"/>
      <c r="C16" s="42" t="s">
        <v>0</v>
      </c>
      <c r="D16" s="57">
        <v>0.78</v>
      </c>
      <c r="E16" s="60">
        <v>0.77</v>
      </c>
      <c r="F16" s="57">
        <v>0.79</v>
      </c>
      <c r="G16" s="60">
        <v>0.82</v>
      </c>
      <c r="H16" s="57">
        <v>0.81</v>
      </c>
      <c r="I16" s="60">
        <v>0.86</v>
      </c>
      <c r="J16" s="57">
        <v>0.91</v>
      </c>
      <c r="K16" s="60">
        <v>0.9</v>
      </c>
      <c r="L16" s="60">
        <v>0.85</v>
      </c>
      <c r="M16" s="57">
        <v>0.81</v>
      </c>
    </row>
    <row r="17" spans="1:15" x14ac:dyDescent="0.2">
      <c r="B17" s="124" t="s">
        <v>2</v>
      </c>
      <c r="C17" s="41" t="s">
        <v>30</v>
      </c>
      <c r="D17" s="58">
        <v>0.76</v>
      </c>
      <c r="E17" s="62">
        <v>0.72</v>
      </c>
      <c r="F17" s="58">
        <v>0.77</v>
      </c>
      <c r="G17" s="62">
        <v>0.78</v>
      </c>
      <c r="H17" s="58">
        <v>0.82</v>
      </c>
      <c r="I17" s="62">
        <v>0.89</v>
      </c>
      <c r="J17" s="58">
        <v>0.93</v>
      </c>
      <c r="K17" s="62">
        <v>0.93</v>
      </c>
      <c r="L17" s="59">
        <v>0.92</v>
      </c>
      <c r="M17" s="58">
        <v>0.86</v>
      </c>
    </row>
    <row r="18" spans="1:15" x14ac:dyDescent="0.2">
      <c r="B18" s="119"/>
      <c r="C18" s="41" t="s">
        <v>31</v>
      </c>
      <c r="D18" s="58">
        <v>0.75</v>
      </c>
      <c r="E18" s="59">
        <v>0.81</v>
      </c>
      <c r="F18" s="58">
        <v>0.74</v>
      </c>
      <c r="G18" s="59">
        <v>0.76</v>
      </c>
      <c r="H18" s="58">
        <v>0.77</v>
      </c>
      <c r="I18" s="59">
        <v>0.84</v>
      </c>
      <c r="J18" s="58">
        <v>0.88</v>
      </c>
      <c r="K18" s="59">
        <v>0.9</v>
      </c>
      <c r="L18" s="59">
        <v>0.9</v>
      </c>
      <c r="M18" s="58">
        <v>0.81</v>
      </c>
    </row>
    <row r="19" spans="1:15" x14ac:dyDescent="0.2">
      <c r="B19" s="120"/>
      <c r="C19" s="42" t="s">
        <v>0</v>
      </c>
      <c r="D19" s="57">
        <v>0.76</v>
      </c>
      <c r="E19" s="60">
        <v>0.72</v>
      </c>
      <c r="F19" s="57">
        <v>0.77</v>
      </c>
      <c r="G19" s="60">
        <v>0.78</v>
      </c>
      <c r="H19" s="57">
        <v>0.8</v>
      </c>
      <c r="I19" s="60">
        <v>0.88</v>
      </c>
      <c r="J19" s="57">
        <v>0.9</v>
      </c>
      <c r="K19" s="60">
        <v>0.93</v>
      </c>
      <c r="L19" s="60">
        <v>0.92</v>
      </c>
      <c r="M19" s="57">
        <v>0.85</v>
      </c>
    </row>
    <row r="20" spans="1:15" x14ac:dyDescent="0.2">
      <c r="A20" s="3"/>
      <c r="B20" s="78"/>
    </row>
    <row r="21" spans="1:15" x14ac:dyDescent="0.2">
      <c r="A21" s="3"/>
      <c r="B21" s="5" t="s">
        <v>25</v>
      </c>
    </row>
    <row r="22" spans="1:15" x14ac:dyDescent="0.2">
      <c r="A22" s="3">
        <v>1</v>
      </c>
      <c r="B22" s="5" t="s">
        <v>124</v>
      </c>
    </row>
    <row r="23" spans="1:15" x14ac:dyDescent="0.2">
      <c r="A23" s="3">
        <v>2</v>
      </c>
      <c r="B23" s="5" t="s">
        <v>119</v>
      </c>
    </row>
    <row r="24" spans="1:15" x14ac:dyDescent="0.2">
      <c r="A24" s="3">
        <v>3</v>
      </c>
      <c r="B24" s="5" t="s">
        <v>120</v>
      </c>
    </row>
    <row r="25" spans="1:15" x14ac:dyDescent="0.2">
      <c r="A25" s="1"/>
      <c r="B25" s="1"/>
    </row>
    <row r="27" spans="1:15" x14ac:dyDescent="0.2">
      <c r="D27" s="3"/>
      <c r="E27" s="3"/>
      <c r="F27" s="3"/>
      <c r="G27" s="3"/>
      <c r="H27" s="3"/>
      <c r="I27" s="3"/>
      <c r="J27" s="3"/>
      <c r="K27" s="3"/>
      <c r="L27" s="3"/>
      <c r="M27" s="3"/>
      <c r="N27" s="3"/>
      <c r="O27" s="3"/>
    </row>
    <row r="28" spans="1:15" x14ac:dyDescent="0.2">
      <c r="D28" s="7"/>
      <c r="E28" s="7"/>
      <c r="F28" s="7"/>
      <c r="G28" s="7"/>
      <c r="H28" s="7"/>
      <c r="I28" s="7"/>
      <c r="J28" s="7"/>
      <c r="K28" s="7"/>
      <c r="L28" s="7"/>
      <c r="M28" s="7"/>
      <c r="N28" s="3"/>
      <c r="O28" s="3"/>
    </row>
    <row r="29" spans="1:15" x14ac:dyDescent="0.2">
      <c r="D29" s="3"/>
      <c r="E29" s="3"/>
      <c r="F29" s="3"/>
      <c r="G29" s="3"/>
      <c r="H29" s="3"/>
      <c r="I29" s="3"/>
      <c r="J29" s="3"/>
      <c r="K29" s="3"/>
      <c r="L29" s="3"/>
      <c r="M29" s="3"/>
      <c r="N29" s="3"/>
      <c r="O29" s="3"/>
    </row>
    <row r="30" spans="1:15" x14ac:dyDescent="0.2">
      <c r="D30" s="3"/>
      <c r="E30" s="3"/>
      <c r="F30" s="3"/>
      <c r="G30" s="3"/>
      <c r="H30" s="3"/>
      <c r="I30" s="3"/>
      <c r="J30" s="3"/>
      <c r="K30" s="3"/>
      <c r="L30" s="3"/>
      <c r="M30" s="3"/>
      <c r="N30" s="3"/>
      <c r="O30" s="3"/>
    </row>
    <row r="31" spans="1:15" x14ac:dyDescent="0.2">
      <c r="D31" s="3"/>
      <c r="E31" s="3"/>
      <c r="F31" s="3"/>
      <c r="G31" s="3"/>
      <c r="H31" s="3"/>
      <c r="I31" s="3"/>
      <c r="J31" s="3"/>
      <c r="K31" s="3"/>
      <c r="L31" s="3"/>
      <c r="M31" s="3"/>
      <c r="N31" s="3"/>
      <c r="O31" s="3"/>
    </row>
  </sheetData>
  <mergeCells count="5">
    <mergeCell ref="B5:B7"/>
    <mergeCell ref="B8:B10"/>
    <mergeCell ref="B11:B13"/>
    <mergeCell ref="B14:B16"/>
    <mergeCell ref="B17:B1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Index</vt:lpstr>
      <vt:lpstr>Technical Notes</vt:lpstr>
      <vt:lpstr>CSC.1</vt:lpstr>
      <vt:lpstr>CSC.2</vt:lpstr>
      <vt:lpstr>CSC.3</vt:lpstr>
      <vt:lpstr>CSC.4</vt:lpstr>
      <vt:lpstr>CSC.5</vt:lpstr>
      <vt:lpstr>CSC.6</vt:lpstr>
      <vt:lpstr>CSC.7</vt:lpstr>
      <vt:lpstr>CSC.2!Print_Titles</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Ministry of Education</dc:creator>
  <cp:lastModifiedBy>Ralf Engler</cp:lastModifiedBy>
  <cp:lastPrinted>2006-11-03T00:34:04Z</cp:lastPrinted>
  <dcterms:created xsi:type="dcterms:W3CDTF">2006-07-31T22:12:51Z</dcterms:created>
  <dcterms:modified xsi:type="dcterms:W3CDTF">2025-07-01T03:19:40Z</dcterms:modified>
</cp:coreProperties>
</file>