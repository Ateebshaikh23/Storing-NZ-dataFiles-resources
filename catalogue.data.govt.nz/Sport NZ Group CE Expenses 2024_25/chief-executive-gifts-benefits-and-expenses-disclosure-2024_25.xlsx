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https://sportnzgroup-my.sharepoint.com/personal/paula_ryan_sportnz_org_nz/Documents/Desktop/"/>
    </mc:Choice>
  </mc:AlternateContent>
  <xr:revisionPtr revIDLastSave="8" documentId="8_{AA37F3C3-6CC6-4A1C-92C1-6E14F5991AF7}" xr6:coauthVersionLast="47" xr6:coauthVersionMax="47" xr10:uidLastSave="{2FA00065-EF3B-4AC3-A6A9-ABDA0D623F81}"/>
  <bookViews>
    <workbookView xWindow="-110" yWindow="-110" windowWidth="38620" windowHeight="21100" activeTab="2" xr2:uid="{00000000-000D-0000-FFFF-FFFF00000000}"/>
  </bookViews>
  <sheets>
    <sheet name="Guidance for agencies" sheetId="5" r:id="rId1"/>
    <sheet name="Summary and sign-off" sheetId="13" r:id="rId2"/>
    <sheet name="Travel" sheetId="1" r:id="rId3"/>
    <sheet name="Hospitality" sheetId="2" r:id="rId4"/>
    <sheet name="All other expenses" sheetId="3" r:id="rId5"/>
    <sheet name="Gifts and benefits" sheetId="4" r:id="rId6"/>
    <sheet name="Sheet1" sheetId="14" r:id="rId7"/>
  </sheets>
  <definedNames>
    <definedName name="_xlnm.Print_Area" localSheetId="4">'All other expenses'!$A$1:$E$31</definedName>
    <definedName name="_xlnm.Print_Area" localSheetId="5">'Gifts and benefits'!$A$1:$F$38</definedName>
    <definedName name="_xlnm.Print_Area" localSheetId="0">'Guidance for agencies'!$A$1:$A$58</definedName>
    <definedName name="_xlnm.Print_Area" localSheetId="3">Hospitality!$A$1:$E$28</definedName>
    <definedName name="_xlnm.Print_Area" localSheetId="1">'Summary and sign-off'!$A$1:$F$23</definedName>
    <definedName name="_xlnm.Print_Area" localSheetId="2">Travel!$A$1:$E$275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6" i="1" l="1"/>
  <c r="B251" i="1" l="1"/>
  <c r="B217" i="1"/>
  <c r="B230" i="1"/>
  <c r="B227" i="1"/>
  <c r="B221" i="1"/>
  <c r="B131" i="1"/>
  <c r="B112" i="1"/>
  <c r="B117" i="1"/>
  <c r="B238" i="1"/>
  <c r="B236" i="1"/>
  <c r="B201" i="1"/>
  <c r="B211" i="1"/>
  <c r="B205" i="1"/>
  <c r="B196" i="1"/>
  <c r="B233" i="1"/>
  <c r="B186" i="1"/>
  <c r="B190" i="1"/>
  <c r="B174" i="1"/>
  <c r="B207" i="1"/>
  <c r="B154" i="1"/>
  <c r="B167" i="1"/>
  <c r="B158" i="1"/>
  <c r="B137" i="1"/>
  <c r="B142" i="1"/>
  <c r="B83" i="1" l="1"/>
  <c r="B95" i="1"/>
  <c r="B65" i="1"/>
  <c r="B179" i="1"/>
  <c r="B146" i="1"/>
  <c r="B118" i="1"/>
  <c r="B103" i="1"/>
  <c r="B97" i="1"/>
  <c r="B93" i="1"/>
  <c r="B89" i="1"/>
  <c r="B67" i="1"/>
  <c r="B63" i="1"/>
  <c r="B135" i="1" l="1"/>
  <c r="B108" i="1"/>
  <c r="B133" i="1"/>
  <c r="B16" i="1"/>
  <c r="B78" i="1"/>
  <c r="B74" i="1"/>
  <c r="B61" i="1"/>
  <c r="B56" i="1"/>
  <c r="B17" i="1" l="1"/>
  <c r="B54" i="1"/>
  <c r="B51" i="1"/>
  <c r="B121" i="1"/>
  <c r="D27" i="4" l="1"/>
  <c r="C25" i="3"/>
  <c r="C21" i="2"/>
  <c r="B6" i="13"/>
  <c r="E60" i="13"/>
  <c r="C60" i="13"/>
  <c r="C29" i="4"/>
  <c r="F13" i="13" s="1"/>
  <c r="C28" i="4"/>
  <c r="F12" i="13" s="1"/>
  <c r="B60" i="13"/>
  <c r="B59" i="13"/>
  <c r="D59" i="13"/>
  <c r="B58" i="13"/>
  <c r="D58" i="13"/>
  <c r="D57" i="13"/>
  <c r="D56" i="13"/>
  <c r="D55" i="13"/>
  <c r="B2" i="4"/>
  <c r="B3" i="4"/>
  <c r="B2" i="3"/>
  <c r="B3" i="3"/>
  <c r="B2" i="2"/>
  <c r="B3" i="2"/>
  <c r="B2" i="1"/>
  <c r="B3" i="1"/>
  <c r="C13" i="13"/>
  <c r="C12" i="13"/>
  <c r="C11" i="13"/>
  <c r="C15" i="13" s="1"/>
  <c r="B5" i="4"/>
  <c r="B4" i="4"/>
  <c r="B5" i="3"/>
  <c r="B4" i="3"/>
  <c r="B5" i="2"/>
  <c r="B4" i="2"/>
  <c r="B5" i="1"/>
  <c r="B4" i="1"/>
  <c r="B25" i="3"/>
  <c r="B13" i="13" s="1"/>
  <c r="B21" i="2"/>
  <c r="B12" i="13" s="1"/>
  <c r="F59" i="13" l="1"/>
  <c r="D25" i="3" s="1"/>
  <c r="F58" i="13"/>
  <c r="D21" i="2" s="1"/>
  <c r="B31" i="1"/>
  <c r="B15" i="13" s="1"/>
  <c r="B56" i="13"/>
  <c r="F56" i="13" s="1"/>
  <c r="D245" i="1" s="1"/>
  <c r="B245" i="1"/>
  <c r="B55" i="13"/>
  <c r="F55" i="13" s="1"/>
  <c r="D31" i="1" s="1"/>
  <c r="C245" i="1"/>
  <c r="C31" i="1"/>
  <c r="C16" i="13"/>
  <c r="C264" i="1"/>
  <c r="C17" i="13"/>
  <c r="B264" i="1"/>
  <c r="B17" i="13" s="1"/>
  <c r="B57" i="13"/>
  <c r="F57" i="13" s="1"/>
  <c r="D264" i="1" s="1"/>
  <c r="C27" i="4"/>
  <c r="F11" i="13" s="1"/>
  <c r="F60" i="13"/>
  <c r="E27" i="4" s="1"/>
  <c r="B16" i="13" l="1"/>
  <c r="B11" i="13" s="1"/>
  <c r="B26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Ken Smart [SSC]</author>
  </authors>
  <commentList>
    <comment ref="A58" authorId="0" shapeId="0" xr:uid="{00000000-0006-0000-0000-000001000000}">
      <text>
        <r>
          <rPr>
            <sz val="9"/>
            <color indexed="81"/>
            <rFont val="Tahoma"/>
            <family val="2"/>
          </rPr>
          <t xml:space="preserve">
Update link once finalised for new workbook</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Ken Smart [SSC]</author>
  </authors>
  <commentList>
    <comment ref="A11" authorId="0" shapeId="0" xr:uid="{00000000-0006-0000-0200-000001000000}">
      <text>
        <r>
          <rPr>
            <sz val="9"/>
            <color indexed="81"/>
            <rFont val="Tahoma"/>
            <family val="2"/>
          </rPr>
          <t xml:space="preserve">
Insert additional rows as needed:
- 'right click' on a row number (left of screen)
- select 'Insert' (this will insert a row above it)
</t>
        </r>
      </text>
    </comment>
    <comment ref="A34" authorId="0" shapeId="0" xr:uid="{00000000-0006-0000-0200-000002000000}">
      <text>
        <r>
          <rPr>
            <sz val="9"/>
            <color indexed="81"/>
            <rFont val="Tahoma"/>
            <family val="2"/>
          </rPr>
          <t xml:space="preserve">
Insert additional rows as needed:
- 'right click' on a row number (left of screen)
- select 'Insert' (this will insert a row above it)
</t>
        </r>
      </text>
    </comment>
    <comment ref="A248" authorId="0" shapeId="0" xr:uid="{00000000-0006-0000-0200-000003000000}">
      <text>
        <r>
          <rPr>
            <sz val="9"/>
            <color indexed="81"/>
            <rFont val="Tahoma"/>
            <family val="2"/>
          </rPr>
          <t xml:space="preserve">
Insert additional rows as needed:
- 'right click' on a row number (left of screen)
- select 'Insert' (this will insert a row above it)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Ken Smart [SSC]</author>
  </authors>
  <commentList>
    <comment ref="A10" authorId="0" shapeId="0" xr:uid="{00000000-0006-0000-0300-000001000000}">
      <text>
        <r>
          <rPr>
            <sz val="9"/>
            <color indexed="81"/>
            <rFont val="Tahoma"/>
            <family val="2"/>
          </rPr>
          <t xml:space="preserve">
Insert additional rows as needed:
- 'right click' on a row number (left of screen)
- select 'Insert' (this will insert a row above it)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Ken Smart [SSC]</author>
  </authors>
  <commentList>
    <comment ref="A10" authorId="0" shapeId="0" xr:uid="{00000000-0006-0000-0400-000001000000}">
      <text>
        <r>
          <rPr>
            <sz val="9"/>
            <color indexed="81"/>
            <rFont val="Tahoma"/>
            <family val="2"/>
          </rPr>
          <t xml:space="preserve">
Insert additional rows as needed:
- 'right click' on a row number (left of screen)
- select 'Insert' (this will insert a row above it)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Ken Smart [SSC]</author>
  </authors>
  <commentList>
    <comment ref="A10" authorId="0" shapeId="0" xr:uid="{00000000-0006-0000-0500-000001000000}">
      <text>
        <r>
          <rPr>
            <sz val="9"/>
            <color indexed="81"/>
            <rFont val="Tahoma"/>
            <family val="2"/>
          </rPr>
          <t xml:space="preserve">
Insert additional rows as needed:
- 'right click' on a row number (left of screen)
- select 'Insert' (this will insert a row above it)
</t>
        </r>
      </text>
    </comment>
  </commentList>
</comments>
</file>

<file path=xl/sharedStrings.xml><?xml version="1.0" encoding="utf-8"?>
<sst xmlns="http://schemas.openxmlformats.org/spreadsheetml/2006/main" count="955" uniqueCount="452">
  <si>
    <t>Secretary and Chief Executive Expense Disclosures: A Guide for Agency Staff</t>
  </si>
  <si>
    <t>The following is a summary from "Public Service Secretaries and Chief Executive Expense Disclosures: A Guide for Agency Staff"
Please read that in full first.</t>
  </si>
  <si>
    <t>In the following worksheets, cells shaded light green require input. All other cells are locked to prevent change.</t>
  </si>
  <si>
    <t>Purpose</t>
  </si>
  <si>
    <t>The purpose of regular public disclosure of secretaries and/or chief executive's expenses is to provide transparency and accountability for discretionary expenditure by Public Service agencies and statutory Crown entities.</t>
  </si>
  <si>
    <r>
      <t>Publishing clear and detailed disclosures is integral to building and maintaining the public's trust and confidence in the</t>
    </r>
    <r>
      <rPr>
        <sz val="11"/>
        <color rgb="FFFF0000"/>
        <rFont val="Arial"/>
        <family val="2"/>
      </rPr>
      <t xml:space="preserve"> </t>
    </r>
    <r>
      <rPr>
        <sz val="11"/>
        <rFont val="Arial"/>
        <family val="2"/>
      </rPr>
      <t>Public service.</t>
    </r>
  </si>
  <si>
    <t>What is covered?</t>
  </si>
  <si>
    <r>
      <t xml:space="preserve">Description
</t>
    </r>
    <r>
      <rPr>
        <sz val="10"/>
        <color theme="0"/>
        <rFont val="Arial"/>
        <family val="2"/>
      </rPr>
      <t>(e.g. event tickets, etc)</t>
    </r>
  </si>
  <si>
    <t>All expenses for items offered, accepted or declined by secretaries or chief executives in performing their role are required to be disclosed, whether paid by credit card or invoiced.</t>
  </si>
  <si>
    <t xml:space="preserve">This includes expenses for more personal undertakings, such as professional development expenditure, in addition to outgoings for the likes of travel and entertainment. </t>
  </si>
  <si>
    <t>Secretary and chief executive expenses are not generally regarded as personal or commercially sensitive. Refer to the Ombudsman Guide to Chief Executive Expenses for guidance.</t>
  </si>
  <si>
    <t>Business or corporate expenses for the organisation that are met from the secretaries or chief executive's budget or paid by their credit card are excluded.</t>
  </si>
  <si>
    <t>Expense disclosures cover the full period of the report, and are completed by each secretary or chief executive, including in Acting roles - Complete a separate workbook for each.</t>
  </si>
  <si>
    <t>How does it work?</t>
  </si>
  <si>
    <t xml:space="preserve">Secretaries or chief executives disclose the expenses, gifts &amp; hospitality they have expended or been offered using this Excel workbook. </t>
  </si>
  <si>
    <t>Secretaries or chief executives formally approve completed Excel workbooks and an appropriate person reviews them (see guidance).</t>
  </si>
  <si>
    <r>
      <rPr>
        <sz val="11"/>
        <rFont val="Arial"/>
        <family val="2"/>
      </rPr>
      <t xml:space="preserve">They are posted on agency websites and linked to www.data.govt.nz. See: </t>
    </r>
    <r>
      <rPr>
        <u/>
        <sz val="11"/>
        <color theme="10"/>
        <rFont val="Arial"/>
        <family val="2"/>
      </rPr>
      <t>https://www.data.govt.nz/toolkit/how-do-i-add-or-update-our-chief-executive-expenses/</t>
    </r>
  </si>
  <si>
    <t>When and how often are disclosures made?</t>
  </si>
  <si>
    <t>Disclosures cover the year to 30 June and are expected to be published by 31 July.</t>
  </si>
  <si>
    <t>Disclosed Information - this workbook includes a tab for each of the following categories:</t>
  </si>
  <si>
    <t>Summary and sign-off</t>
  </si>
  <si>
    <r>
      <t xml:space="preserve">This tab contains a summary of the information presented: it includes a single place to update entity information, running totals of the different types of expenses and gifts/benefits, and records the </t>
    </r>
    <r>
      <rPr>
        <u/>
        <sz val="11"/>
        <rFont val="Arial"/>
        <family val="2"/>
      </rPr>
      <t>required</t>
    </r>
    <r>
      <rPr>
        <sz val="11"/>
        <rFont val="Arial"/>
        <family val="2"/>
      </rPr>
      <t xml:space="preserve"> checks and sign-offs </t>
    </r>
    <r>
      <rPr>
        <u/>
        <sz val="11"/>
        <rFont val="Arial"/>
        <family val="2"/>
      </rPr>
      <t>before publication</t>
    </r>
    <r>
      <rPr>
        <sz val="11"/>
        <rFont val="Arial"/>
        <family val="2"/>
      </rPr>
      <t>.</t>
    </r>
  </si>
  <si>
    <t>Travel</t>
  </si>
  <si>
    <t xml:space="preserve">All expenses incurred by secretaries or chief executives during international, national and local travel are disclosed. Expenditure relating to each trip is grouped (particularly for overseas trips), but the nature of the items of expenditure are disclosed separately, with individual lines for the likes of airfares, accommodation, meals, and taxis. </t>
  </si>
  <si>
    <t>Hospitality</t>
  </si>
  <si>
    <t xml:space="preserve">All work-related hospitality expenses provided by the secretary or chief executive to people external to Public Service agenices and statutory Crown entities. </t>
  </si>
  <si>
    <t>All other expenses</t>
  </si>
  <si>
    <t>All other expenses incurred by the secretary or chief executive that are not captured under the definition of travel, hospitality or gifts and benefits are disclosed in this section. This includes items such as cell phone and data costs, subscriptions, membership fees, conference fees, and professional development fees.</t>
  </si>
  <si>
    <t>If in doubt, the principles of transparency and accountability apply and therefore all items are disclosed, unless there is a very good reason not to. The Ombudsman’s view is that "because this expenditure is incurred by very senior employees acting in an official capacity and for a business purpose, the privacy interests of the chief executives who incurred the expenditure are low".</t>
  </si>
  <si>
    <t>Gifts and benefits</t>
  </si>
  <si>
    <t xml:space="preserve">All gifts, invitations to events and other hospitality, of $50 or more in total value per year, offered, accepted or declined by the secretary or chief executive from people external to Public Service agencies and statutory Crown entities are disclosed. A brief explanation of what the secretary or chief executive did with the gifts and benefits is supplied, which includes whether the offer was declined. </t>
  </si>
  <si>
    <t xml:space="preserve">Usually gifts and benefits that have more than a token value are also declared on an open register within agencies, as well as on the expenses disclosure. Please note that anything offered is official information and is covered by the Official Information Act. </t>
  </si>
  <si>
    <t>The value of each gift or benefit should be provided/estimated where possible. If an estimate is approximate, valuation 'ranges' can be submitted. It should be recorded where the cost of a gift cannot be reasonably estimated, or where an estimate is inappropriate (e.g. because of the nature of the item or because disclosing an estimated value might cause offence such as a cultural gift).</t>
  </si>
  <si>
    <t>How to present information</t>
  </si>
  <si>
    <t>Provide information using this Excel workbook: https://www.publicservice.govt.nz/resources/ce-expenses-disclosure/</t>
  </si>
  <si>
    <t>Complete separate tables for each category using the tabs provided in this Excel workbook: Travel, Hospitality, Gifts and Benefits, All other expenses.</t>
  </si>
  <si>
    <r>
      <t xml:space="preserve">Complete all fields. The header (organisation name, secretary or chief executive name and reporting period) will pre-populate once you enter it on the </t>
    </r>
    <r>
      <rPr>
        <u/>
        <sz val="11"/>
        <color theme="1"/>
        <rFont val="Arial"/>
        <family val="2"/>
      </rPr>
      <t>'Summary and sign-off' tab.</t>
    </r>
  </si>
  <si>
    <t>Whether costs are GST exclusive or inclusive needs to be consistent on each sheet, and ideally should be consistent across all sheets. You have the option to use GST exclusive or inclusive as it may depend how you get your source information.</t>
  </si>
  <si>
    <t>Mark clearly if no information to disclose - where there is no information to disclose, record this clearly on the spreadsheet with a suitable description such as “no travel expenses to disclose for this period”; “no gifts received” or “no hospitality provided”. Please do not leave the page blank.</t>
  </si>
  <si>
    <t>Ensure the disclosure is for the full reporting period. Include separate disclosures for each secretary or chief executive, including those in Acting roles.</t>
  </si>
  <si>
    <t xml:space="preserve">Provide sufficient detail for each item in the spreadsheet. Agencies are encouraged to take a why, what, who, where and how approach to describing individual items. A good description that outlines the nature of the item and its purpose improves understanding of why expenses have been incurred or why gifts and hospitality have been given or received. </t>
  </si>
  <si>
    <t>Provide full information for every entry. The alert "Some records may be incomplete" will show in the 'Total' line if any expense has 'Cost' or 'Type of expense' missing, or, any gift has 'Accepted/Declined', 'Description' or 'Estimated value' missing.</t>
  </si>
  <si>
    <t>The subtotals and totals should appear and update automatically, once you add information to the rows above. Insert more rows as you need - right click on the row number (at the left of screen) and select 'Insert' - new row will insert above.</t>
  </si>
  <si>
    <t>Uploading the workbook - please ensure it is easy to find on your website.</t>
  </si>
  <si>
    <t>The Disclosures webpage could be headed with a statement such as: “(This agency) is disclosing the Secretary or Chief Executive’s expenses, gifts and hospitality as part of its commitment to transparency and accountability".</t>
  </si>
  <si>
    <t>Further assistance</t>
  </si>
  <si>
    <t>The above is a summary from "Secretary or Chief Executive Expense Disclosures: A Guide for Agency Staff": https://www.publicservice.govt.nz/assets/Legacy/resources/Chief-Executive-Expense-Disclosure-Guide.pdf 
Please read that in full first.</t>
  </si>
  <si>
    <r>
      <rPr>
        <sz val="11"/>
        <rFont val="Arial"/>
        <family val="2"/>
      </rPr>
      <t xml:space="preserve">If you have any questions please contact </t>
    </r>
    <r>
      <rPr>
        <u/>
        <sz val="11"/>
        <color theme="10"/>
        <rFont val="Arial"/>
        <family val="2"/>
      </rPr>
      <t>ceexpenses@publicservice.govt.nz</t>
    </r>
  </si>
  <si>
    <r>
      <rPr>
        <sz val="11"/>
        <rFont val="Arial"/>
        <family val="2"/>
      </rPr>
      <t>For help with publishing on data.govt contact</t>
    </r>
    <r>
      <rPr>
        <sz val="11"/>
        <color theme="10"/>
        <rFont val="Arial"/>
        <family val="2"/>
      </rPr>
      <t xml:space="preserve"> </t>
    </r>
    <r>
      <rPr>
        <u/>
        <sz val="11"/>
        <color theme="10"/>
        <rFont val="Arial"/>
        <family val="2"/>
      </rPr>
      <t>info@data.govt.nz.</t>
    </r>
  </si>
  <si>
    <r>
      <rPr>
        <sz val="11"/>
        <rFont val="Arial"/>
        <family val="2"/>
      </rPr>
      <t xml:space="preserve">Expenses should be posted on agency websites and linked to www.data.govt.nz. See: </t>
    </r>
    <r>
      <rPr>
        <u/>
        <sz val="11"/>
        <color theme="10"/>
        <rFont val="Arial"/>
        <family val="2"/>
      </rPr>
      <t>https://www.data.govt.nz/toolkit/how-do-i-add-or-update-our-chief-executive-expenses/</t>
    </r>
  </si>
  <si>
    <t>Provide information using the Commissions Excel workbook - Click Here</t>
  </si>
  <si>
    <t>Secretary or Chief Executive Expenses, Gifts and Benefits Disclosure - summary &amp; sign-off*</t>
  </si>
  <si>
    <t>Organisation Name*</t>
  </si>
  <si>
    <t>Sport NZ</t>
  </si>
  <si>
    <t>Secretary or Chief Executive**</t>
  </si>
  <si>
    <t>Raelene Castle</t>
  </si>
  <si>
    <t>Disclosure period start***</t>
  </si>
  <si>
    <t>Disclosure period end***</t>
  </si>
  <si>
    <t>Agency totals check</t>
  </si>
  <si>
    <t>Secretary or Chief Executive approval****</t>
  </si>
  <si>
    <t>This disclosure has not yet been approved by the Departmental Secretary or Chief Executive</t>
  </si>
  <si>
    <t>Other sign-off****</t>
  </si>
  <si>
    <t>Type here who else has approved this disclosure</t>
  </si>
  <si>
    <t>This summary page updates automatically from the 'Travel', 'Hospitality', 'All other expenses', and 'Gifts and benefits' tabs.
Throughout this workbook, input cells are shaded light green.</t>
  </si>
  <si>
    <t>Summary of expenses</t>
  </si>
  <si>
    <t>Cost in NZ$</t>
  </si>
  <si>
    <r>
      <t>GST inc / exc</t>
    </r>
    <r>
      <rPr>
        <b/>
        <sz val="10"/>
        <rFont val="Arial"/>
        <family val="2"/>
      </rPr>
      <t/>
    </r>
  </si>
  <si>
    <t>Count</t>
  </si>
  <si>
    <t>Travel expenses</t>
  </si>
  <si>
    <t>Number offered</t>
  </si>
  <si>
    <t>Number accepted</t>
  </si>
  <si>
    <t>Other expenses</t>
  </si>
  <si>
    <t>Number declined</t>
  </si>
  <si>
    <t>International Travel</t>
  </si>
  <si>
    <t>Domestic Travel</t>
  </si>
  <si>
    <t>Local Travel</t>
  </si>
  <si>
    <t xml:space="preserve">Notes </t>
  </si>
  <si>
    <t>* Headings on following tabs will pre populate with what you enter on this tab</t>
  </si>
  <si>
    <t>** Create a new workbook for a new or Acting Departmental secretary or Chief Executive</t>
  </si>
  <si>
    <t>*** Update if a shorter or different period is covered</t>
  </si>
  <si>
    <t>**** This disclosure must be approved by the Departmental secretary or Chief Executive and another appropriate party, e.g. Board Chair, Chief Financial Officer or Audit and Risk Committee member</t>
  </si>
  <si>
    <t>Text required for validation and checks - don't change, move, delete or overwrite</t>
  </si>
  <si>
    <t>Insert additional rows as needed: right click on a row number (left of screen) and select Insert - this will insert a row above selected row.</t>
  </si>
  <si>
    <t>Figures include GST (where applicable)</t>
  </si>
  <si>
    <t>Figures exclude GST</t>
  </si>
  <si>
    <t>Data and totals on this worksheet have NOT YET BEEN CHECKED AND CONFIRMED</t>
  </si>
  <si>
    <t>Data and totals on this worksheet checked and confirmed</t>
  </si>
  <si>
    <t>Data and totals have not yet been checked and confirmed for any sheet</t>
  </si>
  <si>
    <t>Some data and totals have not yet been checked and confirmed</t>
  </si>
  <si>
    <t>Data and totals checked on all sheets</t>
  </si>
  <si>
    <t>Not yet indicated</t>
  </si>
  <si>
    <t>GST inclusion inconsistent</t>
  </si>
  <si>
    <t>This disclosure has been approved by the Departmental Secretary or Chief Executive</t>
  </si>
  <si>
    <t>Cultural item - not appropriate to value</t>
  </si>
  <si>
    <t>Under $100</t>
  </si>
  <si>
    <t>$100 - $500</t>
  </si>
  <si>
    <t>$500 - $1,000</t>
  </si>
  <si>
    <t>Over $1,000</t>
  </si>
  <si>
    <t>Estimate not possible</t>
  </si>
  <si>
    <t>Accepted</t>
  </si>
  <si>
    <t>Declined</t>
  </si>
  <si>
    <t>Check - there are no hidden rows with data</t>
  </si>
  <si>
    <t>Error - this total includes data from 'hidden' rows</t>
  </si>
  <si>
    <t>Check - each entry provides sufficient information</t>
  </si>
  <si>
    <t>Not all lines have an entry for "Cost in NZ$" and "Type of expense"</t>
  </si>
  <si>
    <t>Not all lines have an entry for "Description", "Was the gift accepted?" and "Estimated value in NZ$"</t>
  </si>
  <si>
    <t>Check that # of 'costs' = 'type of expenses' (also "accepted/declined" for gifts &amp; benefits)</t>
  </si>
  <si>
    <t>These checks (F53 to F61) are imperfect - they count the entries in each column and checks these totals are the same</t>
  </si>
  <si>
    <t>Travel checks</t>
  </si>
  <si>
    <t>Hospitality check</t>
  </si>
  <si>
    <t>All other expenses check</t>
  </si>
  <si>
    <t>Gifts and benefits check</t>
  </si>
  <si>
    <t>Public Service Secretary or Chief Executive Expense Disclosure</t>
  </si>
  <si>
    <t xml:space="preserve">Organisation Name </t>
  </si>
  <si>
    <t>Public Service Secretary or Chief Executive</t>
  </si>
  <si>
    <t>Disclosure period start</t>
  </si>
  <si>
    <t>Disclosure period end</t>
  </si>
  <si>
    <t>GST on costs</t>
  </si>
  <si>
    <t>International, domestic and local travel expenses</t>
  </si>
  <si>
    <t>All expenses incurred by Public Service secretary or chief executive during international, domestic and local travel. Group expenses relating to each trip.</t>
  </si>
  <si>
    <r>
      <t xml:space="preserve">International Travel   </t>
    </r>
    <r>
      <rPr>
        <sz val="12"/>
        <color theme="0"/>
        <rFont val="Arial"/>
        <family val="2"/>
      </rPr>
      <t xml:space="preserve"> (including travel within NZ at beginning and end of overseas trip)</t>
    </r>
  </si>
  <si>
    <t>Date(s)*</t>
  </si>
  <si>
    <t>Cost in NZ$**</t>
  </si>
  <si>
    <r>
      <t xml:space="preserve">Purpose of travel
</t>
    </r>
    <r>
      <rPr>
        <sz val="10"/>
        <color theme="0"/>
        <rFont val="Arial"/>
        <family val="2"/>
      </rPr>
      <t>(e.g. attending XYZ conference for 3 days)***</t>
    </r>
  </si>
  <si>
    <r>
      <t xml:space="preserve">Type of expense
</t>
    </r>
    <r>
      <rPr>
        <sz val="10"/>
        <color theme="0"/>
        <rFont val="Arial"/>
        <family val="2"/>
      </rPr>
      <t>(e.g. hotel, airfares, taxis, meals &amp; for how many people)</t>
    </r>
  </si>
  <si>
    <t>Location(s)</t>
  </si>
  <si>
    <t>19 July - 19 Aug 2024</t>
  </si>
  <si>
    <t>Meeting with Int Network of Sports Councils (Lon); Paris Olympics and associated international meetings</t>
  </si>
  <si>
    <t>Airfares</t>
  </si>
  <si>
    <t>Akld/LHR/Paris/Akld</t>
  </si>
  <si>
    <t>Trains x2 inc changes</t>
  </si>
  <si>
    <t>Lon/Paris one way and Paris/Marseille rtn</t>
  </si>
  <si>
    <t>Ubers x 31</t>
  </si>
  <si>
    <t>London and Paris</t>
  </si>
  <si>
    <t>19-22 July 2024</t>
  </si>
  <si>
    <t>Taxis x 3</t>
  </si>
  <si>
    <t>London</t>
  </si>
  <si>
    <t>21 July - 22 July 2024</t>
  </si>
  <si>
    <t>Accommodation x2 nights</t>
  </si>
  <si>
    <t>Paris Olympics and associated international meetings</t>
  </si>
  <si>
    <t>Accommodation x23 nights</t>
  </si>
  <si>
    <t>Paris / Marseille</t>
  </si>
  <si>
    <t>11-17 June 2025</t>
  </si>
  <si>
    <t>Meeting with Sport Singapore; Sport England &amp; UK Sport; Arup, Laureus Sport</t>
  </si>
  <si>
    <t>Airfare (Premium Eco)</t>
  </si>
  <si>
    <t>Akld/Sing/Lon rtn</t>
  </si>
  <si>
    <t>ex GST</t>
  </si>
  <si>
    <t>11 &amp; 12 June 2025</t>
  </si>
  <si>
    <t>Meetings with Sport Singapore</t>
  </si>
  <si>
    <t>Accommodation x 2 nights</t>
  </si>
  <si>
    <t>Singapore</t>
  </si>
  <si>
    <t>Taxis</t>
  </si>
  <si>
    <t>16 &amp; 17 June 2025</t>
  </si>
  <si>
    <t>Meetings with Sport England, UK Sport,Arup, Laureus Sport for Good</t>
  </si>
  <si>
    <t>Meetings with Sport England, UK Sport, Arup, Laureus Sport for Good</t>
  </si>
  <si>
    <t>Ubers/taxis</t>
  </si>
  <si>
    <t>Returning to NZ from above meetings in England</t>
  </si>
  <si>
    <t xml:space="preserve">Uber </t>
  </si>
  <si>
    <t>Auckland</t>
  </si>
  <si>
    <t>Subtotal - international travel</t>
  </si>
  <si>
    <r>
      <t xml:space="preserve">Domestic Travel   </t>
    </r>
    <r>
      <rPr>
        <sz val="12"/>
        <color theme="0"/>
        <rFont val="Arial"/>
        <family val="2"/>
      </rPr>
      <t xml:space="preserve"> (within NZ, including travel to and from local airport)</t>
    </r>
  </si>
  <si>
    <r>
      <t xml:space="preserve">Purpose of travel
</t>
    </r>
    <r>
      <rPr>
        <sz val="10"/>
        <color theme="0"/>
        <rFont val="Arial"/>
        <family val="2"/>
      </rPr>
      <t>(e.g. visiting district office for two days...)***</t>
    </r>
  </si>
  <si>
    <t>1-3 July 2024</t>
  </si>
  <si>
    <t>Meetings with Chch staff, local partners in Chch, tour of Parakiore; mtgs in Wellington</t>
  </si>
  <si>
    <t>airfare</t>
  </si>
  <si>
    <t>Akld/Chch/Wgtn/Akld</t>
  </si>
  <si>
    <t>Ubers x5</t>
  </si>
  <si>
    <t>Akld/Chch/Wgtn</t>
  </si>
  <si>
    <t>Accommodation</t>
  </si>
  <si>
    <t>Christchurch</t>
  </si>
  <si>
    <t>Wellington</t>
  </si>
  <si>
    <t>8/9 July 2024</t>
  </si>
  <si>
    <t>Meetings in Wgtn</t>
  </si>
  <si>
    <t>Airfare</t>
  </si>
  <si>
    <t>Akld/Wgtn rtn</t>
  </si>
  <si>
    <t>Ubers x3</t>
  </si>
  <si>
    <t>Akld &amp; Wgtn</t>
  </si>
  <si>
    <t>Travel services costs for July</t>
  </si>
  <si>
    <t>21-23 Aug 2024</t>
  </si>
  <si>
    <t>Sport NZ Board meeting; meetings with staff; speaking NZ Universities l/ship prog</t>
  </si>
  <si>
    <t>accommodation x 2 nights</t>
  </si>
  <si>
    <t>Wgtn</t>
  </si>
  <si>
    <t>27-29 Aug 2024</t>
  </si>
  <si>
    <t>RST hui, local govt hui, meetings with staff</t>
  </si>
  <si>
    <t>ubers x4</t>
  </si>
  <si>
    <t>Service charge for August</t>
  </si>
  <si>
    <t>Uber</t>
  </si>
  <si>
    <t>2-4 Sept 2024</t>
  </si>
  <si>
    <t>Attend King Tauheitia's tangi; sector CE induction; internal meetings</t>
  </si>
  <si>
    <t>Ham/Wgtn/Akld</t>
  </si>
  <si>
    <t xml:space="preserve">Attend King Tauheitia's tangi; </t>
  </si>
  <si>
    <t>accommodation, 1 night</t>
  </si>
  <si>
    <t>Hamilton</t>
  </si>
  <si>
    <t>Sector CE induction; internal meetings</t>
  </si>
  <si>
    <t>Ubers</t>
  </si>
  <si>
    <t>Wgtn &amp; Akld</t>
  </si>
  <si>
    <t>9/10 Sept 2024</t>
  </si>
  <si>
    <t>Meeting w Minister; internal meetings</t>
  </si>
  <si>
    <t>Ubers x4</t>
  </si>
  <si>
    <t>16-19 Sept 2024</t>
  </si>
  <si>
    <t>Speaking at Nat. Sec. Schools hui; internal meetings; attend funeral</t>
  </si>
  <si>
    <t xml:space="preserve">airfare </t>
  </si>
  <si>
    <t>accommodation, 3 nights</t>
  </si>
  <si>
    <t>30 Sept - 2 Oct 2024</t>
  </si>
  <si>
    <t>Internal meetings</t>
  </si>
  <si>
    <t>aifare</t>
  </si>
  <si>
    <t>accommodadtion, 2 nigths</t>
  </si>
  <si>
    <t>Akld and Wgtn</t>
  </si>
  <si>
    <t>Airport parking</t>
  </si>
  <si>
    <t>Sept travel service fees</t>
  </si>
  <si>
    <t>6-7 Oct 2024</t>
  </si>
  <si>
    <t>Meetings with Active Southland; NZ v Eng netball test</t>
  </si>
  <si>
    <t>airfare (+ change Dun to Akld)</t>
  </si>
  <si>
    <t>Akld/Inv/Dun/Akld</t>
  </si>
  <si>
    <t>Invercargill</t>
  </si>
  <si>
    <t>rental car, Inv to Dunedin</t>
  </si>
  <si>
    <t>Inv/Dun</t>
  </si>
  <si>
    <t>Meetings with Cycling NZ; Home of Cycling Trust; HPSNZ staff</t>
  </si>
  <si>
    <t>Mileage (280km @ $1.04)</t>
  </si>
  <si>
    <t>Akld/Ham rtn</t>
  </si>
  <si>
    <t>17-18 Oct 2024</t>
  </si>
  <si>
    <t>Meeting with Minister; internal meetings and workshop</t>
  </si>
  <si>
    <t>Meeting with Minister; internal meetings; and workshop</t>
  </si>
  <si>
    <t>accommodation 1 night</t>
  </si>
  <si>
    <t>ubers</t>
  </si>
  <si>
    <t>21/22 Oct 2024</t>
  </si>
  <si>
    <t>speaking at HAL forum; internal meetings</t>
  </si>
  <si>
    <t>Accommodation, 1 night</t>
  </si>
  <si>
    <t>ubers x6</t>
  </si>
  <si>
    <t>24-25/10/2024</t>
  </si>
  <si>
    <t>Coronial inquiry briefing meeting</t>
  </si>
  <si>
    <t>Akld/Chch rtn</t>
  </si>
  <si>
    <t>24/25/10/2024</t>
  </si>
  <si>
    <t>ubers x2</t>
  </si>
  <si>
    <t>Akld and Chch</t>
  </si>
  <si>
    <t xml:space="preserve">29-30 Oct 2024 </t>
  </si>
  <si>
    <t>Sport NZ Board meeting; internal meetings</t>
  </si>
  <si>
    <t>Oct travel service fee</t>
  </si>
  <si>
    <t>4/5 Nov 2024</t>
  </si>
  <si>
    <t>Meeting with Minister; internal meetings</t>
  </si>
  <si>
    <t>11-12 Nov 2024</t>
  </si>
  <si>
    <t>Akld airport parking</t>
  </si>
  <si>
    <t>18 -22 Nov 2024</t>
  </si>
  <si>
    <t>Coronial inquest</t>
  </si>
  <si>
    <t>mileage (240km @ $1.04)</t>
  </si>
  <si>
    <t>Akld/Hamilton rtn</t>
  </si>
  <si>
    <t>18 - 22 Nov 2024</t>
  </si>
  <si>
    <t>accommodation (3 nights)</t>
  </si>
  <si>
    <t>meals (3 days)</t>
  </si>
  <si>
    <t>18-22 Nov 2024</t>
  </si>
  <si>
    <t>25-29 Nov 2024</t>
  </si>
  <si>
    <t>mileage (120km @ $1.04)</t>
  </si>
  <si>
    <t xml:space="preserve">Whangamata/Hamilton </t>
  </si>
  <si>
    <t>accommodation (4 nights)</t>
  </si>
  <si>
    <t>meals (4 days)</t>
  </si>
  <si>
    <t>ubers x3</t>
  </si>
  <si>
    <t>Meeting with Independent Reviewer</t>
  </si>
  <si>
    <t>Ham/Wgtn rtn</t>
  </si>
  <si>
    <t>wellington</t>
  </si>
  <si>
    <t>Nov travel service fees</t>
  </si>
  <si>
    <t>30-1 Dec 2024</t>
  </si>
  <si>
    <t>Meeting with Sports Tribunal Chair; Maori Sports Awards</t>
  </si>
  <si>
    <t>mileage (300 km @ $1.04)</t>
  </si>
  <si>
    <t>Ham/Tauranga/Akld</t>
  </si>
  <si>
    <t>accommodation (2 nights)</t>
  </si>
  <si>
    <t>Tauranga</t>
  </si>
  <si>
    <t>2-6 Dec 2024</t>
  </si>
  <si>
    <t>mileage (240km @ $1.04))</t>
  </si>
  <si>
    <t>9-13 Dec 2024</t>
  </si>
  <si>
    <t>Sport NZ 2-day board meeting; internal meetings; Select Cttee Hearing</t>
  </si>
  <si>
    <t>ubers x7</t>
  </si>
  <si>
    <t>Uber service fees Oct-Dec</t>
  </si>
  <si>
    <t>Dec travel service fees</t>
  </si>
  <si>
    <t>20 -22 Jan 2025</t>
  </si>
  <si>
    <t>Meetings in Wellington</t>
  </si>
  <si>
    <t>QT/Wgtn/Akld</t>
  </si>
  <si>
    <t>20-22 Jan 2025</t>
  </si>
  <si>
    <t>Accommodation (2 nights)</t>
  </si>
  <si>
    <t>28/29 Jan 2025</t>
  </si>
  <si>
    <t xml:space="preserve">Accommodation </t>
  </si>
  <si>
    <t>Ubers / taxi</t>
  </si>
  <si>
    <t>Wgtn/Akld</t>
  </si>
  <si>
    <t>Travel card service fee</t>
  </si>
  <si>
    <t>Uber service fees</t>
  </si>
  <si>
    <t>3/4 Feb 2025</t>
  </si>
  <si>
    <t>Wgtn/Akld one way</t>
  </si>
  <si>
    <t>Meals</t>
  </si>
  <si>
    <t>Ubersx4</t>
  </si>
  <si>
    <t>10/11 Feb 2025</t>
  </si>
  <si>
    <t>13-14/02/2025</t>
  </si>
  <si>
    <t>Meeting with new Minister</t>
  </si>
  <si>
    <t>Accommodation (1 night)</t>
  </si>
  <si>
    <t>24-26 Feb 2025</t>
  </si>
  <si>
    <t>Board induction day; board meeting, Wellington</t>
  </si>
  <si>
    <t>Ubersx3</t>
  </si>
  <si>
    <t>3-5/03/2025</t>
  </si>
  <si>
    <t>Working from Wgtn office; Parliamentary function</t>
  </si>
  <si>
    <t>Airfare (Akld to Wgtn tranferred from 10/2)</t>
  </si>
  <si>
    <t>Ubers/ taxi x4</t>
  </si>
  <si>
    <t>Wgtn&amp; Akld</t>
  </si>
  <si>
    <t>10/11 March 2025</t>
  </si>
  <si>
    <t>Officials meeting; internal meetings</t>
  </si>
  <si>
    <t xml:space="preserve">Airport parking </t>
  </si>
  <si>
    <t>Akld</t>
  </si>
  <si>
    <t>Accommodation (x1)</t>
  </si>
  <si>
    <t>12/13 March 2025</t>
  </si>
  <si>
    <t>Meetings with staff and local partners in Cambridge</t>
  </si>
  <si>
    <t>Mileage</t>
  </si>
  <si>
    <t>Akld/Cambridge rtn</t>
  </si>
  <si>
    <t>19/20 March 2025</t>
  </si>
  <si>
    <t>Taumata board meeting; internal meetings</t>
  </si>
  <si>
    <t>Meal</t>
  </si>
  <si>
    <t>25-27 March 2025</t>
  </si>
  <si>
    <t>Internal meetings; Cultural Agency CE mtg; attending T20 cricket with Ministers</t>
  </si>
  <si>
    <t>Accommodation (x2)</t>
  </si>
  <si>
    <t>Travel Service fee</t>
  </si>
  <si>
    <t>2/3 April 2025</t>
  </si>
  <si>
    <t xml:space="preserve">Bus planning offsite with Managers; </t>
  </si>
  <si>
    <t>Bus planning offsite with Managers;</t>
  </si>
  <si>
    <t>Bus planning offsite with Managers</t>
  </si>
  <si>
    <t>Airport parking (2 days)</t>
  </si>
  <si>
    <t>7-10 April 2025</t>
  </si>
  <si>
    <t>Officials mtg; Board sub cttee mtgs; internal meetings</t>
  </si>
  <si>
    <t xml:space="preserve">Airfare </t>
  </si>
  <si>
    <t>Accommodation (3 nights)</t>
  </si>
  <si>
    <t>21-24 April 2025</t>
  </si>
  <si>
    <t>Attend coronial inquiry hearing in Chch</t>
  </si>
  <si>
    <t>Ubersx2</t>
  </si>
  <si>
    <t>Airport parking (Akld)</t>
  </si>
  <si>
    <t>Meals x2</t>
  </si>
  <si>
    <t>28-30 April 2025</t>
  </si>
  <si>
    <t>Board meeting &amp; internal meetings</t>
  </si>
  <si>
    <t>Uber service fee</t>
  </si>
  <si>
    <t>6/7 May 2025</t>
  </si>
  <si>
    <t>Internal meetings; Tu Manawa hui</t>
  </si>
  <si>
    <t>accommodation (1 night)</t>
  </si>
  <si>
    <t>Officials mtg; Internal meetings</t>
  </si>
  <si>
    <t>Parking Akld Airport</t>
  </si>
  <si>
    <t>Parking</t>
  </si>
  <si>
    <t>15-17 May 2025</t>
  </si>
  <si>
    <t>Meeting with Sport Canterbury; HPSNZ staff; site visit Parakiore; Black Ferns test</t>
  </si>
  <si>
    <t>Accommodation x 2 (195/night)</t>
  </si>
  <si>
    <t>Chch</t>
  </si>
  <si>
    <t>Rental car (2 days)</t>
  </si>
  <si>
    <t>20-22 May 2025</t>
  </si>
  <si>
    <t>Internal meetings &amp; Taumata board mtg; IPC President visit</t>
  </si>
  <si>
    <t>Internal meetings &amp; Taumata board mtg; IPC Prsident visit</t>
  </si>
  <si>
    <t>26-29 May 2025</t>
  </si>
  <si>
    <t>Internal meetings; Sport NZ Board meeting w Minister; NZ Sports Fdn mtg;</t>
  </si>
  <si>
    <t>Travel service fee</t>
  </si>
  <si>
    <t>3-5 June 2025</t>
  </si>
  <si>
    <t>Internal meetings; mtg with Minister;</t>
  </si>
  <si>
    <t>Airfare + change fee</t>
  </si>
  <si>
    <t>Internal meetings; mtg with Minister; speaking engagement MCH</t>
  </si>
  <si>
    <t>taxis</t>
  </si>
  <si>
    <t>Ūber service fee</t>
  </si>
  <si>
    <t>Subtotal - domestic travel</t>
  </si>
  <si>
    <r>
      <t xml:space="preserve">Local Travel    </t>
    </r>
    <r>
      <rPr>
        <sz val="12"/>
        <color theme="0"/>
        <rFont val="Arial"/>
        <family val="2"/>
      </rPr>
      <t>(within City, excluding travel to airport)</t>
    </r>
  </si>
  <si>
    <r>
      <t>Purpose of travel</t>
    </r>
    <r>
      <rPr>
        <sz val="10"/>
        <color theme="0"/>
        <rFont val="Arial"/>
        <family val="2"/>
      </rPr>
      <t xml:space="preserve">
(e.g. meeting with Minister)***</t>
    </r>
  </si>
  <si>
    <r>
      <t xml:space="preserve">Type of expense
</t>
    </r>
    <r>
      <rPr>
        <sz val="10"/>
        <color theme="0"/>
        <rFont val="Arial"/>
        <family val="2"/>
      </rPr>
      <t>(e.g. taxi, parking, bus)</t>
    </r>
  </si>
  <si>
    <t>Rugby test, Eden Park</t>
  </si>
  <si>
    <t>HPSNZ SLT offsite meeting and team dinner</t>
  </si>
  <si>
    <t>Meetings in Akld CBD</t>
  </si>
  <si>
    <t>Attending launch of Olympic Foundation</t>
  </si>
  <si>
    <t>Attending NZOC Gala dinner</t>
  </si>
  <si>
    <t>Halberg Awards</t>
  </si>
  <si>
    <t>Meetings with various stakeholders in Akld CBD</t>
  </si>
  <si>
    <t>Ubers x2</t>
  </si>
  <si>
    <t>Attending HP Summit; mtgs in Akld</t>
  </si>
  <si>
    <t>Attending Aupiki Final</t>
  </si>
  <si>
    <t>Parking in Akld, IRN meeting</t>
  </si>
  <si>
    <t>Parking in Akld for HP SLT offsite meeting</t>
  </si>
  <si>
    <t>Meetings in Akld before going to Chch</t>
  </si>
  <si>
    <t>Subtotal - local travel</t>
  </si>
  <si>
    <t>Total travel expenses</t>
  </si>
  <si>
    <t>* Any non-standard date format or date outside 1 July - 30 June will raise an alert. Check entry and select 'Yes' to accept/continue.</t>
  </si>
  <si>
    <t>** Note that GST may not apply to overseas purchases.</t>
  </si>
  <si>
    <t>*** Please include sufficient information to explain the trip and its costs including destination and duration.</t>
  </si>
  <si>
    <t>Group expenditure relating to each overseas trip.</t>
  </si>
  <si>
    <t>Subtotals and totals will appear automatically once you put information in rows above.</t>
  </si>
  <si>
    <t>Mark clearly if there is no information to disclose - provide a note to this effect in the 'Date' column (column A) for each travel category (local, domestic and international).</t>
  </si>
  <si>
    <t>Hospitality Offered to Third Parties*</t>
  </si>
  <si>
    <t>All hospitality expenses provided by the Public Service secretary or chief executive in the context of their job to anyone external to the Public Service or statutory Crown entities.</t>
  </si>
  <si>
    <t>Date(s)**</t>
  </si>
  <si>
    <r>
      <t xml:space="preserve">Purpose of hospitality
</t>
    </r>
    <r>
      <rPr>
        <sz val="10"/>
        <color theme="0"/>
        <rFont val="Arial"/>
        <family val="2"/>
      </rPr>
      <t xml:space="preserve">(e.g. hosting delegation from China, building relationships, team building) </t>
    </r>
  </si>
  <si>
    <r>
      <t xml:space="preserve">Type of expense
</t>
    </r>
    <r>
      <rPr>
        <sz val="10"/>
        <color theme="0"/>
        <rFont val="Arial"/>
        <family val="2"/>
      </rPr>
      <t>(what and for how many e.g. dinner for 5)</t>
    </r>
  </si>
  <si>
    <t>Meeting with Sport Canterbury</t>
  </si>
  <si>
    <t>Breakfast, 2 pax</t>
  </si>
  <si>
    <t>Meeting with Netball NZ</t>
  </si>
  <si>
    <t>Meeting with new Rowing NZ CEO</t>
  </si>
  <si>
    <t>Lunch, 2 pax</t>
  </si>
  <si>
    <t>Meeting with Waterpolo NZ</t>
  </si>
  <si>
    <t xml:space="preserve">Meeting with NZRL </t>
  </si>
  <si>
    <t>Dinner, 18 pax</t>
  </si>
  <si>
    <t>Meeting with Basketball NZ</t>
  </si>
  <si>
    <t>Meeting with Athletics NZ</t>
  </si>
  <si>
    <t xml:space="preserve">Total hospitality expenses </t>
  </si>
  <si>
    <t>* Third parties include people and organisations external to the public service or statutory Crown entities.</t>
  </si>
  <si>
    <t>** Any non-standard date format or date outside 1 July - 30 June will raise an alert. Check entry and select 'Yes' to accept/continue.</t>
  </si>
  <si>
    <t>Total cost will appear automatically once you put information in rows above.</t>
  </si>
  <si>
    <t>Mark clearly if there is no information to disclose - provide a note to this effect in the 'Date' column (column A).</t>
  </si>
  <si>
    <t>Public Service secretary or Chief Executive</t>
  </si>
  <si>
    <t>All Other Expenses</t>
  </si>
  <si>
    <t>All other expenditure incurred by the Public Service secretary or chief executive that is not travel, hospitality or gifts.
Include e.g. phone and data costs, subscriptions, membership fees, conference fees, professional development costs, books and anything else.</t>
  </si>
  <si>
    <r>
      <t xml:space="preserve">Purpose of expense
</t>
    </r>
    <r>
      <rPr>
        <sz val="10"/>
        <color theme="0"/>
        <rFont val="Arial"/>
        <family val="2"/>
      </rPr>
      <t>(e.g. subscription part of employment agreement, development as agreed with PSC)</t>
    </r>
  </si>
  <si>
    <r>
      <t xml:space="preserve">Type of expense
</t>
    </r>
    <r>
      <rPr>
        <sz val="10"/>
        <color theme="0"/>
        <rFont val="Arial"/>
        <family val="2"/>
      </rPr>
      <t>(e.g. phone and data costs, membership fees)</t>
    </r>
  </si>
  <si>
    <t xml:space="preserve">Total other expenses </t>
  </si>
  <si>
    <t>Notes</t>
  </si>
  <si>
    <t>Public Service Secretary or Chief Executive Gifts and Benefits Disclosure</t>
  </si>
  <si>
    <t>GST on values</t>
  </si>
  <si>
    <t>Gifts and Benefits over $50 annual value</t>
  </si>
  <si>
    <r>
      <rPr>
        <b/>
        <i/>
        <sz val="10"/>
        <color theme="1"/>
        <rFont val="Arial"/>
        <family val="2"/>
      </rPr>
      <t>Include all gifts, invitations to events and other hospitality</t>
    </r>
    <r>
      <rPr>
        <i/>
        <sz val="10"/>
        <color theme="1"/>
        <rFont val="Arial"/>
        <family val="2"/>
      </rPr>
      <t xml:space="preserve">, of $50 or more in total value per year, offered to the Public Service secretary or chief executive by people external to the Public Service.
Include all gifts, invitations or other hospitality </t>
    </r>
    <r>
      <rPr>
        <b/>
        <i/>
        <sz val="10"/>
        <color theme="1"/>
        <rFont val="Arial"/>
        <family val="2"/>
      </rPr>
      <t>whether accepted or declined</t>
    </r>
    <r>
      <rPr>
        <i/>
        <sz val="10"/>
        <color theme="1"/>
        <rFont val="Arial"/>
        <family val="2"/>
      </rPr>
      <t>.</t>
    </r>
  </si>
  <si>
    <r>
      <t xml:space="preserve">Description
</t>
    </r>
    <r>
      <rPr>
        <sz val="10"/>
        <color theme="0"/>
        <rFont val="Arial"/>
        <family val="2"/>
      </rPr>
      <t>(e.g. event tickets, etc.)</t>
    </r>
  </si>
  <si>
    <r>
      <t xml:space="preserve">Was the gift accepted?
</t>
    </r>
    <r>
      <rPr>
        <sz val="10"/>
        <color theme="0"/>
        <rFont val="Arial"/>
        <family val="2"/>
      </rPr>
      <t>(drop-down list in cell)</t>
    </r>
  </si>
  <si>
    <r>
      <t xml:space="preserve">Offered by 
</t>
    </r>
    <r>
      <rPr>
        <sz val="10"/>
        <color theme="0"/>
        <rFont val="Arial"/>
        <family val="2"/>
      </rPr>
      <t>(who made the offer?)</t>
    </r>
  </si>
  <si>
    <r>
      <t>Estimated value in NZ$</t>
    </r>
    <r>
      <rPr>
        <sz val="10"/>
        <color theme="0"/>
        <rFont val="Arial"/>
        <family val="2"/>
      </rPr>
      <t xml:space="preserve">
(drop-down list in cell </t>
    </r>
    <r>
      <rPr>
        <sz val="10"/>
        <rFont val="Arial"/>
        <family val="2"/>
      </rPr>
      <t>but</t>
    </r>
    <r>
      <rPr>
        <sz val="10"/>
        <color theme="0"/>
        <rFont val="Arial"/>
        <family val="2"/>
      </rPr>
      <t xml:space="preserve"> provide specific value if possible)</t>
    </r>
  </si>
  <si>
    <r>
      <t xml:space="preserve">Other comments
</t>
    </r>
    <r>
      <rPr>
        <sz val="10"/>
        <color theme="0"/>
        <rFont val="Arial"/>
        <family val="2"/>
      </rPr>
      <t>(e.g. if given to others, whom?)</t>
    </r>
  </si>
  <si>
    <t>Ticket and hosting All Blacks v England, Eden Park</t>
  </si>
  <si>
    <t>NZ Rugby</t>
  </si>
  <si>
    <t>Ticket Silver Ferns v England, Auckland</t>
  </si>
  <si>
    <t>Netball NZ</t>
  </si>
  <si>
    <t>Ticket and hosting Silver Ferns v England Roses, Wgtn</t>
  </si>
  <si>
    <t>Ticket All Whites v Malaysia (friendly)</t>
  </si>
  <si>
    <t>NZ Football</t>
  </si>
  <si>
    <t>Ticket and hosting at Auckland FC v Brisbane Roar</t>
  </si>
  <si>
    <t>Auckland FC</t>
  </si>
  <si>
    <t>Ticket and hosting, Sliver Ferns v Australia, Auckland</t>
  </si>
  <si>
    <t>Ticket and hosting, Tall Blacks v Phillipines</t>
  </si>
  <si>
    <t>Basketball NZ</t>
  </si>
  <si>
    <t>Guest speaker, Wellington Women's Refuge dinner</t>
  </si>
  <si>
    <t>Wgtn Women's Refuge</t>
  </si>
  <si>
    <t>Ticket and hosting, T20 Women &amp; Men</t>
  </si>
  <si>
    <t>NZ Cricket</t>
  </si>
  <si>
    <t>Ticket and hosting, Blues Double Header Eden Park</t>
  </si>
  <si>
    <t>Blues Ltd</t>
  </si>
  <si>
    <t>Ticket and hosting, Akld FC v Perth Glory</t>
  </si>
  <si>
    <t>Ticket and hosting, Black Ferns v Canada</t>
  </si>
  <si>
    <t>Total count of gift/benefit entries:</t>
  </si>
  <si>
    <t>Offered</t>
  </si>
  <si>
    <t>A one-off offer of something worth $25 is not included, but if the offer is made more than once a year, it should be disclosed.</t>
  </si>
  <si>
    <t>Include items such as invitations to functions and events, event tickets, gifts from overseas counterparts and commercial organisations (including that accepted by immediate family members).</t>
  </si>
  <si>
    <t>Include gifts and benefits that are declined.</t>
  </si>
  <si>
    <t>Number of gifts/benefits will update automatically once you put information in rows above.</t>
  </si>
  <si>
    <t>Paris</t>
  </si>
  <si>
    <t>Transport between olympic events x6</t>
  </si>
  <si>
    <t>Meeting with International Representatives Network for Sport</t>
  </si>
  <si>
    <t>Travel within Paris to Olympic events and associated international meetings</t>
  </si>
  <si>
    <t>Event tickets</t>
  </si>
  <si>
    <t>GM Corporate Services</t>
  </si>
  <si>
    <t>Meeting with International Network of Sports Councils (Lon)</t>
  </si>
  <si>
    <t>Getting to meetings, train stations in London</t>
  </si>
  <si>
    <t>Ticket and hosting Silver Ferns v England Roses, Inv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</si>
</sst>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0_);[Red]\(&quot;$&quot;#,##0.00\)"/>
    <numFmt numFmtId="165" formatCode="_(&quot;$&quot;* #,##0.00_);_(&quot;$&quot;* \(#,##0.00\);_(&quot;$&quot;* &quot;-&quot;??_);_(@_)"/>
    <numFmt numFmtId="166" formatCode="&quot;$&quot;#,##0.00"/>
    <numFmt numFmtId="167" formatCode="[$-1409]d\ mmmm\ yyyy;@"/>
  </numFmts>
  <fonts count="42" x14ac:knownFonts="1">
    <font>
      <sz val="10"/>
      <color theme="1"/>
      <name val="Arial"/>
      <family val="2"/>
    </font>
    <font>
      <b/>
      <sz val="10"/>
      <color indexed="8"/>
      <name val="Arial"/>
      <family val="2"/>
    </font>
    <font>
      <b/>
      <i/>
      <sz val="12"/>
      <color indexed="8"/>
      <name val="Arial"/>
      <family val="2"/>
    </font>
    <font>
      <b/>
      <sz val="12"/>
      <color indexed="8"/>
      <name val="Arial"/>
      <family val="2"/>
    </font>
    <font>
      <b/>
      <sz val="10"/>
      <color theme="1"/>
      <name val="Arial"/>
      <family val="2"/>
    </font>
    <font>
      <i/>
      <sz val="10"/>
      <color indexed="8"/>
      <name val="Arial"/>
      <family val="2"/>
    </font>
    <font>
      <sz val="10"/>
      <color indexed="8"/>
      <name val="Arial"/>
      <family val="2"/>
    </font>
    <font>
      <sz val="11"/>
      <color theme="1"/>
      <name val="Arial"/>
      <family val="2"/>
    </font>
    <font>
      <i/>
      <sz val="10"/>
      <color theme="1"/>
      <name val="Arial"/>
      <family val="2"/>
    </font>
    <font>
      <b/>
      <i/>
      <sz val="10"/>
      <color theme="1"/>
      <name val="Arial"/>
      <family val="2"/>
    </font>
    <font>
      <u/>
      <sz val="10"/>
      <color theme="10"/>
      <name val="Arial"/>
      <family val="2"/>
    </font>
    <font>
      <sz val="11"/>
      <name val="Arial"/>
      <family val="2"/>
    </font>
    <font>
      <u/>
      <sz val="11"/>
      <color theme="10"/>
      <name val="Arial"/>
      <family val="2"/>
    </font>
    <font>
      <sz val="12"/>
      <color theme="1"/>
      <name val="Arial"/>
      <family val="2"/>
    </font>
    <font>
      <sz val="12"/>
      <color indexed="8"/>
      <name val="Arial"/>
      <family val="2"/>
    </font>
    <font>
      <sz val="10"/>
      <name val="Arial"/>
      <family val="2"/>
    </font>
    <font>
      <sz val="10"/>
      <color theme="0"/>
      <name val="Arial"/>
      <family val="2"/>
    </font>
    <font>
      <b/>
      <sz val="12"/>
      <name val="Arial"/>
      <family val="2"/>
    </font>
    <font>
      <b/>
      <sz val="12"/>
      <color theme="0"/>
      <name val="Arial"/>
      <family val="2"/>
    </font>
    <font>
      <b/>
      <sz val="11"/>
      <color theme="0"/>
      <name val="Arial"/>
      <family val="2"/>
    </font>
    <font>
      <b/>
      <sz val="10"/>
      <color theme="0"/>
      <name val="Arial"/>
      <family val="2"/>
    </font>
    <font>
      <b/>
      <sz val="10"/>
      <name val="Arial"/>
      <family val="2"/>
    </font>
    <font>
      <b/>
      <sz val="16"/>
      <color theme="0"/>
      <name val="Arial"/>
      <family val="2"/>
    </font>
    <font>
      <sz val="10"/>
      <color theme="1"/>
      <name val="Arial"/>
      <family val="2"/>
    </font>
    <font>
      <sz val="12"/>
      <color theme="0"/>
      <name val="Arial"/>
      <family val="2"/>
    </font>
    <font>
      <b/>
      <sz val="12"/>
      <color rgb="FFFF0000"/>
      <name val="Arial"/>
      <family val="2"/>
    </font>
    <font>
      <b/>
      <sz val="12"/>
      <color theme="1"/>
      <name val="Arial"/>
      <family val="2"/>
    </font>
    <font>
      <sz val="11"/>
      <color rgb="FFFF0000"/>
      <name val="Arial"/>
      <family val="2"/>
    </font>
    <font>
      <sz val="11"/>
      <color theme="10"/>
      <name val="Arial"/>
      <family val="2"/>
    </font>
    <font>
      <sz val="9"/>
      <color indexed="81"/>
      <name val="Tahoma"/>
      <family val="2"/>
    </font>
    <font>
      <b/>
      <sz val="10"/>
      <color theme="1" tint="0.499984740745262"/>
      <name val="Arial"/>
      <family val="2"/>
    </font>
    <font>
      <sz val="10"/>
      <color theme="1" tint="0.499984740745262"/>
      <name val="Arial"/>
      <family val="2"/>
    </font>
    <font>
      <b/>
      <sz val="11"/>
      <color theme="1"/>
      <name val="Arial"/>
      <family val="2"/>
    </font>
    <font>
      <b/>
      <sz val="10"/>
      <color rgb="FFFFC000"/>
      <name val="Arial"/>
      <family val="2"/>
    </font>
    <font>
      <sz val="12"/>
      <color theme="0" tint="-0.499984740745262"/>
      <name val="Arial"/>
      <family val="2"/>
    </font>
    <font>
      <u/>
      <sz val="11"/>
      <name val="Arial"/>
      <family val="2"/>
    </font>
    <font>
      <b/>
      <sz val="11"/>
      <color rgb="FFFF0000"/>
      <name val="Arial"/>
      <family val="2"/>
    </font>
    <font>
      <b/>
      <sz val="14"/>
      <color theme="0"/>
      <name val="Arial"/>
      <family val="2"/>
    </font>
    <font>
      <u/>
      <sz val="11"/>
      <color theme="1"/>
      <name val="Arial"/>
      <family val="2"/>
    </font>
    <font>
      <sz val="10"/>
      <color rgb="FFFF0000"/>
      <name val="Arial"/>
      <family val="2"/>
    </font>
    <font>
      <sz val="8"/>
      <name val="Arial"/>
      <family val="2"/>
    </font>
    <font>
      <sz val="12"/>
      <color theme="1"/>
      <name val="Calibri"/>
      <family val="2"/>
      <scheme val="minor"/>
    </font>
  </fonts>
  <fills count="12">
    <fill>
      <patternFill patternType="none"/>
    </fill>
    <fill>
      <patternFill patternType="gray125"/>
    </fill>
    <fill>
      <patternFill patternType="solid">
        <fgColor theme="3" tint="-0.249977111117893"/>
        <bgColor indexed="64"/>
      </patternFill>
    </fill>
    <fill>
      <patternFill patternType="solid">
        <fgColor theme="3" tint="0.39997558519241921"/>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8" tint="-0.249977111117893"/>
        <bgColor indexed="64"/>
      </patternFill>
    </fill>
    <fill>
      <patternFill patternType="solid">
        <fgColor theme="8" tint="0.39997558519241921"/>
        <bgColor indexed="64"/>
      </patternFill>
    </fill>
    <fill>
      <patternFill patternType="solid">
        <fgColor rgb="FF99FF99"/>
        <bgColor indexed="64"/>
      </patternFill>
    </fill>
    <fill>
      <patternFill patternType="solid">
        <fgColor rgb="FFCCFFCC"/>
        <bgColor indexed="64"/>
      </patternFill>
    </fill>
    <fill>
      <patternFill patternType="solid">
        <fgColor theme="0"/>
        <bgColor indexed="64"/>
      </patternFill>
    </fill>
  </fills>
  <borders count="11">
    <border>
      <left/>
      <right/>
      <top/>
      <bottom/>
      <diagonal/>
    </border>
    <border>
      <left style="thin">
        <color indexed="64"/>
      </left>
      <right/>
      <top/>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diagonal/>
    </border>
    <border>
      <left style="thin">
        <color indexed="64"/>
      </left>
      <right style="thin">
        <color indexed="64"/>
      </right>
      <top style="thin">
        <color indexed="64"/>
      </top>
      <bottom style="thin">
        <color indexed="64"/>
      </bottom>
      <diagonal/>
    </border>
    <border>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diagonal/>
    </border>
  </borders>
  <cellStyleXfs count="4">
    <xf numFmtId="0" fontId="0" fillId="0" borderId="0"/>
    <xf numFmtId="0" fontId="10" fillId="0" borderId="0" applyNumberFormat="0" applyFill="0" applyBorder="0" applyAlignment="0" applyProtection="0"/>
    <xf numFmtId="165" fontId="23" fillId="0" borderId="0" applyFont="0" applyFill="0" applyBorder="0" applyAlignment="0" applyProtection="0"/>
    <xf numFmtId="0" fontId="41" fillId="0" borderId="0"/>
  </cellStyleXfs>
  <cellXfs count="165">
    <xf numFmtId="0" fontId="0" fillId="0" borderId="0" xfId="0"/>
    <xf numFmtId="0" fontId="0" fillId="0" borderId="0" xfId="0" applyAlignment="1" applyProtection="1">
      <alignment wrapText="1"/>
      <protection locked="0"/>
    </xf>
    <xf numFmtId="0" fontId="0" fillId="0" borderId="0" xfId="0" applyProtection="1">
      <protection locked="0"/>
    </xf>
    <xf numFmtId="0" fontId="18" fillId="2" borderId="0" xfId="0" applyFont="1" applyFill="1" applyAlignment="1">
      <alignment vertical="center" wrapText="1" readingOrder="1"/>
    </xf>
    <xf numFmtId="0" fontId="0" fillId="5" borderId="0" xfId="0" applyFill="1" applyAlignment="1">
      <alignment wrapText="1"/>
    </xf>
    <xf numFmtId="0" fontId="18" fillId="0" borderId="0" xfId="0" applyFont="1" applyAlignment="1">
      <alignment vertical="center" wrapText="1" readingOrder="1"/>
    </xf>
    <xf numFmtId="0" fontId="17" fillId="0" borderId="0" xfId="0" applyFont="1" applyAlignment="1">
      <alignment vertical="center" wrapText="1" readingOrder="1"/>
    </xf>
    <xf numFmtId="0" fontId="21" fillId="0" borderId="0" xfId="0" applyFont="1" applyAlignment="1">
      <alignment vertical="center" wrapText="1" readingOrder="1"/>
    </xf>
    <xf numFmtId="0" fontId="21" fillId="0" borderId="3" xfId="0" applyFont="1" applyBorder="1" applyAlignment="1">
      <alignment vertical="center" wrapText="1" readingOrder="1"/>
    </xf>
    <xf numFmtId="0" fontId="30" fillId="0" borderId="3" xfId="0" applyFont="1" applyBorder="1" applyAlignment="1">
      <alignment horizontal="left" vertical="center" wrapText="1" indent="2" readingOrder="1"/>
    </xf>
    <xf numFmtId="0" fontId="0" fillId="4" borderId="0" xfId="0" applyFill="1"/>
    <xf numFmtId="0" fontId="0" fillId="5" borderId="0" xfId="0" applyFill="1"/>
    <xf numFmtId="0" fontId="4" fillId="6" borderId="0" xfId="0" applyFont="1" applyFill="1"/>
    <xf numFmtId="0" fontId="4" fillId="6" borderId="0" xfId="0" applyFont="1" applyFill="1" applyAlignment="1">
      <alignment wrapText="1"/>
    </xf>
    <xf numFmtId="0" fontId="26" fillId="0" borderId="0" xfId="0" applyFont="1"/>
    <xf numFmtId="166" fontId="25" fillId="0" borderId="0" xfId="0" applyNumberFormat="1" applyFont="1" applyAlignment="1">
      <alignment vertical="center" wrapText="1"/>
    </xf>
    <xf numFmtId="0" fontId="19" fillId="0" borderId="0" xfId="0" applyFont="1" applyAlignment="1">
      <alignment horizontal="center" vertical="center" wrapText="1"/>
    </xf>
    <xf numFmtId="0" fontId="0" fillId="0" borderId="0" xfId="0" applyAlignment="1">
      <alignment wrapText="1"/>
    </xf>
    <xf numFmtId="0" fontId="4" fillId="0" borderId="0" xfId="0" applyFont="1" applyAlignment="1">
      <alignment wrapText="1"/>
    </xf>
    <xf numFmtId="0" fontId="1" fillId="0" borderId="0" xfId="0" applyFont="1" applyAlignment="1">
      <alignment wrapText="1"/>
    </xf>
    <xf numFmtId="0" fontId="0" fillId="0" borderId="0" xfId="0" applyAlignment="1">
      <alignment vertical="center"/>
    </xf>
    <xf numFmtId="0" fontId="4" fillId="0" borderId="0" xfId="0" applyFont="1"/>
    <xf numFmtId="0" fontId="0" fillId="0" borderId="0" xfId="0" applyAlignment="1">
      <alignment horizontal="justify" vertical="center"/>
    </xf>
    <xf numFmtId="0" fontId="14" fillId="0" borderId="0" xfId="0" applyFont="1" applyAlignment="1">
      <alignment vertical="center" wrapText="1" readingOrder="1"/>
    </xf>
    <xf numFmtId="0" fontId="20" fillId="3" borderId="0" xfId="0" applyFont="1" applyFill="1" applyAlignment="1">
      <alignment vertical="center" wrapText="1"/>
    </xf>
    <xf numFmtId="0" fontId="0" fillId="0" borderId="0" xfId="0" applyAlignment="1">
      <alignment vertical="top"/>
    </xf>
    <xf numFmtId="0" fontId="0" fillId="0" borderId="0" xfId="0" applyAlignment="1">
      <alignment vertical="top" wrapText="1"/>
    </xf>
    <xf numFmtId="0" fontId="3" fillId="0" borderId="0" xfId="0" applyFont="1" applyAlignment="1">
      <alignment wrapText="1"/>
    </xf>
    <xf numFmtId="0" fontId="0" fillId="0" borderId="0" xfId="0" applyAlignment="1">
      <alignment vertical="center" wrapText="1"/>
    </xf>
    <xf numFmtId="0" fontId="2" fillId="0" borderId="0" xfId="0" applyFont="1" applyAlignment="1">
      <alignment wrapText="1"/>
    </xf>
    <xf numFmtId="0" fontId="1" fillId="0" borderId="0" xfId="0" applyFont="1" applyAlignment="1">
      <alignment vertical="center" wrapText="1"/>
    </xf>
    <xf numFmtId="0" fontId="19" fillId="3" borderId="0" xfId="0" applyFont="1" applyFill="1" applyAlignment="1">
      <alignment vertical="center" wrapText="1" readingOrder="1"/>
    </xf>
    <xf numFmtId="0" fontId="16" fillId="3" borderId="0" xfId="0" applyFont="1" applyFill="1"/>
    <xf numFmtId="1" fontId="21" fillId="0" borderId="5" xfId="0" applyNumberFormat="1" applyFont="1" applyBorder="1" applyAlignment="1">
      <alignment horizontal="center" vertical="center" wrapText="1"/>
    </xf>
    <xf numFmtId="0" fontId="15" fillId="0" borderId="0" xfId="0" applyFont="1" applyAlignment="1">
      <alignment vertical="center"/>
    </xf>
    <xf numFmtId="1" fontId="17" fillId="0" borderId="0" xfId="0" applyNumberFormat="1" applyFont="1" applyAlignment="1">
      <alignment horizontal="center" vertical="center" wrapText="1"/>
    </xf>
    <xf numFmtId="165" fontId="17" fillId="0" borderId="0" xfId="2" applyFont="1" applyFill="1" applyBorder="1" applyAlignment="1" applyProtection="1">
      <alignment vertical="center" wrapText="1" readingOrder="1"/>
    </xf>
    <xf numFmtId="0" fontId="15" fillId="0" borderId="0" xfId="0" applyFont="1" applyAlignment="1">
      <alignment vertical="center" wrapText="1"/>
    </xf>
    <xf numFmtId="0" fontId="0" fillId="5" borderId="0" xfId="0" applyFill="1" applyAlignment="1">
      <alignment horizontal="left" vertical="top"/>
    </xf>
    <xf numFmtId="0" fontId="18" fillId="2" borderId="0" xfId="0" applyFont="1" applyFill="1" applyAlignment="1">
      <alignment horizontal="center" vertical="center"/>
    </xf>
    <xf numFmtId="0" fontId="27" fillId="0" borderId="0" xfId="0" applyFont="1" applyAlignment="1">
      <alignment horizontal="center"/>
    </xf>
    <xf numFmtId="0" fontId="11" fillId="0" borderId="0" xfId="0" applyFont="1" applyAlignment="1">
      <alignment vertical="center"/>
    </xf>
    <xf numFmtId="0" fontId="19" fillId="2" borderId="0" xfId="0" applyFont="1" applyFill="1" applyAlignment="1">
      <alignment horizontal="justify" vertical="center"/>
    </xf>
    <xf numFmtId="0" fontId="7" fillId="0" borderId="0" xfId="0" applyFont="1" applyAlignment="1">
      <alignment vertical="center"/>
    </xf>
    <xf numFmtId="0" fontId="7" fillId="0" borderId="0" xfId="0" applyFont="1" applyAlignment="1">
      <alignment vertical="center" wrapText="1"/>
    </xf>
    <xf numFmtId="0" fontId="11" fillId="0" borderId="0" xfId="0" applyFont="1" applyAlignment="1">
      <alignment horizontal="justify" vertical="center"/>
    </xf>
    <xf numFmtId="0" fontId="7" fillId="0" borderId="0" xfId="0" applyFont="1" applyAlignment="1">
      <alignment horizontal="justify" vertical="center"/>
    </xf>
    <xf numFmtId="0" fontId="19" fillId="3" borderId="0" xfId="0" applyFont="1" applyFill="1" applyAlignment="1">
      <alignment horizontal="justify" vertical="center"/>
    </xf>
    <xf numFmtId="0" fontId="11" fillId="0" borderId="0" xfId="1" applyFont="1" applyAlignment="1" applyProtection="1">
      <alignment horizontal="justify" vertical="center"/>
    </xf>
    <xf numFmtId="0" fontId="11" fillId="0" borderId="0" xfId="0" applyFont="1" applyAlignment="1">
      <alignment horizontal="left" vertical="center" wrapText="1"/>
    </xf>
    <xf numFmtId="0" fontId="12" fillId="0" borderId="0" xfId="1" applyFont="1" applyAlignment="1" applyProtection="1">
      <alignment vertical="center"/>
    </xf>
    <xf numFmtId="0" fontId="12" fillId="0" borderId="0" xfId="1" applyFont="1" applyAlignment="1" applyProtection="1">
      <alignment horizontal="justify" vertical="center"/>
    </xf>
    <xf numFmtId="0" fontId="11" fillId="0" borderId="0" xfId="0" applyFont="1" applyAlignment="1">
      <alignment horizontal="center" vertical="center"/>
    </xf>
    <xf numFmtId="0" fontId="19" fillId="3" borderId="0" xfId="0" applyFont="1" applyFill="1" applyAlignment="1">
      <alignment vertical="center" readingOrder="1"/>
    </xf>
    <xf numFmtId="0" fontId="32" fillId="0" borderId="0" xfId="0" applyFont="1"/>
    <xf numFmtId="166" fontId="19" fillId="8" borderId="0" xfId="0" applyNumberFormat="1" applyFont="1" applyFill="1" applyAlignment="1">
      <alignment horizontal="left" vertical="center" wrapText="1"/>
    </xf>
    <xf numFmtId="1" fontId="19" fillId="8" borderId="0" xfId="0" applyNumberFormat="1" applyFont="1" applyFill="1" applyAlignment="1">
      <alignment horizontal="center" vertical="center" wrapText="1"/>
    </xf>
    <xf numFmtId="164" fontId="21" fillId="0" borderId="4" xfId="2" applyNumberFormat="1" applyFont="1" applyFill="1" applyBorder="1" applyAlignment="1" applyProtection="1">
      <alignment vertical="center" wrapText="1" readingOrder="1"/>
    </xf>
    <xf numFmtId="164" fontId="21" fillId="0" borderId="0" xfId="2" applyNumberFormat="1" applyFont="1" applyFill="1" applyBorder="1" applyAlignment="1" applyProtection="1">
      <alignment vertical="center" wrapText="1" readingOrder="1"/>
    </xf>
    <xf numFmtId="164" fontId="30" fillId="0" borderId="4" xfId="2" applyNumberFormat="1" applyFont="1" applyFill="1" applyBorder="1" applyAlignment="1" applyProtection="1">
      <alignment vertical="center" wrapText="1" readingOrder="1"/>
    </xf>
    <xf numFmtId="164" fontId="19" fillId="3" borderId="0" xfId="0" applyNumberFormat="1" applyFont="1" applyFill="1" applyAlignment="1">
      <alignment vertical="center" wrapText="1" readingOrder="1"/>
    </xf>
    <xf numFmtId="0" fontId="0" fillId="4" borderId="0" xfId="0" applyFill="1" applyAlignment="1">
      <alignment wrapText="1"/>
    </xf>
    <xf numFmtId="0" fontId="6" fillId="4" borderId="0" xfId="0" applyFont="1" applyFill="1" applyAlignment="1">
      <alignment wrapText="1"/>
    </xf>
    <xf numFmtId="0" fontId="12" fillId="0" borderId="0" xfId="1" applyFont="1" applyFill="1" applyAlignment="1" applyProtection="1">
      <alignment horizontal="justify" vertical="center"/>
    </xf>
    <xf numFmtId="0" fontId="15" fillId="0" borderId="5" xfId="2" applyNumberFormat="1" applyFont="1" applyFill="1" applyBorder="1" applyAlignment="1" applyProtection="1">
      <alignment horizontal="center" vertical="center" wrapText="1" readingOrder="1"/>
    </xf>
    <xf numFmtId="0" fontId="15" fillId="0" borderId="0" xfId="2" applyNumberFormat="1" applyFont="1" applyFill="1" applyBorder="1" applyAlignment="1" applyProtection="1">
      <alignment horizontal="center" vertical="center" wrapText="1" readingOrder="1"/>
    </xf>
    <xf numFmtId="0" fontId="31" fillId="0" borderId="5" xfId="2" applyNumberFormat="1" applyFont="1" applyFill="1" applyBorder="1" applyAlignment="1" applyProtection="1">
      <alignment horizontal="center" vertical="center" wrapText="1" readingOrder="1"/>
    </xf>
    <xf numFmtId="0" fontId="20" fillId="0" borderId="0" xfId="0" applyFont="1" applyAlignment="1">
      <alignment horizontal="center" wrapText="1"/>
    </xf>
    <xf numFmtId="0" fontId="33" fillId="3" borderId="0" xfId="0" applyFont="1" applyFill="1" applyAlignment="1">
      <alignment horizontal="center" vertical="center" readingOrder="1"/>
    </xf>
    <xf numFmtId="0" fontId="20" fillId="3" borderId="0" xfId="0" applyFont="1" applyFill="1" applyAlignment="1">
      <alignment vertical="center"/>
    </xf>
    <xf numFmtId="0" fontId="4" fillId="4" borderId="0" xfId="0" applyFont="1" applyFill="1" applyAlignment="1">
      <alignment wrapText="1"/>
    </xf>
    <xf numFmtId="0" fontId="4" fillId="5" borderId="0" xfId="0" applyFont="1" applyFill="1" applyAlignment="1">
      <alignment wrapText="1"/>
    </xf>
    <xf numFmtId="1" fontId="0" fillId="5" borderId="0" xfId="0" applyNumberFormat="1" applyFill="1" applyAlignment="1">
      <alignment horizontal="center"/>
    </xf>
    <xf numFmtId="0" fontId="0" fillId="5" borderId="0" xfId="0" applyFill="1" applyAlignment="1">
      <alignment horizontal="center"/>
    </xf>
    <xf numFmtId="1" fontId="0" fillId="4" borderId="0" xfId="0" applyNumberFormat="1" applyFill="1" applyAlignment="1">
      <alignment horizontal="center"/>
    </xf>
    <xf numFmtId="0" fontId="0" fillId="4" borderId="0" xfId="0" applyFill="1" applyAlignment="1">
      <alignment horizontal="center"/>
    </xf>
    <xf numFmtId="0" fontId="4" fillId="4" borderId="0" xfId="0" applyFont="1" applyFill="1"/>
    <xf numFmtId="2" fontId="0" fillId="4" borderId="0" xfId="0" applyNumberFormat="1" applyFill="1" applyAlignment="1">
      <alignment vertical="top"/>
    </xf>
    <xf numFmtId="0" fontId="0" fillId="4" borderId="0" xfId="0" applyFill="1" applyAlignment="1">
      <alignment horizontal="left" vertical="top" wrapText="1"/>
    </xf>
    <xf numFmtId="0" fontId="0" fillId="5" borderId="0" xfId="0" applyFill="1" applyAlignment="1">
      <alignment horizontal="left" vertical="top" wrapText="1"/>
    </xf>
    <xf numFmtId="0" fontId="4" fillId="5" borderId="0" xfId="0" applyFont="1" applyFill="1" applyAlignment="1">
      <alignment horizontal="center" vertical="top"/>
    </xf>
    <xf numFmtId="1" fontId="4" fillId="5" borderId="0" xfId="0" applyNumberFormat="1" applyFont="1" applyFill="1" applyAlignment="1">
      <alignment horizontal="center"/>
    </xf>
    <xf numFmtId="0" fontId="4" fillId="4" borderId="0" xfId="0" applyFont="1" applyFill="1" applyAlignment="1">
      <alignment horizontal="center" wrapText="1"/>
    </xf>
    <xf numFmtId="0" fontId="4" fillId="5" borderId="0" xfId="0" applyFont="1" applyFill="1" applyAlignment="1">
      <alignment horizontal="center" wrapText="1"/>
    </xf>
    <xf numFmtId="0" fontId="18" fillId="3" borderId="0" xfId="0" applyFont="1" applyFill="1" applyAlignment="1">
      <alignment vertical="center" wrapText="1" readingOrder="1"/>
    </xf>
    <xf numFmtId="165" fontId="18" fillId="3" borderId="0" xfId="2" applyFont="1" applyFill="1" applyBorder="1" applyAlignment="1" applyProtection="1">
      <alignment horizontal="center" vertical="center" wrapText="1" readingOrder="1"/>
    </xf>
    <xf numFmtId="165" fontId="18" fillId="0" borderId="0" xfId="2" applyFont="1" applyFill="1" applyBorder="1" applyAlignment="1" applyProtection="1">
      <alignment horizontal="center" vertical="center" wrapText="1" readingOrder="1"/>
    </xf>
    <xf numFmtId="0" fontId="18" fillId="7" borderId="0" xfId="0" applyFont="1" applyFill="1" applyAlignment="1">
      <alignment vertical="center" wrapText="1" readingOrder="1"/>
    </xf>
    <xf numFmtId="165" fontId="18" fillId="7" borderId="0" xfId="2" applyFont="1" applyFill="1" applyBorder="1" applyAlignment="1" applyProtection="1">
      <alignment horizontal="center" vertical="center" wrapText="1" readingOrder="1"/>
    </xf>
    <xf numFmtId="0" fontId="20" fillId="0" borderId="0" xfId="0" applyFont="1" applyAlignment="1">
      <alignment wrapText="1"/>
    </xf>
    <xf numFmtId="0" fontId="16" fillId="0" borderId="0" xfId="0" applyFont="1"/>
    <xf numFmtId="167" fontId="15" fillId="9" borderId="3" xfId="0" applyNumberFormat="1" applyFont="1" applyFill="1" applyBorder="1" applyAlignment="1" applyProtection="1">
      <alignment vertical="center"/>
      <protection locked="0"/>
    </xf>
    <xf numFmtId="164" fontId="15" fillId="9" borderId="4" xfId="0" applyNumberFormat="1" applyFont="1" applyFill="1" applyBorder="1" applyAlignment="1" applyProtection="1">
      <alignment vertical="center" wrapText="1"/>
      <protection locked="0"/>
    </xf>
    <xf numFmtId="0" fontId="15" fillId="9" borderId="4" xfId="0" applyFont="1" applyFill="1" applyBorder="1" applyAlignment="1" applyProtection="1">
      <alignment vertical="center" wrapText="1"/>
      <protection locked="0"/>
    </xf>
    <xf numFmtId="0" fontId="15" fillId="9" borderId="5" xfId="0" applyFont="1" applyFill="1" applyBorder="1" applyAlignment="1" applyProtection="1">
      <alignment vertical="center" wrapText="1"/>
      <protection locked="0"/>
    </xf>
    <xf numFmtId="167" fontId="15" fillId="9" borderId="3" xfId="0" applyNumberFormat="1" applyFont="1" applyFill="1" applyBorder="1" applyAlignment="1" applyProtection="1">
      <alignment vertical="center" wrapText="1"/>
      <protection locked="0"/>
    </xf>
    <xf numFmtId="0" fontId="0" fillId="9" borderId="4" xfId="0" applyFill="1" applyBorder="1" applyAlignment="1" applyProtection="1">
      <alignment vertical="center" wrapText="1"/>
      <protection locked="0"/>
    </xf>
    <xf numFmtId="0" fontId="0" fillId="9" borderId="5" xfId="0" applyFill="1" applyBorder="1" applyAlignment="1" applyProtection="1">
      <alignment vertical="center" wrapText="1"/>
      <protection locked="0"/>
    </xf>
    <xf numFmtId="0" fontId="15" fillId="9" borderId="4" xfId="0" applyFont="1" applyFill="1" applyBorder="1" applyAlignment="1" applyProtection="1">
      <alignment horizontal="left" vertical="center" wrapText="1"/>
      <protection locked="0"/>
    </xf>
    <xf numFmtId="164" fontId="15" fillId="9" borderId="4" xfId="0" applyNumberFormat="1" applyFont="1" applyFill="1" applyBorder="1" applyAlignment="1" applyProtection="1">
      <alignment horizontal="right" vertical="center" wrapText="1"/>
      <protection locked="0"/>
    </xf>
    <xf numFmtId="0" fontId="10" fillId="0" borderId="0" xfId="1" applyFill="1" applyAlignment="1">
      <alignment wrapText="1"/>
    </xf>
    <xf numFmtId="167" fontId="15" fillId="9" borderId="8" xfId="0" applyNumberFormat="1" applyFont="1" applyFill="1" applyBorder="1" applyAlignment="1" applyProtection="1">
      <alignment vertical="center" wrapText="1"/>
      <protection locked="0"/>
    </xf>
    <xf numFmtId="0" fontId="15" fillId="9" borderId="9" xfId="0" applyFont="1" applyFill="1" applyBorder="1" applyAlignment="1" applyProtection="1">
      <alignment vertical="center" wrapText="1"/>
      <protection locked="0"/>
    </xf>
    <xf numFmtId="0" fontId="15" fillId="9" borderId="10" xfId="0" applyFont="1" applyFill="1" applyBorder="1" applyAlignment="1" applyProtection="1">
      <alignment vertical="center" wrapText="1"/>
      <protection locked="0"/>
    </xf>
    <xf numFmtId="167" fontId="15" fillId="3" borderId="3" xfId="0" applyNumberFormat="1" applyFont="1" applyFill="1" applyBorder="1" applyAlignment="1" applyProtection="1">
      <alignment vertical="center"/>
      <protection locked="0"/>
    </xf>
    <xf numFmtId="0" fontId="15" fillId="3" borderId="4" xfId="0" applyFont="1" applyFill="1" applyBorder="1" applyAlignment="1" applyProtection="1">
      <alignment vertical="center" wrapText="1"/>
      <protection locked="0"/>
    </xf>
    <xf numFmtId="0" fontId="15" fillId="3" borderId="5" xfId="0" applyFont="1" applyFill="1" applyBorder="1" applyAlignment="1" applyProtection="1">
      <alignment vertical="center" wrapText="1"/>
      <protection locked="0"/>
    </xf>
    <xf numFmtId="0" fontId="20" fillId="3" borderId="0" xfId="0" applyFont="1" applyFill="1" applyAlignment="1">
      <alignment horizontal="left" vertical="center" wrapText="1"/>
    </xf>
    <xf numFmtId="0" fontId="19" fillId="3" borderId="0" xfId="0" applyFont="1" applyFill="1" applyAlignment="1">
      <alignment horizontal="left" vertical="center" readingOrder="1"/>
    </xf>
    <xf numFmtId="166" fontId="19" fillId="3" borderId="0" xfId="0" applyNumberFormat="1" applyFont="1" applyFill="1" applyAlignment="1">
      <alignment horizontal="left" vertical="center" wrapText="1"/>
    </xf>
    <xf numFmtId="1" fontId="19" fillId="3" borderId="0" xfId="0" applyNumberFormat="1" applyFont="1" applyFill="1" applyAlignment="1">
      <alignment horizontal="center" vertical="center" wrapText="1"/>
    </xf>
    <xf numFmtId="166" fontId="33" fillId="3" borderId="0" xfId="0" applyNumberFormat="1" applyFont="1" applyFill="1" applyAlignment="1">
      <alignment horizontal="center" vertical="center" wrapText="1"/>
    </xf>
    <xf numFmtId="167" fontId="15" fillId="10" borderId="3" xfId="0" applyNumberFormat="1" applyFont="1" applyFill="1" applyBorder="1" applyAlignment="1" applyProtection="1">
      <alignment vertical="center"/>
      <protection locked="0"/>
    </xf>
    <xf numFmtId="164" fontId="15" fillId="10" borderId="4" xfId="0" applyNumberFormat="1" applyFont="1" applyFill="1" applyBorder="1" applyAlignment="1" applyProtection="1">
      <alignment vertical="center" wrapText="1"/>
      <protection locked="0"/>
    </xf>
    <xf numFmtId="0" fontId="15" fillId="10" borderId="4" xfId="0" applyFont="1" applyFill="1" applyBorder="1" applyAlignment="1" applyProtection="1">
      <alignment vertical="center" wrapText="1"/>
      <protection locked="0"/>
    </xf>
    <xf numFmtId="0" fontId="15" fillId="10" borderId="5" xfId="0" applyFont="1" applyFill="1" applyBorder="1" applyAlignment="1" applyProtection="1">
      <alignment vertical="center" wrapText="1"/>
      <protection locked="0"/>
    </xf>
    <xf numFmtId="167" fontId="15" fillId="10" borderId="3" xfId="0" applyNumberFormat="1" applyFont="1" applyFill="1" applyBorder="1" applyAlignment="1" applyProtection="1">
      <alignment vertical="center" wrapText="1"/>
      <protection locked="0"/>
    </xf>
    <xf numFmtId="0" fontId="0" fillId="10" borderId="4" xfId="0" applyFill="1" applyBorder="1" applyAlignment="1" applyProtection="1">
      <alignment vertical="center" wrapText="1"/>
      <protection locked="0"/>
    </xf>
    <xf numFmtId="0" fontId="0" fillId="10" borderId="5" xfId="0" applyFill="1" applyBorder="1" applyAlignment="1" applyProtection="1">
      <alignment vertical="center" wrapText="1"/>
      <protection locked="0"/>
    </xf>
    <xf numFmtId="0" fontId="0" fillId="10" borderId="4" xfId="0" applyFill="1" applyBorder="1" applyAlignment="1" applyProtection="1">
      <alignment horizontal="left" vertical="center" wrapText="1"/>
      <protection locked="0"/>
    </xf>
    <xf numFmtId="0" fontId="15" fillId="10" borderId="4" xfId="0" applyFont="1" applyFill="1" applyBorder="1" applyAlignment="1" applyProtection="1">
      <alignment horizontal="left" vertical="center" wrapText="1"/>
      <protection locked="0"/>
    </xf>
    <xf numFmtId="164" fontId="15" fillId="10" borderId="4" xfId="0" applyNumberFormat="1" applyFont="1" applyFill="1" applyBorder="1" applyAlignment="1" applyProtection="1">
      <alignment horizontal="right" vertical="center" wrapText="1"/>
      <protection locked="0"/>
    </xf>
    <xf numFmtId="0" fontId="0" fillId="10" borderId="5" xfId="0" applyFill="1" applyBorder="1" applyAlignment="1" applyProtection="1">
      <alignment horizontal="left" vertical="center" wrapText="1"/>
      <protection locked="0"/>
    </xf>
    <xf numFmtId="0" fontId="33" fillId="3" borderId="0" xfId="0" applyFont="1" applyFill="1" applyAlignment="1">
      <alignment horizontal="center" vertical="center" wrapText="1"/>
    </xf>
    <xf numFmtId="0" fontId="36" fillId="10" borderId="7" xfId="0" applyFont="1" applyFill="1" applyBorder="1" applyAlignment="1">
      <alignment horizontal="center" vertical="center" wrapText="1"/>
    </xf>
    <xf numFmtId="0" fontId="12" fillId="11" borderId="0" xfId="1" applyFont="1" applyFill="1" applyAlignment="1" applyProtection="1">
      <alignment horizontal="justify" vertical="center"/>
    </xf>
    <xf numFmtId="0" fontId="39" fillId="0" borderId="0" xfId="0" applyFont="1" applyAlignment="1">
      <alignment wrapText="1"/>
    </xf>
    <xf numFmtId="167" fontId="15" fillId="10" borderId="3" xfId="0" applyNumberFormat="1" applyFont="1" applyFill="1" applyBorder="1" applyAlignment="1" applyProtection="1">
      <alignment horizontal="left" vertical="center"/>
      <protection locked="0"/>
    </xf>
    <xf numFmtId="0" fontId="0" fillId="10" borderId="0" xfId="0" applyFill="1" applyProtection="1">
      <protection locked="0"/>
    </xf>
    <xf numFmtId="167" fontId="15" fillId="10" borderId="3" xfId="0" applyNumberFormat="1" applyFont="1" applyFill="1" applyBorder="1" applyAlignment="1" applyProtection="1">
      <alignment horizontal="right" vertical="center"/>
      <protection locked="0"/>
    </xf>
    <xf numFmtId="164" fontId="15" fillId="0" borderId="4" xfId="0" applyNumberFormat="1" applyFont="1" applyBorder="1" applyAlignment="1" applyProtection="1">
      <alignment vertical="center" wrapText="1"/>
      <protection locked="0"/>
    </xf>
    <xf numFmtId="167" fontId="39" fillId="10" borderId="3" xfId="0" applyNumberFormat="1" applyFont="1" applyFill="1" applyBorder="1" applyAlignment="1" applyProtection="1">
      <alignment horizontal="left" vertical="center"/>
      <protection locked="0"/>
    </xf>
    <xf numFmtId="0" fontId="39" fillId="10" borderId="4" xfId="0" applyFont="1" applyFill="1" applyBorder="1" applyAlignment="1" applyProtection="1">
      <alignment vertical="center" wrapText="1"/>
      <protection locked="0"/>
    </xf>
    <xf numFmtId="0" fontId="39" fillId="10" borderId="5" xfId="0" applyFont="1" applyFill="1" applyBorder="1" applyAlignment="1" applyProtection="1">
      <alignment vertical="center" wrapText="1"/>
      <protection locked="0"/>
    </xf>
    <xf numFmtId="0" fontId="15" fillId="0" borderId="0" xfId="0" applyFont="1" applyProtection="1">
      <protection locked="0"/>
    </xf>
    <xf numFmtId="0" fontId="15" fillId="10" borderId="0" xfId="0" applyFont="1" applyFill="1" applyProtection="1">
      <protection locked="0"/>
    </xf>
    <xf numFmtId="164" fontId="15" fillId="0" borderId="9" xfId="0" applyNumberFormat="1" applyFont="1" applyBorder="1" applyAlignment="1" applyProtection="1">
      <alignment vertical="center" wrapText="1"/>
      <protection locked="0"/>
    </xf>
    <xf numFmtId="164" fontId="0" fillId="0" borderId="0" xfId="0" applyNumberFormat="1" applyAlignment="1">
      <alignment wrapText="1"/>
    </xf>
    <xf numFmtId="164" fontId="20" fillId="3" borderId="0" xfId="0" applyNumberFormat="1" applyFont="1" applyFill="1" applyAlignment="1">
      <alignment vertical="center"/>
    </xf>
    <xf numFmtId="164" fontId="19" fillId="3" borderId="0" xfId="0" applyNumberFormat="1" applyFont="1" applyFill="1" applyAlignment="1">
      <alignment vertical="center"/>
    </xf>
    <xf numFmtId="0" fontId="15" fillId="0" borderId="0" xfId="0" applyFont="1" applyAlignment="1">
      <alignment horizontal="center" vertical="center" wrapText="1" readingOrder="1"/>
    </xf>
    <xf numFmtId="0" fontId="14" fillId="10" borderId="2" xfId="0" applyFont="1" applyFill="1" applyBorder="1" applyAlignment="1" applyProtection="1">
      <alignment horizontal="left" vertical="center" wrapText="1" readingOrder="1"/>
      <protection locked="0"/>
    </xf>
    <xf numFmtId="0" fontId="13" fillId="0" borderId="6" xfId="0" applyFont="1" applyBorder="1" applyAlignment="1">
      <alignment horizontal="left" vertical="center"/>
    </xf>
    <xf numFmtId="0" fontId="37" fillId="2" borderId="0" xfId="0" applyFont="1" applyFill="1" applyAlignment="1">
      <alignment horizontal="center" vertical="center"/>
    </xf>
    <xf numFmtId="0" fontId="34" fillId="10" borderId="2" xfId="0" applyFont="1" applyFill="1" applyBorder="1" applyAlignment="1" applyProtection="1">
      <alignment horizontal="left" vertical="center" wrapText="1" readingOrder="1"/>
      <protection locked="0"/>
    </xf>
    <xf numFmtId="167" fontId="34" fillId="10" borderId="2" xfId="0" applyNumberFormat="1" applyFont="1" applyFill="1" applyBorder="1" applyAlignment="1" applyProtection="1">
      <alignment horizontal="left" vertical="center" wrapText="1" readingOrder="1"/>
      <protection locked="0"/>
    </xf>
    <xf numFmtId="167" fontId="13" fillId="0" borderId="2" xfId="0" applyNumberFormat="1" applyFont="1" applyBorder="1" applyAlignment="1">
      <alignment horizontal="left" vertical="center" wrapText="1" readingOrder="1"/>
    </xf>
    <xf numFmtId="0" fontId="33" fillId="3" borderId="6" xfId="0" applyFont="1" applyFill="1" applyBorder="1" applyAlignment="1">
      <alignment horizontal="center" vertical="center" wrapText="1"/>
    </xf>
    <xf numFmtId="0" fontId="22" fillId="2" borderId="0" xfId="0" applyFont="1" applyFill="1" applyAlignment="1">
      <alignment horizontal="center" vertical="center"/>
    </xf>
    <xf numFmtId="0" fontId="18" fillId="3" borderId="0" xfId="0" applyFont="1" applyFill="1" applyAlignment="1">
      <alignment horizontal="center" vertical="center" wrapText="1" readingOrder="1"/>
    </xf>
    <xf numFmtId="0" fontId="3" fillId="0" borderId="1" xfId="0" applyFont="1" applyBorder="1" applyAlignment="1">
      <alignment horizontal="center" vertical="center" wrapText="1" readingOrder="1"/>
    </xf>
    <xf numFmtId="0" fontId="3" fillId="0" borderId="0" xfId="0" applyFont="1" applyAlignment="1">
      <alignment horizontal="center" vertical="center" wrapText="1" readingOrder="1"/>
    </xf>
    <xf numFmtId="0" fontId="5" fillId="0" borderId="1" xfId="0" applyFont="1" applyBorder="1" applyAlignment="1">
      <alignment horizontal="center" vertical="center" wrapText="1" readingOrder="1"/>
    </xf>
    <xf numFmtId="0" fontId="5" fillId="0" borderId="0" xfId="0" applyFont="1" applyAlignment="1">
      <alignment horizontal="center" vertical="center" wrapText="1" readingOrder="1"/>
    </xf>
    <xf numFmtId="0" fontId="33" fillId="3" borderId="0" xfId="0" applyFont="1" applyFill="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horizontal="center" vertical="center" wrapText="1"/>
    </xf>
    <xf numFmtId="0" fontId="3" fillId="0" borderId="0" xfId="0" applyFont="1" applyAlignment="1">
      <alignment horizontal="center" vertical="center" wrapText="1"/>
    </xf>
    <xf numFmtId="0" fontId="13" fillId="0" borderId="0" xfId="0" applyFont="1" applyAlignment="1">
      <alignment horizontal="center" vertical="center" wrapText="1"/>
    </xf>
    <xf numFmtId="0" fontId="8" fillId="0" borderId="0" xfId="0" applyFont="1" applyAlignment="1">
      <alignment horizontal="center" vertical="center" wrapText="1"/>
    </xf>
    <xf numFmtId="0" fontId="8" fillId="0" borderId="0" xfId="0" applyFont="1" applyAlignment="1">
      <alignment horizontal="center" vertical="center"/>
    </xf>
    <xf numFmtId="164" fontId="15" fillId="0" borderId="4" xfId="0" applyNumberFormat="1" applyFont="1" applyFill="1" applyBorder="1" applyAlignment="1" applyProtection="1">
      <alignment vertical="center" wrapText="1"/>
      <protection locked="0"/>
    </xf>
    <xf numFmtId="0" fontId="0" fillId="0" borderId="0" xfId="0" applyFill="1" applyAlignment="1" applyProtection="1">
      <alignment wrapText="1"/>
      <protection locked="0"/>
    </xf>
    <xf numFmtId="0" fontId="0" fillId="0" borderId="0" xfId="0" applyFill="1" applyAlignment="1">
      <alignment wrapText="1"/>
    </xf>
    <xf numFmtId="0" fontId="0" fillId="0" borderId="0" xfId="0" applyFill="1" applyAlignment="1">
      <alignment vertical="center" wrapText="1"/>
    </xf>
  </cellXfs>
  <cellStyles count="4">
    <cellStyle name="Currency" xfId="2" builtinId="4"/>
    <cellStyle name="Hyperlink" xfId="1" builtinId="8"/>
    <cellStyle name="Normal" xfId="0" builtinId="0"/>
    <cellStyle name="Normal 2" xfId="3" xr:uid="{1DC3D3C9-22F7-46BE-806B-0E46363EA376}"/>
  </cellStyles>
  <dxfs count="2">
    <dxf>
      <font>
        <color theme="1" tint="0.499984740745262"/>
      </font>
      <fill>
        <patternFill>
          <bgColor rgb="FFCCFFCC"/>
        </patternFill>
      </fill>
    </dxf>
    <dxf>
      <font>
        <color theme="1" tint="0.499984740745262"/>
      </font>
      <fill>
        <patternFill>
          <bgColor rgb="FFCCFF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CCFFCC"/>
      <color rgb="FF99FF99"/>
      <color rgb="FFCCFF66"/>
      <color rgb="FFFF9900"/>
      <color rgb="FF00FF00"/>
      <color rgb="FF006600"/>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mailto:info@data.govt.nz" TargetMode="External"/><Relationship Id="rId7" Type="http://schemas.openxmlformats.org/officeDocument/2006/relationships/printerSettings" Target="../printerSettings/printerSettings1.bin"/><Relationship Id="rId2" Type="http://schemas.openxmlformats.org/officeDocument/2006/relationships/hyperlink" Target="https://www.publicservice.govt.nz/resources/ce-expenses-disclosure/" TargetMode="External"/><Relationship Id="rId1" Type="http://schemas.openxmlformats.org/officeDocument/2006/relationships/hyperlink" Target="https://www.data.govt.nz/toolkit/how-do-i-add-or-update-our-chief-executive-expenses/" TargetMode="External"/><Relationship Id="rId6" Type="http://schemas.openxmlformats.org/officeDocument/2006/relationships/hyperlink" Target="https://www.publicservice.govt.nz/assets/Legacy/resources/Chief-Executive-Expense-Disclosure-Guide.pdf" TargetMode="External"/><Relationship Id="rId5" Type="http://schemas.openxmlformats.org/officeDocument/2006/relationships/hyperlink" Target="https://www.data.govt.nz/toolkit/how-do-i-add-or-update-our-chief-executive-expenses/" TargetMode="External"/><Relationship Id="rId4" Type="http://schemas.openxmlformats.org/officeDocument/2006/relationships/hyperlink" Target="https://www.publicservice.govt.nz/resources/ce-expenses-disclosure/" TargetMode="External"/><Relationship Id="rId9"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B62"/>
  <sheetViews>
    <sheetView zoomScaleNormal="100" workbookViewId="0">
      <selection activeCell="A11" sqref="A11"/>
    </sheetView>
  </sheetViews>
  <sheetFormatPr defaultColWidth="0" defaultRowHeight="14" zeroHeight="1" x14ac:dyDescent="0.3"/>
  <cols>
    <col min="1" max="1" width="219.26953125" style="41" customWidth="1"/>
    <col min="2" max="2" width="33.26953125" style="40" customWidth="1"/>
    <col min="3" max="16384" width="8.7265625" hidden="1"/>
  </cols>
  <sheetData>
    <row r="1" spans="1:2" ht="23.25" customHeight="1" x14ac:dyDescent="0.3">
      <c r="A1" s="39" t="s">
        <v>0</v>
      </c>
    </row>
    <row r="2" spans="1:2" ht="33" customHeight="1" x14ac:dyDescent="0.3">
      <c r="A2" s="100" t="s">
        <v>1</v>
      </c>
    </row>
    <row r="3" spans="1:2" ht="17.25" customHeight="1" x14ac:dyDescent="0.3"/>
    <row r="4" spans="1:2" ht="23.25" customHeight="1" x14ac:dyDescent="0.3">
      <c r="A4" s="124" t="s">
        <v>2</v>
      </c>
    </row>
    <row r="5" spans="1:2" ht="17.25" customHeight="1" x14ac:dyDescent="0.3"/>
    <row r="6" spans="1:2" ht="23.25" customHeight="1" x14ac:dyDescent="0.3">
      <c r="A6" s="42" t="s">
        <v>3</v>
      </c>
    </row>
    <row r="7" spans="1:2" ht="17.25" customHeight="1" x14ac:dyDescent="0.3">
      <c r="A7" s="43" t="s">
        <v>4</v>
      </c>
    </row>
    <row r="8" spans="1:2" ht="17.25" customHeight="1" x14ac:dyDescent="0.3">
      <c r="A8" s="43" t="s">
        <v>5</v>
      </c>
    </row>
    <row r="9" spans="1:2" ht="17.25" customHeight="1" x14ac:dyDescent="0.3">
      <c r="A9" s="43"/>
    </row>
    <row r="10" spans="1:2" ht="23.25" customHeight="1" x14ac:dyDescent="0.25">
      <c r="A10" s="42" t="s">
        <v>6</v>
      </c>
      <c r="B10" s="67" t="s">
        <v>7</v>
      </c>
    </row>
    <row r="11" spans="1:2" ht="17.25" customHeight="1" x14ac:dyDescent="0.3">
      <c r="A11" s="44" t="s">
        <v>8</v>
      </c>
    </row>
    <row r="12" spans="1:2" ht="17.25" customHeight="1" x14ac:dyDescent="0.3">
      <c r="A12" s="43" t="s">
        <v>9</v>
      </c>
    </row>
    <row r="13" spans="1:2" ht="17.25" customHeight="1" x14ac:dyDescent="0.3">
      <c r="A13" s="43" t="s">
        <v>10</v>
      </c>
    </row>
    <row r="14" spans="1:2" ht="17.25" customHeight="1" x14ac:dyDescent="0.3">
      <c r="A14" s="45" t="s">
        <v>11</v>
      </c>
    </row>
    <row r="15" spans="1:2" ht="17.25" customHeight="1" x14ac:dyDescent="0.3">
      <c r="A15" s="43" t="s">
        <v>12</v>
      </c>
    </row>
    <row r="16" spans="1:2" ht="17.25" customHeight="1" x14ac:dyDescent="0.3">
      <c r="A16" s="43"/>
    </row>
    <row r="17" spans="1:1" ht="23.25" customHeight="1" x14ac:dyDescent="0.3">
      <c r="A17" s="42" t="s">
        <v>13</v>
      </c>
    </row>
    <row r="18" spans="1:1" ht="17.25" customHeight="1" x14ac:dyDescent="0.3">
      <c r="A18" s="45" t="s">
        <v>14</v>
      </c>
    </row>
    <row r="19" spans="1:1" ht="17.25" customHeight="1" x14ac:dyDescent="0.3">
      <c r="A19" s="45" t="s">
        <v>15</v>
      </c>
    </row>
    <row r="20" spans="1:1" ht="17.25" customHeight="1" x14ac:dyDescent="0.3">
      <c r="A20" s="63" t="s">
        <v>16</v>
      </c>
    </row>
    <row r="21" spans="1:1" ht="17.25" customHeight="1" x14ac:dyDescent="0.3">
      <c r="A21" s="46"/>
    </row>
    <row r="22" spans="1:1" ht="23.25" customHeight="1" x14ac:dyDescent="0.3">
      <c r="A22" s="42" t="s">
        <v>17</v>
      </c>
    </row>
    <row r="23" spans="1:1" ht="17.25" customHeight="1" x14ac:dyDescent="0.3">
      <c r="A23" s="46" t="s">
        <v>18</v>
      </c>
    </row>
    <row r="24" spans="1:1" ht="17.25" customHeight="1" x14ac:dyDescent="0.3">
      <c r="A24" s="46"/>
    </row>
    <row r="25" spans="1:1" ht="23.25" customHeight="1" x14ac:dyDescent="0.3">
      <c r="A25" s="42" t="s">
        <v>19</v>
      </c>
    </row>
    <row r="26" spans="1:1" ht="17.25" customHeight="1" x14ac:dyDescent="0.3">
      <c r="A26" s="47" t="s">
        <v>20</v>
      </c>
    </row>
    <row r="27" spans="1:1" ht="32.25" customHeight="1" x14ac:dyDescent="0.3">
      <c r="A27" s="45" t="s">
        <v>21</v>
      </c>
    </row>
    <row r="28" spans="1:1" ht="17.25" customHeight="1" x14ac:dyDescent="0.3">
      <c r="A28" s="47" t="s">
        <v>22</v>
      </c>
    </row>
    <row r="29" spans="1:1" ht="32.25" customHeight="1" x14ac:dyDescent="0.3">
      <c r="A29" s="45" t="s">
        <v>23</v>
      </c>
    </row>
    <row r="30" spans="1:1" ht="17.25" customHeight="1" x14ac:dyDescent="0.3">
      <c r="A30" s="47" t="s">
        <v>24</v>
      </c>
    </row>
    <row r="31" spans="1:1" ht="17.25" customHeight="1" x14ac:dyDescent="0.3">
      <c r="A31" s="45" t="s">
        <v>25</v>
      </c>
    </row>
    <row r="32" spans="1:1" ht="17.25" customHeight="1" x14ac:dyDescent="0.3">
      <c r="A32" s="47" t="s">
        <v>26</v>
      </c>
    </row>
    <row r="33" spans="1:1" ht="32.25" customHeight="1" x14ac:dyDescent="0.3">
      <c r="A33" s="45" t="s">
        <v>27</v>
      </c>
    </row>
    <row r="34" spans="1:1" ht="32.25" customHeight="1" x14ac:dyDescent="0.3">
      <c r="A34" s="44" t="s">
        <v>28</v>
      </c>
    </row>
    <row r="35" spans="1:1" ht="17.25" customHeight="1" x14ac:dyDescent="0.3">
      <c r="A35" s="47" t="s">
        <v>29</v>
      </c>
    </row>
    <row r="36" spans="1:1" ht="32.25" customHeight="1" x14ac:dyDescent="0.3">
      <c r="A36" s="45" t="s">
        <v>30</v>
      </c>
    </row>
    <row r="37" spans="1:1" ht="32.25" customHeight="1" x14ac:dyDescent="0.3">
      <c r="A37" s="45" t="s">
        <v>31</v>
      </c>
    </row>
    <row r="38" spans="1:1" ht="32.25" customHeight="1" x14ac:dyDescent="0.3">
      <c r="A38" s="45" t="s">
        <v>32</v>
      </c>
    </row>
    <row r="39" spans="1:1" ht="17.25" customHeight="1" x14ac:dyDescent="0.3">
      <c r="A39" s="44"/>
    </row>
    <row r="40" spans="1:1" ht="22.5" customHeight="1" x14ac:dyDescent="0.3">
      <c r="A40" s="42" t="s">
        <v>33</v>
      </c>
    </row>
    <row r="41" spans="1:1" ht="17.25" customHeight="1" x14ac:dyDescent="0.3">
      <c r="A41" s="51" t="s">
        <v>34</v>
      </c>
    </row>
    <row r="42" spans="1:1" ht="17.25" customHeight="1" x14ac:dyDescent="0.3">
      <c r="A42" s="48" t="s">
        <v>35</v>
      </c>
    </row>
    <row r="43" spans="1:1" ht="17.25" customHeight="1" x14ac:dyDescent="0.3">
      <c r="A43" s="46" t="s">
        <v>36</v>
      </c>
    </row>
    <row r="44" spans="1:1" ht="32.25" customHeight="1" x14ac:dyDescent="0.3">
      <c r="A44" s="46" t="s">
        <v>37</v>
      </c>
    </row>
    <row r="45" spans="1:1" ht="32.25" customHeight="1" x14ac:dyDescent="0.3">
      <c r="A45" s="46" t="s">
        <v>38</v>
      </c>
    </row>
    <row r="46" spans="1:1" ht="17.25" customHeight="1" x14ac:dyDescent="0.3">
      <c r="A46" s="49" t="s">
        <v>39</v>
      </c>
    </row>
    <row r="47" spans="1:1" ht="32.25" customHeight="1" x14ac:dyDescent="0.3">
      <c r="A47" s="45" t="s">
        <v>40</v>
      </c>
    </row>
    <row r="48" spans="1:1" ht="32.25" customHeight="1" x14ac:dyDescent="0.3">
      <c r="A48" s="45" t="s">
        <v>41</v>
      </c>
    </row>
    <row r="49" spans="1:1" ht="32.25" customHeight="1" x14ac:dyDescent="0.3">
      <c r="A49" s="46" t="s">
        <v>42</v>
      </c>
    </row>
    <row r="50" spans="1:1" ht="17.25" customHeight="1" x14ac:dyDescent="0.3">
      <c r="A50" s="46" t="s">
        <v>43</v>
      </c>
    </row>
    <row r="51" spans="1:1" x14ac:dyDescent="0.3">
      <c r="A51" s="46" t="s">
        <v>44</v>
      </c>
    </row>
    <row r="52" spans="1:1" ht="17.25" customHeight="1" x14ac:dyDescent="0.3">
      <c r="A52" s="46"/>
    </row>
    <row r="53" spans="1:1" ht="22.5" customHeight="1" x14ac:dyDescent="0.3">
      <c r="A53" s="42" t="s">
        <v>45</v>
      </c>
    </row>
    <row r="54" spans="1:1" ht="32.25" customHeight="1" x14ac:dyDescent="0.3">
      <c r="A54" s="126" t="s">
        <v>46</v>
      </c>
    </row>
    <row r="55" spans="1:1" ht="17.25" customHeight="1" x14ac:dyDescent="0.3">
      <c r="A55" s="50" t="s">
        <v>47</v>
      </c>
    </row>
    <row r="56" spans="1:1" ht="17.25" customHeight="1" x14ac:dyDescent="0.3">
      <c r="A56" s="51" t="s">
        <v>48</v>
      </c>
    </row>
    <row r="57" spans="1:1" ht="17.25" customHeight="1" x14ac:dyDescent="0.3">
      <c r="A57" s="63" t="s">
        <v>49</v>
      </c>
    </row>
    <row r="58" spans="1:1" ht="17.25" customHeight="1" x14ac:dyDescent="0.3">
      <c r="A58" s="125" t="s">
        <v>50</v>
      </c>
    </row>
    <row r="59" spans="1:1" x14ac:dyDescent="0.3"/>
    <row r="61" spans="1:1" hidden="1" x14ac:dyDescent="0.3">
      <c r="A61" s="52"/>
    </row>
    <row r="62" spans="1:1" x14ac:dyDescent="0.3"/>
  </sheetData>
  <hyperlinks>
    <hyperlink ref="A20" r:id="rId1" xr:uid="{00000000-0004-0000-0000-000000000000}"/>
    <hyperlink ref="A41" r:id="rId2" xr:uid="{00000000-0004-0000-0000-000001000000}"/>
    <hyperlink ref="A56" r:id="rId3" display="mailto:info@data.govt.nz" xr:uid="{00000000-0004-0000-0000-000003000000}"/>
    <hyperlink ref="A58" r:id="rId4" xr:uid="{00000000-0004-0000-0000-000004000000}"/>
    <hyperlink ref="A57" r:id="rId5" display="They are posted on agency websites and linked to www.data.govt.nz. See: https://www.data.govt.nz/toolkit/how-do-i-add-or-update-our-chief-executive-expenses/" xr:uid="{00000000-0004-0000-0000-000007000000}"/>
    <hyperlink ref="A2" r:id="rId6" display="https://www.publicservice.govt.nz/assets/Legacy/resources/Chief-Executive-Expense-Disclosure-Guide.pdf" xr:uid="{5BCCB646-AAC4-46B9-B1FF-55A40DD85E73}"/>
  </hyperlinks>
  <pageMargins left="0.70866141732283472" right="0.70866141732283472" top="0.74803149606299213" bottom="0.74803149606299213" header="0.31496062992125984" footer="0.31496062992125984"/>
  <pageSetup paperSize="8" orientation="landscape" r:id="rId7"/>
  <headerFooter>
    <oddFooter>&amp;LCE Expense Disclosure Workbook 2018&amp;RWorksheet - Guidance</oddFooter>
  </headerFooter>
  <legacy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tint="0.39997558519241921"/>
    <pageSetUpPr fitToPage="1"/>
  </sheetPr>
  <dimension ref="A1:K61"/>
  <sheetViews>
    <sheetView zoomScaleNormal="100" workbookViewId="0">
      <selection activeCell="B7" sqref="B7:F7"/>
    </sheetView>
  </sheetViews>
  <sheetFormatPr defaultColWidth="0" defaultRowHeight="12.5" zeroHeight="1" x14ac:dyDescent="0.25"/>
  <cols>
    <col min="1" max="1" width="35.7265625" customWidth="1"/>
    <col min="2" max="2" width="21.54296875" customWidth="1"/>
    <col min="3" max="3" width="33.54296875" customWidth="1"/>
    <col min="4" max="4" width="4.453125" customWidth="1"/>
    <col min="5" max="5" width="29" customWidth="1"/>
    <col min="6" max="6" width="19" customWidth="1"/>
    <col min="7" max="7" width="42" customWidth="1"/>
    <col min="8" max="11" width="9.1796875" hidden="1" customWidth="1"/>
    <col min="12" max="16384" width="9.1796875" hidden="1"/>
  </cols>
  <sheetData>
    <row r="1" spans="1:11" ht="26.25" customHeight="1" x14ac:dyDescent="0.25">
      <c r="A1" s="143" t="s">
        <v>51</v>
      </c>
      <c r="B1" s="143"/>
      <c r="C1" s="143"/>
      <c r="D1" s="143"/>
      <c r="E1" s="143"/>
      <c r="F1" s="143"/>
      <c r="G1" s="17"/>
      <c r="H1" s="17"/>
      <c r="I1" s="17"/>
      <c r="J1" s="17"/>
      <c r="K1" s="17"/>
    </row>
    <row r="2" spans="1:11" ht="21" customHeight="1" x14ac:dyDescent="0.25">
      <c r="A2" s="3" t="s">
        <v>52</v>
      </c>
      <c r="B2" s="144" t="s">
        <v>53</v>
      </c>
      <c r="C2" s="144"/>
      <c r="D2" s="144"/>
      <c r="E2" s="144"/>
      <c r="F2" s="144"/>
      <c r="G2" s="17"/>
      <c r="H2" s="17"/>
      <c r="I2" s="17"/>
      <c r="J2" s="17"/>
      <c r="K2" s="17"/>
    </row>
    <row r="3" spans="1:11" ht="15.5" x14ac:dyDescent="0.25">
      <c r="A3" s="3" t="s">
        <v>54</v>
      </c>
      <c r="B3" s="144" t="s">
        <v>55</v>
      </c>
      <c r="C3" s="144"/>
      <c r="D3" s="144"/>
      <c r="E3" s="144"/>
      <c r="F3" s="144"/>
      <c r="G3" s="17"/>
      <c r="H3" s="17"/>
      <c r="I3" s="17"/>
      <c r="J3" s="17"/>
      <c r="K3" s="17"/>
    </row>
    <row r="4" spans="1:11" ht="21" customHeight="1" x14ac:dyDescent="0.25">
      <c r="A4" s="3" t="s">
        <v>56</v>
      </c>
      <c r="B4" s="145">
        <v>45474</v>
      </c>
      <c r="C4" s="145"/>
      <c r="D4" s="145"/>
      <c r="E4" s="145"/>
      <c r="F4" s="145"/>
      <c r="G4" s="17"/>
      <c r="H4" s="17"/>
      <c r="I4" s="17"/>
      <c r="J4" s="17"/>
      <c r="K4" s="17"/>
    </row>
    <row r="5" spans="1:11" ht="21" customHeight="1" x14ac:dyDescent="0.25">
      <c r="A5" s="3" t="s">
        <v>57</v>
      </c>
      <c r="B5" s="145">
        <v>45838</v>
      </c>
      <c r="C5" s="145"/>
      <c r="D5" s="145"/>
      <c r="E5" s="145"/>
      <c r="F5" s="145"/>
      <c r="G5" s="17"/>
      <c r="H5" s="17"/>
      <c r="I5" s="17"/>
      <c r="J5" s="17"/>
      <c r="K5" s="17"/>
    </row>
    <row r="6" spans="1:11" ht="21" customHeight="1" x14ac:dyDescent="0.25">
      <c r="A6" s="3" t="s">
        <v>58</v>
      </c>
      <c r="B6" s="142" t="str">
        <f>IF(AND(Travel!B7&lt;&gt;A30,Hospitality!B7&lt;&gt;A30,'All other expenses'!B7&lt;&gt;A30,'Gifts and benefits'!B7&lt;&gt;A30),A31,IF(AND(Travel!B7=A30,Hospitality!B7=A30,'All other expenses'!B7=A30,'Gifts and benefits'!B7=A30),A33,A32))</f>
        <v>Data and totals checked on all sheets</v>
      </c>
      <c r="C6" s="142"/>
      <c r="D6" s="142"/>
      <c r="E6" s="142"/>
      <c r="F6" s="142"/>
      <c r="G6" s="23"/>
      <c r="H6" s="17"/>
      <c r="I6" s="17"/>
      <c r="J6" s="17"/>
      <c r="K6" s="17"/>
    </row>
    <row r="7" spans="1:11" ht="31" x14ac:dyDescent="0.25">
      <c r="A7" s="3" t="s">
        <v>59</v>
      </c>
      <c r="B7" s="141" t="s">
        <v>92</v>
      </c>
      <c r="C7" s="141"/>
      <c r="D7" s="141"/>
      <c r="E7" s="141"/>
      <c r="F7" s="141"/>
      <c r="G7" s="23"/>
      <c r="H7" s="17"/>
      <c r="I7" s="17"/>
      <c r="J7" s="17"/>
      <c r="K7" s="17"/>
    </row>
    <row r="8" spans="1:11" ht="25.5" customHeight="1" x14ac:dyDescent="0.25">
      <c r="A8" s="3" t="s">
        <v>61</v>
      </c>
      <c r="B8" s="141" t="s">
        <v>448</v>
      </c>
      <c r="C8" s="141"/>
      <c r="D8" s="141"/>
      <c r="E8" s="141"/>
      <c r="F8" s="141"/>
      <c r="G8" s="23"/>
      <c r="H8" s="17"/>
      <c r="I8" s="17"/>
      <c r="J8" s="17"/>
      <c r="K8" s="17"/>
    </row>
    <row r="9" spans="1:11" ht="66.75" customHeight="1" x14ac:dyDescent="0.25">
      <c r="A9" s="140" t="s">
        <v>63</v>
      </c>
      <c r="B9" s="140"/>
      <c r="C9" s="140"/>
      <c r="D9" s="140"/>
      <c r="E9" s="140"/>
      <c r="F9" s="140"/>
      <c r="G9" s="23"/>
      <c r="H9" s="17"/>
      <c r="I9" s="17"/>
      <c r="J9" s="17"/>
      <c r="K9" s="17"/>
    </row>
    <row r="10" spans="1:11" s="90" customFormat="1" ht="36" customHeight="1" x14ac:dyDescent="0.3">
      <c r="A10" s="84" t="s">
        <v>64</v>
      </c>
      <c r="B10" s="85" t="s">
        <v>65</v>
      </c>
      <c r="C10" s="85" t="s">
        <v>66</v>
      </c>
      <c r="D10" s="86"/>
      <c r="E10" s="87" t="s">
        <v>29</v>
      </c>
      <c r="F10" s="88" t="s">
        <v>67</v>
      </c>
      <c r="G10" s="89"/>
      <c r="H10" s="89"/>
      <c r="I10" s="89"/>
      <c r="J10" s="89"/>
      <c r="K10" s="89"/>
    </row>
    <row r="11" spans="1:11" ht="27.75" customHeight="1" x14ac:dyDescent="0.35">
      <c r="A11" s="8" t="s">
        <v>68</v>
      </c>
      <c r="B11" s="57">
        <f>B15+B16+B17</f>
        <v>94812.519576587816</v>
      </c>
      <c r="C11" s="64" t="str">
        <f>IF(Travel!B6="",A34,Travel!B6)</f>
        <v>Figures exclude GST</v>
      </c>
      <c r="D11" s="6"/>
      <c r="E11" s="8" t="s">
        <v>69</v>
      </c>
      <c r="F11" s="33">
        <f>'Gifts and benefits'!C27</f>
        <v>13</v>
      </c>
      <c r="G11" s="29"/>
      <c r="H11" s="29"/>
      <c r="I11" s="29"/>
      <c r="J11" s="29"/>
      <c r="K11" s="29"/>
    </row>
    <row r="12" spans="1:11" ht="27.75" customHeight="1" x14ac:dyDescent="0.35">
      <c r="A12" s="8" t="s">
        <v>24</v>
      </c>
      <c r="B12" s="57">
        <f>Hospitality!B21</f>
        <v>702.76</v>
      </c>
      <c r="C12" s="64" t="str">
        <f>IF(Hospitality!B6="",A34,Hospitality!B6)</f>
        <v>Figures exclude GST</v>
      </c>
      <c r="D12" s="6"/>
      <c r="E12" s="8" t="s">
        <v>70</v>
      </c>
      <c r="F12" s="33">
        <f>'Gifts and benefits'!C28</f>
        <v>12</v>
      </c>
      <c r="G12" s="29"/>
      <c r="H12" s="29"/>
      <c r="I12" s="29"/>
      <c r="J12" s="29"/>
      <c r="K12" s="29"/>
    </row>
    <row r="13" spans="1:11" ht="27.75" customHeight="1" x14ac:dyDescent="0.25">
      <c r="A13" s="8" t="s">
        <v>71</v>
      </c>
      <c r="B13" s="57">
        <f>'All other expenses'!B25</f>
        <v>0</v>
      </c>
      <c r="C13" s="64" t="str">
        <f>IF('All other expenses'!B6="",A34,'All other expenses'!B6)</f>
        <v>Figures exclude GST</v>
      </c>
      <c r="D13" s="6"/>
      <c r="E13" s="8" t="s">
        <v>72</v>
      </c>
      <c r="F13" s="33">
        <f>'Gifts and benefits'!C29</f>
        <v>1</v>
      </c>
      <c r="G13" s="17"/>
      <c r="H13" s="17"/>
      <c r="I13" s="17"/>
      <c r="J13" s="17"/>
      <c r="K13" s="17"/>
    </row>
    <row r="14" spans="1:11" ht="12.75" customHeight="1" x14ac:dyDescent="0.25">
      <c r="A14" s="7"/>
      <c r="B14" s="58"/>
      <c r="C14" s="65"/>
      <c r="D14" s="34"/>
      <c r="E14" s="6"/>
      <c r="F14" s="35"/>
      <c r="G14" s="17"/>
      <c r="H14" s="17"/>
      <c r="I14" s="17"/>
      <c r="J14" s="17"/>
      <c r="K14" s="17"/>
    </row>
    <row r="15" spans="1:11" ht="27.75" customHeight="1" x14ac:dyDescent="0.25">
      <c r="A15" s="9" t="s">
        <v>73</v>
      </c>
      <c r="B15" s="59">
        <f>Travel!B31</f>
        <v>50602.879576587795</v>
      </c>
      <c r="C15" s="66" t="str">
        <f>C11</f>
        <v>Figures exclude GST</v>
      </c>
      <c r="D15" s="6"/>
      <c r="E15" s="6"/>
      <c r="F15" s="35"/>
      <c r="G15" s="17"/>
      <c r="H15" s="17"/>
      <c r="I15" s="17"/>
      <c r="J15" s="17"/>
      <c r="K15" s="17"/>
    </row>
    <row r="16" spans="1:11" ht="27.75" customHeight="1" x14ac:dyDescent="0.25">
      <c r="A16" s="9" t="s">
        <v>74</v>
      </c>
      <c r="B16" s="59">
        <f>Travel!B245</f>
        <v>43910.190000000017</v>
      </c>
      <c r="C16" s="66" t="str">
        <f>C11</f>
        <v>Figures exclude GST</v>
      </c>
      <c r="D16" s="36"/>
      <c r="E16" s="6"/>
      <c r="F16" s="37"/>
      <c r="G16" s="17"/>
      <c r="H16" s="17"/>
      <c r="I16" s="17"/>
      <c r="J16" s="17"/>
      <c r="K16" s="17"/>
    </row>
    <row r="17" spans="1:11" ht="27.75" customHeight="1" x14ac:dyDescent="0.25">
      <c r="A17" s="9" t="s">
        <v>75</v>
      </c>
      <c r="B17" s="59">
        <f>Travel!B264</f>
        <v>299.45</v>
      </c>
      <c r="C17" s="66" t="str">
        <f>C11</f>
        <v>Figures exclude GST</v>
      </c>
      <c r="D17" s="6"/>
      <c r="F17" s="37"/>
      <c r="G17" s="17"/>
      <c r="H17" s="17"/>
      <c r="I17" s="17"/>
      <c r="J17" s="17"/>
      <c r="K17" s="17"/>
    </row>
    <row r="18" spans="1:11" ht="27.75" customHeight="1" x14ac:dyDescent="0.3">
      <c r="A18" s="17"/>
      <c r="B18" s="19"/>
      <c r="C18" s="17"/>
      <c r="D18" s="5"/>
      <c r="E18" s="5"/>
      <c r="F18" s="28"/>
      <c r="G18" s="17"/>
      <c r="H18" s="17"/>
      <c r="I18" s="17"/>
      <c r="J18" s="17"/>
      <c r="K18" s="17"/>
    </row>
    <row r="19" spans="1:11" ht="13" x14ac:dyDescent="0.3">
      <c r="A19" s="18" t="s">
        <v>76</v>
      </c>
      <c r="B19" s="19"/>
      <c r="C19" s="17"/>
      <c r="D19" s="17"/>
      <c r="E19" s="17"/>
      <c r="F19" s="17"/>
      <c r="G19" s="17"/>
      <c r="H19" s="17"/>
      <c r="I19" s="17"/>
      <c r="J19" s="17"/>
      <c r="K19" s="17"/>
    </row>
    <row r="20" spans="1:11" x14ac:dyDescent="0.25">
      <c r="A20" s="20" t="s">
        <v>77</v>
      </c>
      <c r="D20" s="17"/>
      <c r="E20" s="17"/>
      <c r="F20" s="17"/>
      <c r="G20" s="17"/>
      <c r="H20" s="17"/>
      <c r="I20" s="17"/>
      <c r="J20" s="17"/>
      <c r="K20" s="17"/>
    </row>
    <row r="21" spans="1:11" ht="12.75" customHeight="1" x14ac:dyDescent="0.25">
      <c r="A21" s="20" t="s">
        <v>78</v>
      </c>
      <c r="D21" s="17"/>
      <c r="E21" s="17"/>
      <c r="F21" s="17"/>
      <c r="G21" s="17"/>
      <c r="H21" s="17"/>
      <c r="I21" s="17"/>
      <c r="J21" s="17"/>
      <c r="K21" s="17"/>
    </row>
    <row r="22" spans="1:11" ht="12.75" customHeight="1" x14ac:dyDescent="0.25">
      <c r="A22" s="20" t="s">
        <v>79</v>
      </c>
      <c r="D22" s="17"/>
      <c r="E22" s="17"/>
      <c r="F22" s="17"/>
      <c r="G22" s="17"/>
      <c r="H22" s="17"/>
      <c r="I22" s="17"/>
      <c r="J22" s="17"/>
      <c r="K22" s="17"/>
    </row>
    <row r="23" spans="1:11" ht="12.75" customHeight="1" x14ac:dyDescent="0.25">
      <c r="A23" s="20" t="s">
        <v>80</v>
      </c>
      <c r="D23" s="17"/>
      <c r="E23" s="17"/>
      <c r="F23" s="17"/>
      <c r="G23" s="17"/>
      <c r="H23" s="17"/>
      <c r="I23" s="17"/>
      <c r="J23" s="17"/>
      <c r="K23" s="17"/>
    </row>
    <row r="24" spans="1:11" x14ac:dyDescent="0.25">
      <c r="A24" s="26"/>
      <c r="B24" s="17"/>
      <c r="C24" s="17"/>
      <c r="D24" s="17"/>
      <c r="E24" s="17"/>
      <c r="F24" s="17"/>
      <c r="G24" s="17"/>
      <c r="H24" s="17"/>
      <c r="I24" s="17"/>
      <c r="J24" s="17"/>
      <c r="K24" s="17"/>
    </row>
    <row r="25" spans="1:11" ht="13" hidden="1" x14ac:dyDescent="0.3">
      <c r="A25" s="12" t="s">
        <v>81</v>
      </c>
      <c r="B25" s="13"/>
      <c r="C25" s="13"/>
      <c r="D25" s="13"/>
      <c r="E25" s="13"/>
      <c r="F25" s="13"/>
      <c r="G25" s="17"/>
      <c r="H25" s="17"/>
      <c r="I25" s="17"/>
      <c r="J25" s="17"/>
      <c r="K25" s="17"/>
    </row>
    <row r="26" spans="1:11" ht="12.75" hidden="1" customHeight="1" x14ac:dyDescent="0.25">
      <c r="A26" s="11" t="s">
        <v>82</v>
      </c>
      <c r="B26" s="4"/>
      <c r="C26" s="4"/>
      <c r="D26" s="11"/>
      <c r="E26" s="11"/>
      <c r="F26" s="11"/>
      <c r="G26" s="17"/>
      <c r="H26" s="17"/>
      <c r="I26" s="17"/>
      <c r="J26" s="17"/>
      <c r="K26" s="17"/>
    </row>
    <row r="27" spans="1:11" hidden="1" x14ac:dyDescent="0.25">
      <c r="A27" s="10" t="s">
        <v>83</v>
      </c>
      <c r="B27" s="10"/>
      <c r="C27" s="10"/>
      <c r="D27" s="10"/>
      <c r="E27" s="10"/>
      <c r="F27" s="10"/>
      <c r="G27" s="17"/>
      <c r="H27" s="17"/>
      <c r="I27" s="17"/>
      <c r="J27" s="17"/>
      <c r="K27" s="17"/>
    </row>
    <row r="28" spans="1:11" hidden="1" x14ac:dyDescent="0.25">
      <c r="A28" s="10" t="s">
        <v>84</v>
      </c>
      <c r="B28" s="10"/>
      <c r="C28" s="10"/>
      <c r="D28" s="10"/>
      <c r="E28" s="10"/>
      <c r="F28" s="10"/>
      <c r="G28" s="17"/>
      <c r="H28" s="17"/>
      <c r="I28" s="17"/>
      <c r="J28" s="17"/>
      <c r="K28" s="17"/>
    </row>
    <row r="29" spans="1:11" hidden="1" x14ac:dyDescent="0.25">
      <c r="A29" s="11" t="s">
        <v>85</v>
      </c>
      <c r="B29" s="11"/>
      <c r="C29" s="11"/>
      <c r="D29" s="11"/>
      <c r="E29" s="11"/>
      <c r="F29" s="11"/>
      <c r="G29" s="17"/>
      <c r="H29" s="17"/>
      <c r="I29" s="17"/>
      <c r="J29" s="17"/>
      <c r="K29" s="17"/>
    </row>
    <row r="30" spans="1:11" hidden="1" x14ac:dyDescent="0.25">
      <c r="A30" s="11" t="s">
        <v>86</v>
      </c>
      <c r="B30" s="11"/>
      <c r="C30" s="11"/>
      <c r="D30" s="11"/>
      <c r="E30" s="11"/>
      <c r="F30" s="11"/>
      <c r="G30" s="17"/>
      <c r="H30" s="17"/>
      <c r="I30" s="17"/>
      <c r="J30" s="17"/>
      <c r="K30" s="17"/>
    </row>
    <row r="31" spans="1:11" hidden="1" x14ac:dyDescent="0.25">
      <c r="A31" s="10" t="s">
        <v>87</v>
      </c>
      <c r="B31" s="10"/>
      <c r="C31" s="10"/>
      <c r="D31" s="10"/>
      <c r="E31" s="10"/>
      <c r="F31" s="10"/>
      <c r="G31" s="17"/>
      <c r="H31" s="17"/>
      <c r="I31" s="17"/>
      <c r="J31" s="17"/>
      <c r="K31" s="17"/>
    </row>
    <row r="32" spans="1:11" hidden="1" x14ac:dyDescent="0.25">
      <c r="A32" s="10" t="s">
        <v>88</v>
      </c>
      <c r="B32" s="10"/>
      <c r="C32" s="10"/>
      <c r="D32" s="10"/>
      <c r="E32" s="10"/>
      <c r="F32" s="10"/>
      <c r="G32" s="17"/>
      <c r="H32" s="17"/>
      <c r="I32" s="17"/>
      <c r="J32" s="17"/>
      <c r="K32" s="17"/>
    </row>
    <row r="33" spans="1:11" hidden="1" x14ac:dyDescent="0.25">
      <c r="A33" s="10" t="s">
        <v>89</v>
      </c>
      <c r="B33" s="10"/>
      <c r="C33" s="10"/>
      <c r="D33" s="10"/>
      <c r="E33" s="10"/>
      <c r="F33" s="10"/>
      <c r="G33" s="17"/>
      <c r="H33" s="17"/>
      <c r="I33" s="17"/>
      <c r="J33" s="17"/>
      <c r="K33" s="17"/>
    </row>
    <row r="34" spans="1:11" hidden="1" x14ac:dyDescent="0.25">
      <c r="A34" s="11" t="s">
        <v>90</v>
      </c>
      <c r="B34" s="11"/>
      <c r="C34" s="11"/>
      <c r="D34" s="11"/>
      <c r="E34" s="11"/>
      <c r="F34" s="11"/>
      <c r="G34" s="17"/>
      <c r="H34" s="17"/>
      <c r="I34" s="17"/>
      <c r="J34" s="17"/>
      <c r="K34" s="17"/>
    </row>
    <row r="35" spans="1:11" hidden="1" x14ac:dyDescent="0.25">
      <c r="A35" s="11" t="s">
        <v>91</v>
      </c>
      <c r="B35" s="11"/>
      <c r="C35" s="11"/>
      <c r="D35" s="11"/>
      <c r="E35" s="11"/>
      <c r="F35" s="11"/>
      <c r="G35" s="17"/>
      <c r="H35" s="17"/>
      <c r="I35" s="17"/>
      <c r="J35" s="17"/>
      <c r="K35" s="17"/>
    </row>
    <row r="36" spans="1:11" hidden="1" x14ac:dyDescent="0.25">
      <c r="A36" s="10" t="s">
        <v>60</v>
      </c>
      <c r="B36" s="61"/>
      <c r="C36" s="61"/>
      <c r="D36" s="61"/>
      <c r="E36" s="61"/>
      <c r="F36" s="61"/>
      <c r="G36" s="17"/>
      <c r="H36" s="17"/>
      <c r="I36" s="17"/>
      <c r="J36" s="17"/>
      <c r="K36" s="17"/>
    </row>
    <row r="37" spans="1:11" hidden="1" x14ac:dyDescent="0.25">
      <c r="A37" s="10" t="s">
        <v>92</v>
      </c>
      <c r="B37" s="61"/>
      <c r="C37" s="61"/>
      <c r="D37" s="61"/>
      <c r="E37" s="61"/>
      <c r="F37" s="61"/>
      <c r="G37" s="17"/>
      <c r="H37" s="17"/>
      <c r="I37" s="17"/>
      <c r="J37" s="17"/>
      <c r="K37" s="17"/>
    </row>
    <row r="38" spans="1:11" hidden="1" x14ac:dyDescent="0.25">
      <c r="A38" s="10" t="s">
        <v>62</v>
      </c>
      <c r="B38" s="61"/>
      <c r="C38" s="61"/>
      <c r="D38" s="61"/>
      <c r="E38" s="61"/>
      <c r="F38" s="61"/>
      <c r="G38" s="17"/>
      <c r="H38" s="17"/>
      <c r="I38" s="17"/>
      <c r="J38" s="17"/>
      <c r="K38" s="17"/>
    </row>
    <row r="39" spans="1:11" hidden="1" x14ac:dyDescent="0.25">
      <c r="A39" s="11" t="s">
        <v>93</v>
      </c>
      <c r="B39" s="4"/>
      <c r="C39" s="4"/>
      <c r="D39" s="4"/>
      <c r="E39" s="4"/>
      <c r="F39" s="4"/>
      <c r="G39" s="17"/>
      <c r="H39" s="17"/>
      <c r="I39" s="17"/>
      <c r="J39" s="17"/>
      <c r="K39" s="17"/>
    </row>
    <row r="40" spans="1:11" hidden="1" x14ac:dyDescent="0.25">
      <c r="A40" s="4" t="s">
        <v>94</v>
      </c>
      <c r="B40" s="4"/>
      <c r="C40" s="4"/>
      <c r="D40" s="4"/>
      <c r="E40" s="4"/>
      <c r="F40" s="4"/>
      <c r="G40" s="17"/>
      <c r="H40" s="17"/>
      <c r="I40" s="17"/>
      <c r="J40" s="17"/>
      <c r="K40" s="17"/>
    </row>
    <row r="41" spans="1:11" hidden="1" x14ac:dyDescent="0.25">
      <c r="A41" s="4" t="s">
        <v>95</v>
      </c>
      <c r="B41" s="4"/>
      <c r="C41" s="4"/>
      <c r="D41" s="4"/>
      <c r="E41" s="4"/>
      <c r="F41" s="4"/>
      <c r="G41" s="17"/>
      <c r="H41" s="17"/>
      <c r="I41" s="17"/>
      <c r="J41" s="17"/>
      <c r="K41" s="17"/>
    </row>
    <row r="42" spans="1:11" hidden="1" x14ac:dyDescent="0.25">
      <c r="A42" s="4" t="s">
        <v>96</v>
      </c>
      <c r="B42" s="4"/>
      <c r="C42" s="4"/>
      <c r="D42" s="4"/>
      <c r="E42" s="4"/>
      <c r="F42" s="4"/>
      <c r="G42" s="17"/>
      <c r="H42" s="17"/>
      <c r="I42" s="17"/>
      <c r="J42" s="17"/>
      <c r="K42" s="17"/>
    </row>
    <row r="43" spans="1:11" hidden="1" x14ac:dyDescent="0.25">
      <c r="A43" s="4" t="s">
        <v>97</v>
      </c>
      <c r="B43" s="4"/>
      <c r="C43" s="4"/>
      <c r="D43" s="4"/>
      <c r="E43" s="4"/>
      <c r="F43" s="4"/>
      <c r="G43" s="17"/>
      <c r="H43" s="17"/>
      <c r="I43" s="17"/>
      <c r="J43" s="17"/>
      <c r="K43" s="17"/>
    </row>
    <row r="44" spans="1:11" hidden="1" x14ac:dyDescent="0.25">
      <c r="A44" s="4" t="s">
        <v>98</v>
      </c>
      <c r="B44" s="4"/>
      <c r="C44" s="4"/>
      <c r="D44" s="4"/>
      <c r="E44" s="4"/>
      <c r="F44" s="4"/>
      <c r="G44" s="17"/>
      <c r="H44" s="17"/>
      <c r="I44" s="17"/>
      <c r="J44" s="17"/>
      <c r="K44" s="17"/>
    </row>
    <row r="45" spans="1:11" hidden="1" x14ac:dyDescent="0.25">
      <c r="A45" s="62" t="s">
        <v>99</v>
      </c>
      <c r="B45" s="61"/>
      <c r="C45" s="61"/>
      <c r="D45" s="61"/>
      <c r="E45" s="61"/>
      <c r="F45" s="61"/>
      <c r="G45" s="17"/>
      <c r="H45" s="17"/>
      <c r="I45" s="17"/>
      <c r="J45" s="17"/>
      <c r="K45" s="17"/>
    </row>
    <row r="46" spans="1:11" hidden="1" x14ac:dyDescent="0.25">
      <c r="A46" s="61" t="s">
        <v>100</v>
      </c>
      <c r="B46" s="61"/>
      <c r="C46" s="61"/>
      <c r="D46" s="61"/>
      <c r="E46" s="61"/>
      <c r="F46" s="61"/>
      <c r="G46" s="17"/>
      <c r="H46" s="17"/>
      <c r="I46" s="17"/>
      <c r="J46" s="17"/>
      <c r="K46" s="17"/>
    </row>
    <row r="47" spans="1:11" hidden="1" x14ac:dyDescent="0.25">
      <c r="A47" s="38">
        <v>-20000</v>
      </c>
      <c r="B47" s="4"/>
      <c r="C47" s="4"/>
      <c r="D47" s="4"/>
      <c r="E47" s="4"/>
      <c r="F47" s="4"/>
      <c r="G47" s="17"/>
      <c r="H47" s="17"/>
      <c r="I47" s="17"/>
      <c r="J47" s="17"/>
      <c r="K47" s="17"/>
    </row>
    <row r="48" spans="1:11" ht="25" hidden="1" x14ac:dyDescent="0.25">
      <c r="A48" s="78" t="s">
        <v>101</v>
      </c>
      <c r="B48" s="61"/>
      <c r="C48" s="61"/>
      <c r="D48" s="61"/>
      <c r="E48" s="61"/>
      <c r="F48" s="61"/>
      <c r="G48" s="17"/>
      <c r="H48" s="17"/>
      <c r="I48" s="17"/>
      <c r="J48" s="17"/>
      <c r="K48" s="17"/>
    </row>
    <row r="49" spans="1:11" ht="25" hidden="1" x14ac:dyDescent="0.25">
      <c r="A49" s="78" t="s">
        <v>102</v>
      </c>
      <c r="B49" s="61"/>
      <c r="C49" s="61"/>
      <c r="D49" s="61"/>
      <c r="E49" s="61"/>
      <c r="F49" s="61"/>
      <c r="G49" s="17"/>
      <c r="H49" s="17"/>
      <c r="I49" s="17"/>
      <c r="J49" s="17"/>
      <c r="K49" s="17"/>
    </row>
    <row r="50" spans="1:11" ht="25" hidden="1" x14ac:dyDescent="0.25">
      <c r="A50" s="79" t="s">
        <v>103</v>
      </c>
      <c r="B50" s="4"/>
      <c r="C50" s="4"/>
      <c r="D50" s="4"/>
      <c r="E50" s="4"/>
      <c r="F50" s="4"/>
      <c r="G50" s="17"/>
      <c r="H50" s="17"/>
      <c r="I50" s="17"/>
      <c r="J50" s="17"/>
      <c r="K50" s="17"/>
    </row>
    <row r="51" spans="1:11" ht="25" hidden="1" x14ac:dyDescent="0.25">
      <c r="A51" s="79" t="s">
        <v>104</v>
      </c>
      <c r="B51" s="4"/>
      <c r="C51" s="4"/>
      <c r="D51" s="4"/>
      <c r="E51" s="4"/>
      <c r="F51" s="4"/>
      <c r="G51" s="17"/>
      <c r="H51" s="17"/>
      <c r="I51" s="17"/>
      <c r="J51" s="17"/>
      <c r="K51" s="17"/>
    </row>
    <row r="52" spans="1:11" ht="37.5" hidden="1" x14ac:dyDescent="0.3">
      <c r="A52" s="79" t="s">
        <v>105</v>
      </c>
      <c r="B52" s="71"/>
      <c r="C52" s="71"/>
      <c r="D52" s="71"/>
      <c r="E52" s="11"/>
      <c r="F52" s="11"/>
      <c r="G52" s="17"/>
      <c r="H52" s="17"/>
      <c r="I52" s="17"/>
      <c r="J52" s="17"/>
      <c r="K52" s="17"/>
    </row>
    <row r="53" spans="1:11" ht="13" hidden="1" x14ac:dyDescent="0.3">
      <c r="A53" s="76" t="s">
        <v>106</v>
      </c>
      <c r="B53" s="70"/>
      <c r="C53" s="70"/>
      <c r="D53" s="70"/>
      <c r="E53" s="10"/>
      <c r="F53" s="10" t="b">
        <v>1</v>
      </c>
      <c r="G53" s="17"/>
      <c r="H53" s="17"/>
      <c r="I53" s="17"/>
      <c r="J53" s="17"/>
      <c r="K53" s="17"/>
    </row>
    <row r="54" spans="1:11" ht="13" hidden="1" x14ac:dyDescent="0.3">
      <c r="A54" s="77" t="s">
        <v>107</v>
      </c>
      <c r="B54" s="76"/>
      <c r="C54" s="76"/>
      <c r="D54" s="76"/>
      <c r="E54" s="10"/>
      <c r="F54" s="10" t="b">
        <v>0</v>
      </c>
      <c r="G54" s="17"/>
      <c r="H54" s="17"/>
      <c r="I54" s="17"/>
      <c r="J54" s="17"/>
      <c r="K54" s="17"/>
    </row>
    <row r="55" spans="1:11" ht="13" hidden="1" x14ac:dyDescent="0.25">
      <c r="A55" s="80"/>
      <c r="B55" s="72">
        <f>COUNT(Travel!B12:B30)</f>
        <v>14</v>
      </c>
      <c r="C55" s="72"/>
      <c r="D55" s="72">
        <f>COUNTIF(Travel!D12:D30,"*")</f>
        <v>14</v>
      </c>
      <c r="E55" s="73"/>
      <c r="F55" s="73" t="b">
        <f>MIN(B55,D55)=MAX(B55,D55)</f>
        <v>1</v>
      </c>
      <c r="G55" s="17"/>
      <c r="H55" s="17"/>
      <c r="I55" s="17"/>
      <c r="J55" s="17"/>
      <c r="K55" s="17"/>
    </row>
    <row r="56" spans="1:11" ht="13" hidden="1" x14ac:dyDescent="0.25">
      <c r="A56" s="80" t="s">
        <v>108</v>
      </c>
      <c r="B56" s="72">
        <f>COUNT(Travel!B35:B244)</f>
        <v>154</v>
      </c>
      <c r="C56" s="72"/>
      <c r="D56" s="72">
        <f>COUNTIF(Travel!D35:D244,"*")</f>
        <v>140</v>
      </c>
      <c r="E56" s="73"/>
      <c r="F56" s="73" t="b">
        <f>MIN(B56,D56)=MAX(B56,D56)</f>
        <v>0</v>
      </c>
    </row>
    <row r="57" spans="1:11" ht="13" hidden="1" x14ac:dyDescent="0.3">
      <c r="A57" s="81"/>
      <c r="B57" s="72">
        <f>COUNT(Travel!B249:B263)</f>
        <v>12</v>
      </c>
      <c r="C57" s="72"/>
      <c r="D57" s="72">
        <f>COUNTIF(Travel!D249:D263,"*")</f>
        <v>12</v>
      </c>
      <c r="E57" s="73"/>
      <c r="F57" s="73" t="b">
        <f>MIN(B57,D57)=MAX(B57,D57)</f>
        <v>1</v>
      </c>
    </row>
    <row r="58" spans="1:11" ht="13" hidden="1" x14ac:dyDescent="0.3">
      <c r="A58" s="82" t="s">
        <v>109</v>
      </c>
      <c r="B58" s="74">
        <f>COUNT(Hospitality!B11:B20)</f>
        <v>8</v>
      </c>
      <c r="C58" s="74"/>
      <c r="D58" s="74">
        <f>COUNTIF(Hospitality!D11:D20,"*")</f>
        <v>8</v>
      </c>
      <c r="E58" s="75"/>
      <c r="F58" s="75" t="b">
        <f>MIN(B58,D58)=MAX(B58,D58)</f>
        <v>1</v>
      </c>
    </row>
    <row r="59" spans="1:11" ht="13" hidden="1" x14ac:dyDescent="0.3">
      <c r="A59" s="83" t="s">
        <v>110</v>
      </c>
      <c r="B59" s="73">
        <f>COUNT('All other expenses'!B11:B24)</f>
        <v>0</v>
      </c>
      <c r="C59" s="73"/>
      <c r="D59" s="73">
        <f>COUNTIF('All other expenses'!D11:D24,"*")</f>
        <v>0</v>
      </c>
      <c r="E59" s="73"/>
      <c r="F59" s="73" t="b">
        <f>MIN(B59,D59)=MAX(B59,D59)</f>
        <v>1</v>
      </c>
    </row>
    <row r="60" spans="1:11" ht="13" hidden="1" x14ac:dyDescent="0.3">
      <c r="A60" s="82" t="s">
        <v>111</v>
      </c>
      <c r="B60" s="74">
        <f>COUNTIF('Gifts and benefits'!B11:B26,"*")</f>
        <v>13</v>
      </c>
      <c r="C60" s="74">
        <f>COUNTIF('Gifts and benefits'!C11:C26,"*")</f>
        <v>13</v>
      </c>
      <c r="D60" s="74"/>
      <c r="E60" s="74">
        <f>COUNTA('Gifts and benefits'!E11:E26)</f>
        <v>13</v>
      </c>
      <c r="F60" s="75" t="b">
        <f>MIN(B60,C60,E60)=MAX(B60,C60,E60)</f>
        <v>1</v>
      </c>
    </row>
    <row r="61" spans="1:11" x14ac:dyDescent="0.25"/>
  </sheetData>
  <sheetProtection formatCells="0" insertRows="0" deleteRows="0"/>
  <mergeCells count="9">
    <mergeCell ref="A9:F9"/>
    <mergeCell ref="B7:F7"/>
    <mergeCell ref="B6:F6"/>
    <mergeCell ref="A1:F1"/>
    <mergeCell ref="B2:F2"/>
    <mergeCell ref="B3:F3"/>
    <mergeCell ref="B4:F4"/>
    <mergeCell ref="B5:F5"/>
    <mergeCell ref="B8:F8"/>
  </mergeCells>
  <conditionalFormatting sqref="B7:F7">
    <cfRule type="cellIs" dxfId="1" priority="2" operator="equal">
      <formula>$A$36</formula>
    </cfRule>
  </conditionalFormatting>
  <conditionalFormatting sqref="B8:F8">
    <cfRule type="cellIs" dxfId="0" priority="1" operator="equal">
      <formula>$A$38</formula>
    </cfRule>
  </conditionalFormatting>
  <dataValidations count="6">
    <dataValidation type="list" allowBlank="1" showInputMessage="1" showErrorMessage="1" error="Use the drop down list (at the right of the cell)" prompt="This disclosure must be approved by the Departmental Secretary or Chief Executive - use the drop down list (at right of cell) to indicate whether this has been completed" sqref="B7:F7" xr:uid="{00000000-0002-0000-0100-000000000000}">
      <formula1>$A$36:$A$37</formula1>
    </dataValidation>
    <dataValidation allowBlank="1" showInputMessage="1" showErrorMessage="1" prompt="This disclosure must be approved by another appropriate party (e.g. Audit and Risk Committee member, Board Chair or Chief Financial Officer)_x000a__x000a_Use this cell to indicate who has approved the disclosure" sqref="B8:F8" xr:uid="{00000000-0002-0000-0100-000001000000}"/>
    <dataValidation allowBlank="1" showInputMessage="1" showErrorMessage="1" prompt="Headings on following tabs will pre populate with what you enter here" sqref="B2:F2" xr:uid="{00000000-0002-0000-0100-000002000000}"/>
    <dataValidation allowBlank="1" showInputMessage="1" showErrorMessage="1" prompt="Headings on following tabs will pre populate with what you enter here_x000a__x000a_Create a new workbook for a new Departmental Secretary or Chief Executive" sqref="B3:F3" xr:uid="{00000000-0002-0000-0100-000003000000}"/>
    <dataValidation allowBlank="1" showInputMessage="1" showErrorMessage="1" prompt="Headings on following tabs will pre populate with what you enter here_x000a__x000a_Update if a shorter or different period is covered" sqref="B4:F5" xr:uid="{00000000-0002-0000-0100-000004000000}"/>
    <dataValidation allowBlank="1" showInputMessage="1" showErrorMessage="1" prompt="Totals should accurately sum the content of tables but this may be affected by input method - e.g. hidden or inappropriate data._x000a__x000a_Agencies must confirm the accuracy of their data and totals._x000a__x000a_This cell updates automatically as each worksheet is checked." sqref="B6:F6" xr:uid="{00000000-0002-0000-0100-000005000000}"/>
  </dataValidations>
  <printOptions gridLines="1"/>
  <pageMargins left="0.70866141732283472" right="0.70866141732283472" top="0.74803149606299213" bottom="0.74803149606299213" header="0.31496062992125984" footer="0.31496062992125984"/>
  <pageSetup paperSize="9" scale="92" orientation="landscape" r:id="rId1"/>
  <headerFooter alignWithMargins="0">
    <oddFooter>&amp;LCE Expense Disclosure Workbook 2018&amp;RWorksheet - Summary and sign-off</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tint="0.39997558519241921"/>
    <pageSetUpPr fitToPage="1"/>
  </sheetPr>
  <dimension ref="A1:M459"/>
  <sheetViews>
    <sheetView tabSelected="1" topLeftCell="A10" zoomScaleNormal="100" workbookViewId="0">
      <selection activeCell="F19" sqref="F19"/>
    </sheetView>
  </sheetViews>
  <sheetFormatPr defaultColWidth="0" defaultRowHeight="12.75" customHeight="1" zeroHeight="1" x14ac:dyDescent="0.25"/>
  <cols>
    <col min="1" max="1" width="35.7265625" customWidth="1"/>
    <col min="2" max="2" width="14.26953125" customWidth="1"/>
    <col min="3" max="3" width="71.453125" customWidth="1"/>
    <col min="4" max="4" width="50" customWidth="1"/>
    <col min="5" max="5" width="21.453125" customWidth="1"/>
    <col min="6" max="6" width="37.54296875" customWidth="1"/>
    <col min="7" max="9" width="9.1796875" hidden="1" customWidth="1"/>
    <col min="10" max="13" width="0" hidden="1" customWidth="1"/>
    <col min="14" max="16384" width="9.1796875" hidden="1"/>
  </cols>
  <sheetData>
    <row r="1" spans="1:6" ht="26.25" customHeight="1" x14ac:dyDescent="0.25">
      <c r="A1" s="148" t="s">
        <v>112</v>
      </c>
      <c r="B1" s="148"/>
      <c r="C1" s="148"/>
      <c r="D1" s="148"/>
      <c r="E1" s="148"/>
      <c r="F1" s="17"/>
    </row>
    <row r="2" spans="1:6" ht="21" customHeight="1" x14ac:dyDescent="0.25">
      <c r="A2" s="3" t="s">
        <v>113</v>
      </c>
      <c r="B2" s="146" t="str">
        <f>'Summary and sign-off'!B2:F2</f>
        <v>Sport NZ</v>
      </c>
      <c r="C2" s="146"/>
      <c r="D2" s="146"/>
      <c r="E2" s="146"/>
      <c r="F2" s="17"/>
    </row>
    <row r="3" spans="1:6" ht="31.5" customHeight="1" x14ac:dyDescent="0.25">
      <c r="A3" s="3" t="s">
        <v>114</v>
      </c>
      <c r="B3" s="146" t="str">
        <f>'Summary and sign-off'!B3:F3</f>
        <v>Raelene Castle</v>
      </c>
      <c r="C3" s="146"/>
      <c r="D3" s="146"/>
      <c r="E3" s="146"/>
      <c r="F3" s="17"/>
    </row>
    <row r="4" spans="1:6" ht="21" customHeight="1" x14ac:dyDescent="0.25">
      <c r="A4" s="3" t="s">
        <v>115</v>
      </c>
      <c r="B4" s="146">
        <f>'Summary and sign-off'!B4:F4</f>
        <v>45474</v>
      </c>
      <c r="C4" s="146"/>
      <c r="D4" s="146"/>
      <c r="E4" s="146"/>
      <c r="F4" s="17"/>
    </row>
    <row r="5" spans="1:6" ht="21" customHeight="1" x14ac:dyDescent="0.25">
      <c r="A5" s="3" t="s">
        <v>116</v>
      </c>
      <c r="B5" s="146">
        <f>'Summary and sign-off'!B5:F5</f>
        <v>45838</v>
      </c>
      <c r="C5" s="146"/>
      <c r="D5" s="146"/>
      <c r="E5" s="146"/>
      <c r="F5" s="17"/>
    </row>
    <row r="6" spans="1:6" ht="21" customHeight="1" x14ac:dyDescent="0.25">
      <c r="A6" s="3" t="s">
        <v>117</v>
      </c>
      <c r="B6" s="141" t="s">
        <v>84</v>
      </c>
      <c r="C6" s="141"/>
      <c r="D6" s="141"/>
      <c r="E6" s="141"/>
      <c r="F6" s="17"/>
    </row>
    <row r="7" spans="1:6" ht="21" customHeight="1" x14ac:dyDescent="0.25">
      <c r="A7" s="3" t="s">
        <v>58</v>
      </c>
      <c r="B7" s="141" t="s">
        <v>86</v>
      </c>
      <c r="C7" s="141"/>
      <c r="D7" s="141"/>
      <c r="E7" s="141"/>
      <c r="F7" s="17"/>
    </row>
    <row r="8" spans="1:6" ht="36" customHeight="1" x14ac:dyDescent="0.3">
      <c r="A8" s="150" t="s">
        <v>118</v>
      </c>
      <c r="B8" s="151"/>
      <c r="C8" s="151"/>
      <c r="D8" s="151"/>
      <c r="E8" s="151"/>
      <c r="F8" s="19"/>
    </row>
    <row r="9" spans="1:6" ht="36" customHeight="1" x14ac:dyDescent="0.3">
      <c r="A9" s="152" t="s">
        <v>119</v>
      </c>
      <c r="B9" s="153"/>
      <c r="C9" s="153"/>
      <c r="D9" s="153"/>
      <c r="E9" s="153"/>
      <c r="F9" s="19"/>
    </row>
    <row r="10" spans="1:6" ht="24.75" customHeight="1" x14ac:dyDescent="0.35">
      <c r="A10" s="149" t="s">
        <v>120</v>
      </c>
      <c r="B10" s="149"/>
      <c r="C10" s="149"/>
      <c r="D10" s="149"/>
      <c r="E10" s="149"/>
      <c r="F10" s="29"/>
    </row>
    <row r="11" spans="1:6" ht="28.5" customHeight="1" x14ac:dyDescent="0.25">
      <c r="A11" s="24" t="s">
        <v>121</v>
      </c>
      <c r="B11" s="24" t="s">
        <v>122</v>
      </c>
      <c r="C11" s="24" t="s">
        <v>123</v>
      </c>
      <c r="D11" s="24" t="s">
        <v>124</v>
      </c>
      <c r="E11" s="24" t="s">
        <v>125</v>
      </c>
      <c r="F11" s="30"/>
    </row>
    <row r="12" spans="1:6" s="128" customFormat="1" ht="25.5" customHeight="1" x14ac:dyDescent="0.25">
      <c r="A12" s="112" t="s">
        <v>126</v>
      </c>
      <c r="B12" s="113">
        <v>11453</v>
      </c>
      <c r="C12" s="114" t="s">
        <v>127</v>
      </c>
      <c r="D12" s="114" t="s">
        <v>128</v>
      </c>
      <c r="E12" s="115" t="s">
        <v>129</v>
      </c>
      <c r="F12" s="161"/>
    </row>
    <row r="13" spans="1:6" s="128" customFormat="1" ht="15.5" customHeight="1" x14ac:dyDescent="0.25">
      <c r="A13" s="112" t="s">
        <v>126</v>
      </c>
      <c r="B13" s="113">
        <v>4127.272727272727</v>
      </c>
      <c r="C13" s="114" t="s">
        <v>446</v>
      </c>
      <c r="D13" s="114" t="s">
        <v>447</v>
      </c>
      <c r="E13" s="115" t="s">
        <v>443</v>
      </c>
      <c r="F13" s="161"/>
    </row>
    <row r="14" spans="1:6" s="128" customFormat="1" ht="25.5" customHeight="1" x14ac:dyDescent="0.25">
      <c r="A14" s="112" t="s">
        <v>126</v>
      </c>
      <c r="B14" s="113">
        <v>1159</v>
      </c>
      <c r="C14" s="114" t="s">
        <v>127</v>
      </c>
      <c r="D14" s="114" t="s">
        <v>130</v>
      </c>
      <c r="E14" s="115" t="s">
        <v>131</v>
      </c>
      <c r="F14" s="161"/>
    </row>
    <row r="15" spans="1:6" s="128" customFormat="1" ht="17" customHeight="1" x14ac:dyDescent="0.25">
      <c r="A15" s="112" t="s">
        <v>126</v>
      </c>
      <c r="B15" s="113">
        <v>3928.5068493150684</v>
      </c>
      <c r="C15" s="114" t="s">
        <v>446</v>
      </c>
      <c r="D15" s="114" t="s">
        <v>444</v>
      </c>
      <c r="E15" s="115" t="s">
        <v>443</v>
      </c>
      <c r="F15" s="161"/>
    </row>
    <row r="16" spans="1:6" s="128" customFormat="1" ht="25.5" customHeight="1" x14ac:dyDescent="0.25">
      <c r="A16" s="112" t="s">
        <v>126</v>
      </c>
      <c r="B16" s="113">
        <f>(61.81+53.04+40.87+37.5+37.11+20.11+31.83+28.64+27.72+26.97+28.13+29+26.21+60.47+22.32+35.6+46.32+43.19+26.68+27.35+37.03+24.2+26.13+23.54+20.03+20.07+37.31+30.4+48.37+112.66+110)</f>
        <v>1200.6100000000001</v>
      </c>
      <c r="C16" s="114" t="s">
        <v>127</v>
      </c>
      <c r="D16" s="114" t="s">
        <v>132</v>
      </c>
      <c r="E16" s="115" t="s">
        <v>133</v>
      </c>
      <c r="F16" s="161"/>
    </row>
    <row r="17" spans="1:6" s="128" customFormat="1" ht="12.5" x14ac:dyDescent="0.25">
      <c r="A17" s="112" t="s">
        <v>134</v>
      </c>
      <c r="B17" s="113">
        <f>+(210+182+64)</f>
        <v>456</v>
      </c>
      <c r="C17" s="114" t="s">
        <v>450</v>
      </c>
      <c r="D17" s="114" t="s">
        <v>135</v>
      </c>
      <c r="E17" s="115" t="s">
        <v>136</v>
      </c>
      <c r="F17" s="161"/>
    </row>
    <row r="18" spans="1:6" s="128" customFormat="1" ht="12.5" x14ac:dyDescent="0.25">
      <c r="A18" s="112" t="s">
        <v>137</v>
      </c>
      <c r="B18" s="113">
        <v>985.5</v>
      </c>
      <c r="C18" s="114" t="s">
        <v>449</v>
      </c>
      <c r="D18" s="114" t="s">
        <v>138</v>
      </c>
      <c r="E18" s="115" t="s">
        <v>136</v>
      </c>
      <c r="F18" s="161"/>
    </row>
    <row r="19" spans="1:6" s="128" customFormat="1" ht="12.5" x14ac:dyDescent="0.25">
      <c r="A19" s="112" t="s">
        <v>126</v>
      </c>
      <c r="B19" s="113">
        <v>18498.98</v>
      </c>
      <c r="C19" s="114" t="s">
        <v>139</v>
      </c>
      <c r="D19" s="114" t="s">
        <v>140</v>
      </c>
      <c r="E19" s="115" t="s">
        <v>141</v>
      </c>
      <c r="F19" s="161"/>
    </row>
    <row r="20" spans="1:6" s="128" customFormat="1" ht="12.5" x14ac:dyDescent="0.25">
      <c r="A20" s="112"/>
      <c r="B20" s="113"/>
      <c r="C20" s="114"/>
      <c r="D20" s="114"/>
      <c r="E20" s="115"/>
      <c r="F20" s="161"/>
    </row>
    <row r="21" spans="1:6" s="2" customFormat="1" ht="12.5" x14ac:dyDescent="0.25">
      <c r="A21" s="112"/>
      <c r="B21" s="113"/>
      <c r="C21" s="114"/>
      <c r="D21" s="114"/>
      <c r="E21" s="115"/>
      <c r="F21" s="161"/>
    </row>
    <row r="22" spans="1:6" s="128" customFormat="1" ht="12.5" x14ac:dyDescent="0.25">
      <c r="A22" s="112" t="s">
        <v>142</v>
      </c>
      <c r="B22" s="113">
        <v>6181</v>
      </c>
      <c r="C22" s="114" t="s">
        <v>143</v>
      </c>
      <c r="D22" s="114" t="s">
        <v>144</v>
      </c>
      <c r="E22" s="115" t="s">
        <v>145</v>
      </c>
      <c r="F22" s="161"/>
    </row>
    <row r="23" spans="1:6" s="128" customFormat="1" ht="12.5" x14ac:dyDescent="0.25">
      <c r="A23" s="112" t="s">
        <v>147</v>
      </c>
      <c r="B23" s="113">
        <v>694</v>
      </c>
      <c r="C23" s="114" t="s">
        <v>148</v>
      </c>
      <c r="D23" s="114" t="s">
        <v>149</v>
      </c>
      <c r="E23" s="115" t="s">
        <v>150</v>
      </c>
      <c r="F23" s="161"/>
    </row>
    <row r="24" spans="1:6" s="128" customFormat="1" ht="12.5" x14ac:dyDescent="0.25">
      <c r="A24" s="112" t="s">
        <v>147</v>
      </c>
      <c r="B24" s="113">
        <v>136.24</v>
      </c>
      <c r="C24" s="114" t="s">
        <v>148</v>
      </c>
      <c r="D24" s="114" t="s">
        <v>151</v>
      </c>
      <c r="E24" s="115" t="s">
        <v>150</v>
      </c>
      <c r="F24" s="161"/>
    </row>
    <row r="25" spans="1:6" s="128" customFormat="1" ht="12.5" x14ac:dyDescent="0.25">
      <c r="A25" s="112" t="s">
        <v>152</v>
      </c>
      <c r="B25" s="113">
        <v>800</v>
      </c>
      <c r="C25" s="114" t="s">
        <v>153</v>
      </c>
      <c r="D25" s="114" t="s">
        <v>149</v>
      </c>
      <c r="E25" s="115" t="s">
        <v>136</v>
      </c>
      <c r="F25" s="161"/>
    </row>
    <row r="26" spans="1:6" s="128" customFormat="1" ht="12.5" x14ac:dyDescent="0.25">
      <c r="A26" s="112" t="s">
        <v>152</v>
      </c>
      <c r="B26" s="113">
        <f>(133.85+80.22+86.6+86.6+74.49+59.57+108.03+50.79+250.46)</f>
        <v>930.61</v>
      </c>
      <c r="C26" s="114" t="s">
        <v>154</v>
      </c>
      <c r="D26" s="114" t="s">
        <v>155</v>
      </c>
      <c r="E26" s="115" t="s">
        <v>136</v>
      </c>
      <c r="F26" s="161"/>
    </row>
    <row r="27" spans="1:6" s="128" customFormat="1" ht="12.5" x14ac:dyDescent="0.25">
      <c r="A27" s="127">
        <v>45844</v>
      </c>
      <c r="B27" s="113">
        <v>52.16</v>
      </c>
      <c r="C27" s="114" t="s">
        <v>156</v>
      </c>
      <c r="D27" s="114" t="s">
        <v>157</v>
      </c>
      <c r="E27" s="115" t="s">
        <v>158</v>
      </c>
      <c r="F27" s="161"/>
    </row>
    <row r="28" spans="1:6" s="2" customFormat="1" ht="12.5" x14ac:dyDescent="0.25">
      <c r="A28" s="112"/>
      <c r="B28" s="113"/>
      <c r="C28" s="114"/>
      <c r="D28" s="114"/>
      <c r="E28" s="115"/>
      <c r="F28" s="161"/>
    </row>
    <row r="29" spans="1:6" s="2" customFormat="1" ht="12.5" x14ac:dyDescent="0.25">
      <c r="A29" s="116"/>
      <c r="B29" s="113"/>
      <c r="C29" s="114"/>
      <c r="D29" s="114"/>
      <c r="E29" s="115"/>
      <c r="F29" s="161"/>
    </row>
    <row r="30" spans="1:6" s="2" customFormat="1" ht="12.75" hidden="1" customHeight="1" x14ac:dyDescent="0.25">
      <c r="A30" s="101"/>
      <c r="B30" s="136"/>
      <c r="C30" s="102"/>
      <c r="D30" s="102"/>
      <c r="E30" s="103"/>
      <c r="F30" s="1"/>
    </row>
    <row r="31" spans="1:6" ht="19.5" customHeight="1" x14ac:dyDescent="0.25">
      <c r="A31" s="69" t="s">
        <v>159</v>
      </c>
      <c r="B31" s="138">
        <f>SUM(B12:B30)</f>
        <v>50602.879576587795</v>
      </c>
      <c r="C31" s="123" t="str">
        <f>IF(SUBTOTAL(3,B12:B30)=SUBTOTAL(103,B12:B30),'Summary and sign-off'!$A$48,'Summary and sign-off'!$A$49)</f>
        <v>Check - there are no hidden rows with data</v>
      </c>
      <c r="D31" s="154" t="str">
        <f>IF('Summary and sign-off'!F55='Summary and sign-off'!F54,'Summary and sign-off'!A51,'Summary and sign-off'!A50)</f>
        <v>Check - each entry provides sufficient information</v>
      </c>
      <c r="E31" s="154"/>
      <c r="F31" s="17"/>
    </row>
    <row r="32" spans="1:6" ht="10.5" customHeight="1" x14ac:dyDescent="0.3">
      <c r="A32" s="17"/>
      <c r="B32" s="19"/>
      <c r="C32" s="17"/>
      <c r="D32" s="17"/>
      <c r="E32" s="17"/>
      <c r="F32" s="17"/>
    </row>
    <row r="33" spans="1:6" ht="24.75" customHeight="1" x14ac:dyDescent="0.35">
      <c r="A33" s="149" t="s">
        <v>160</v>
      </c>
      <c r="B33" s="149"/>
      <c r="C33" s="149"/>
      <c r="D33" s="149"/>
      <c r="E33" s="149"/>
      <c r="F33" s="29"/>
    </row>
    <row r="34" spans="1:6" ht="32.5" customHeight="1" x14ac:dyDescent="0.25">
      <c r="A34" s="24" t="s">
        <v>121</v>
      </c>
      <c r="B34" s="24" t="s">
        <v>65</v>
      </c>
      <c r="C34" s="24" t="s">
        <v>161</v>
      </c>
      <c r="D34" s="24" t="s">
        <v>124</v>
      </c>
      <c r="E34" s="24" t="s">
        <v>125</v>
      </c>
      <c r="F34" s="30"/>
    </row>
    <row r="35" spans="1:6" s="128" customFormat="1" ht="21" customHeight="1" x14ac:dyDescent="0.25">
      <c r="A35" s="112" t="s">
        <v>162</v>
      </c>
      <c r="B35" s="113">
        <v>614.89</v>
      </c>
      <c r="C35" s="114" t="s">
        <v>163</v>
      </c>
      <c r="D35" s="114" t="s">
        <v>164</v>
      </c>
      <c r="E35" s="115" t="s">
        <v>165</v>
      </c>
      <c r="F35" s="161"/>
    </row>
    <row r="36" spans="1:6" s="128" customFormat="1" ht="23.25" customHeight="1" x14ac:dyDescent="0.25">
      <c r="A36" s="112" t="s">
        <v>162</v>
      </c>
      <c r="B36" s="113">
        <v>130.53</v>
      </c>
      <c r="C36" s="114" t="s">
        <v>163</v>
      </c>
      <c r="D36" s="114" t="s">
        <v>166</v>
      </c>
      <c r="E36" s="115" t="s">
        <v>167</v>
      </c>
      <c r="F36" s="161"/>
    </row>
    <row r="37" spans="1:6" s="128" customFormat="1" ht="27" customHeight="1" x14ac:dyDescent="0.25">
      <c r="A37" s="112" t="s">
        <v>162</v>
      </c>
      <c r="B37" s="113">
        <v>195.65</v>
      </c>
      <c r="C37" s="114" t="s">
        <v>163</v>
      </c>
      <c r="D37" s="114" t="s">
        <v>168</v>
      </c>
      <c r="E37" s="115" t="s">
        <v>169</v>
      </c>
      <c r="F37" s="161"/>
    </row>
    <row r="38" spans="1:6" s="128" customFormat="1" ht="27" customHeight="1" x14ac:dyDescent="0.25">
      <c r="A38" s="112" t="s">
        <v>162</v>
      </c>
      <c r="B38" s="113">
        <v>226.09</v>
      </c>
      <c r="C38" s="114" t="s">
        <v>163</v>
      </c>
      <c r="D38" s="114" t="s">
        <v>168</v>
      </c>
      <c r="E38" s="115" t="s">
        <v>170</v>
      </c>
      <c r="F38" s="161"/>
    </row>
    <row r="39" spans="1:6" s="128" customFormat="1" ht="12.5" x14ac:dyDescent="0.25">
      <c r="A39" s="112"/>
      <c r="B39" s="113"/>
      <c r="C39" s="114"/>
      <c r="D39" s="114"/>
      <c r="E39" s="115"/>
      <c r="F39" s="161"/>
    </row>
    <row r="40" spans="1:6" s="128" customFormat="1" ht="12.5" x14ac:dyDescent="0.25">
      <c r="A40" s="112" t="s">
        <v>171</v>
      </c>
      <c r="B40" s="113">
        <v>361.02</v>
      </c>
      <c r="C40" s="114" t="s">
        <v>172</v>
      </c>
      <c r="D40" s="114" t="s">
        <v>173</v>
      </c>
      <c r="E40" s="115" t="s">
        <v>174</v>
      </c>
      <c r="F40" s="161"/>
    </row>
    <row r="41" spans="1:6" s="128" customFormat="1" ht="12.5" x14ac:dyDescent="0.25">
      <c r="A41" s="112" t="s">
        <v>171</v>
      </c>
      <c r="B41" s="113">
        <v>226.09</v>
      </c>
      <c r="C41" s="114" t="s">
        <v>172</v>
      </c>
      <c r="D41" s="114" t="s">
        <v>168</v>
      </c>
      <c r="E41" s="115" t="s">
        <v>170</v>
      </c>
      <c r="F41" s="161"/>
    </row>
    <row r="42" spans="1:6" s="128" customFormat="1" ht="12.5" x14ac:dyDescent="0.25">
      <c r="A42" s="112" t="s">
        <v>171</v>
      </c>
      <c r="B42" s="113">
        <v>130.28</v>
      </c>
      <c r="C42" s="114" t="s">
        <v>172</v>
      </c>
      <c r="D42" s="114" t="s">
        <v>175</v>
      </c>
      <c r="E42" s="115" t="s">
        <v>176</v>
      </c>
      <c r="F42" s="161"/>
    </row>
    <row r="43" spans="1:6" s="128" customFormat="1" ht="12.5" x14ac:dyDescent="0.25">
      <c r="A43" s="112"/>
      <c r="B43" s="113"/>
      <c r="C43" s="114"/>
      <c r="D43" s="114"/>
      <c r="E43" s="115"/>
      <c r="F43" s="161"/>
    </row>
    <row r="44" spans="1:6" s="128" customFormat="1" ht="12.5" x14ac:dyDescent="0.25">
      <c r="A44" s="127">
        <v>45504</v>
      </c>
      <c r="B44" s="113">
        <v>30.99</v>
      </c>
      <c r="C44" s="114" t="s">
        <v>177</v>
      </c>
      <c r="D44" s="114"/>
      <c r="E44" s="115"/>
      <c r="F44" s="161"/>
    </row>
    <row r="45" spans="1:6" s="128" customFormat="1" ht="12.5" x14ac:dyDescent="0.25">
      <c r="A45" s="112"/>
      <c r="B45" s="113"/>
      <c r="C45" s="114"/>
      <c r="D45" s="114"/>
      <c r="E45" s="115"/>
      <c r="F45" s="161"/>
    </row>
    <row r="46" spans="1:6" s="128" customFormat="1" ht="12.5" x14ac:dyDescent="0.25">
      <c r="A46" s="112" t="s">
        <v>178</v>
      </c>
      <c r="B46" s="113">
        <v>361.02</v>
      </c>
      <c r="C46" s="114" t="s">
        <v>179</v>
      </c>
      <c r="D46" s="114" t="s">
        <v>173</v>
      </c>
      <c r="E46" s="115" t="s">
        <v>174</v>
      </c>
      <c r="F46" s="161"/>
    </row>
    <row r="47" spans="1:6" s="128" customFormat="1" ht="12.5" x14ac:dyDescent="0.25">
      <c r="A47" s="112" t="s">
        <v>178</v>
      </c>
      <c r="B47" s="113">
        <v>203.11</v>
      </c>
      <c r="C47" s="114" t="s">
        <v>179</v>
      </c>
      <c r="D47" s="114" t="s">
        <v>166</v>
      </c>
      <c r="E47" s="115" t="s">
        <v>176</v>
      </c>
      <c r="F47" s="161"/>
    </row>
    <row r="48" spans="1:6" s="128" customFormat="1" ht="12.5" x14ac:dyDescent="0.25">
      <c r="A48" s="112" t="s">
        <v>178</v>
      </c>
      <c r="B48" s="113">
        <v>452.17</v>
      </c>
      <c r="C48" s="114" t="s">
        <v>179</v>
      </c>
      <c r="D48" s="114" t="s">
        <v>180</v>
      </c>
      <c r="E48" s="115" t="s">
        <v>181</v>
      </c>
      <c r="F48" s="161"/>
    </row>
    <row r="49" spans="1:6" s="128" customFormat="1" ht="16" customHeight="1" x14ac:dyDescent="0.25">
      <c r="A49" s="127"/>
      <c r="B49" s="113"/>
      <c r="C49" s="114"/>
      <c r="D49" s="114"/>
      <c r="E49" s="115"/>
      <c r="F49" s="161"/>
    </row>
    <row r="50" spans="1:6" s="128" customFormat="1" ht="15.75" customHeight="1" x14ac:dyDescent="0.25">
      <c r="A50" s="127" t="s">
        <v>182</v>
      </c>
      <c r="B50" s="113">
        <v>337.4</v>
      </c>
      <c r="C50" s="114" t="s">
        <v>183</v>
      </c>
      <c r="D50" s="114" t="s">
        <v>173</v>
      </c>
      <c r="E50" s="115" t="s">
        <v>174</v>
      </c>
      <c r="F50" s="161"/>
    </row>
    <row r="51" spans="1:6" s="128" customFormat="1" ht="15.75" customHeight="1" x14ac:dyDescent="0.25">
      <c r="A51" s="127" t="s">
        <v>182</v>
      </c>
      <c r="B51" s="113">
        <f>(50.38+27.55+21.24+51.64)</f>
        <v>150.81</v>
      </c>
      <c r="C51" s="128" t="s">
        <v>183</v>
      </c>
      <c r="D51" s="114" t="s">
        <v>184</v>
      </c>
      <c r="E51" s="115" t="s">
        <v>176</v>
      </c>
      <c r="F51" s="161"/>
    </row>
    <row r="52" spans="1:6" s="128" customFormat="1" ht="12.5" x14ac:dyDescent="0.25">
      <c r="A52" s="127" t="s">
        <v>182</v>
      </c>
      <c r="B52" s="113">
        <v>452.18</v>
      </c>
      <c r="C52" s="114" t="s">
        <v>183</v>
      </c>
      <c r="D52" s="114" t="s">
        <v>180</v>
      </c>
      <c r="E52" s="115" t="s">
        <v>170</v>
      </c>
      <c r="F52" s="161"/>
    </row>
    <row r="53" spans="1:6" s="128" customFormat="1" ht="12.5" x14ac:dyDescent="0.25">
      <c r="A53" s="127"/>
      <c r="B53" s="113"/>
      <c r="C53" s="114"/>
      <c r="D53" s="114"/>
      <c r="E53" s="115"/>
      <c r="F53" s="161"/>
    </row>
    <row r="54" spans="1:6" s="128" customFormat="1" ht="12.5" x14ac:dyDescent="0.25">
      <c r="A54" s="127">
        <v>45535</v>
      </c>
      <c r="B54" s="113">
        <f>(105.54+2+2+2)</f>
        <v>111.54</v>
      </c>
      <c r="C54" s="114" t="s">
        <v>185</v>
      </c>
      <c r="D54" s="114" t="s">
        <v>186</v>
      </c>
      <c r="E54" s="115"/>
      <c r="F54" s="161"/>
    </row>
    <row r="55" spans="1:6" s="128" customFormat="1" ht="12.5" x14ac:dyDescent="0.25">
      <c r="A55" s="112"/>
      <c r="B55" s="113"/>
      <c r="C55" s="114"/>
      <c r="D55" s="114"/>
      <c r="E55" s="115"/>
      <c r="F55" s="161"/>
    </row>
    <row r="56" spans="1:6" s="128" customFormat="1" ht="12.5" x14ac:dyDescent="0.25">
      <c r="A56" s="112" t="s">
        <v>187</v>
      </c>
      <c r="B56" s="113">
        <f>(81+450)</f>
        <v>531</v>
      </c>
      <c r="C56" s="114" t="s">
        <v>188</v>
      </c>
      <c r="D56" s="114" t="s">
        <v>164</v>
      </c>
      <c r="E56" s="115" t="s">
        <v>189</v>
      </c>
      <c r="F56" s="161"/>
    </row>
    <row r="57" spans="1:6" s="128" customFormat="1" ht="12.5" x14ac:dyDescent="0.25">
      <c r="A57" s="127">
        <v>45537</v>
      </c>
      <c r="B57" s="113">
        <v>173</v>
      </c>
      <c r="C57" s="114" t="s">
        <v>190</v>
      </c>
      <c r="D57" s="114" t="s">
        <v>191</v>
      </c>
      <c r="E57" s="115" t="s">
        <v>192</v>
      </c>
      <c r="F57" s="161"/>
    </row>
    <row r="58" spans="1:6" s="128" customFormat="1" ht="12.5" x14ac:dyDescent="0.25">
      <c r="A58" s="112" t="s">
        <v>187</v>
      </c>
      <c r="B58" s="113">
        <v>226.09</v>
      </c>
      <c r="C58" s="114" t="s">
        <v>193</v>
      </c>
      <c r="D58" s="114" t="s">
        <v>191</v>
      </c>
      <c r="E58" s="115" t="s">
        <v>170</v>
      </c>
      <c r="F58" s="161"/>
    </row>
    <row r="59" spans="1:6" s="128" customFormat="1" ht="12.5" x14ac:dyDescent="0.25">
      <c r="A59" s="112" t="s">
        <v>187</v>
      </c>
      <c r="B59" s="113">
        <v>63.17</v>
      </c>
      <c r="C59" s="114" t="s">
        <v>193</v>
      </c>
      <c r="D59" s="114" t="s">
        <v>194</v>
      </c>
      <c r="E59" s="115" t="s">
        <v>195</v>
      </c>
      <c r="F59" s="161"/>
    </row>
    <row r="60" spans="1:6" s="128" customFormat="1" ht="12.5" x14ac:dyDescent="0.25">
      <c r="A60" s="131"/>
      <c r="B60" s="113"/>
      <c r="C60" s="132"/>
      <c r="D60" s="132"/>
      <c r="E60" s="133"/>
      <c r="F60" s="161"/>
    </row>
    <row r="61" spans="1:6" s="135" customFormat="1" ht="12.5" x14ac:dyDescent="0.25">
      <c r="A61" s="127" t="s">
        <v>196</v>
      </c>
      <c r="B61" s="113">
        <f>(427+27)</f>
        <v>454</v>
      </c>
      <c r="C61" s="114" t="s">
        <v>197</v>
      </c>
      <c r="D61" s="114" t="s">
        <v>164</v>
      </c>
      <c r="E61" s="115" t="s">
        <v>174</v>
      </c>
      <c r="F61" s="161"/>
    </row>
    <row r="62" spans="1:6" s="135" customFormat="1" ht="12.5" x14ac:dyDescent="0.25">
      <c r="A62" s="112" t="s">
        <v>196</v>
      </c>
      <c r="B62" s="113">
        <v>226</v>
      </c>
      <c r="C62" s="114" t="s">
        <v>197</v>
      </c>
      <c r="D62" s="114" t="s">
        <v>191</v>
      </c>
      <c r="E62" s="115" t="s">
        <v>170</v>
      </c>
      <c r="F62" s="161"/>
    </row>
    <row r="63" spans="1:6" s="135" customFormat="1" ht="12.5" x14ac:dyDescent="0.25">
      <c r="A63" s="112" t="s">
        <v>196</v>
      </c>
      <c r="B63" s="113">
        <f>(51.85+25.08+51.47+21.37)</f>
        <v>149.77000000000001</v>
      </c>
      <c r="C63" s="114" t="s">
        <v>197</v>
      </c>
      <c r="D63" s="114" t="s">
        <v>198</v>
      </c>
      <c r="E63" s="115" t="s">
        <v>195</v>
      </c>
      <c r="F63" s="161"/>
    </row>
    <row r="64" spans="1:6" s="135" customFormat="1" ht="12.5" x14ac:dyDescent="0.25">
      <c r="A64" s="112"/>
      <c r="B64" s="113"/>
      <c r="C64" s="114"/>
      <c r="D64" s="114"/>
      <c r="E64" s="115"/>
      <c r="F64" s="161"/>
    </row>
    <row r="65" spans="1:6" s="135" customFormat="1" ht="12.5" x14ac:dyDescent="0.25">
      <c r="A65" s="112" t="s">
        <v>199</v>
      </c>
      <c r="B65" s="113">
        <f>+(427.79+191)</f>
        <v>618.79</v>
      </c>
      <c r="C65" s="114" t="s">
        <v>200</v>
      </c>
      <c r="D65" s="114" t="s">
        <v>201</v>
      </c>
      <c r="E65" s="115" t="s">
        <v>174</v>
      </c>
      <c r="F65" s="161"/>
    </row>
    <row r="66" spans="1:6" s="135" customFormat="1" ht="12.5" x14ac:dyDescent="0.25">
      <c r="A66" s="112" t="s">
        <v>199</v>
      </c>
      <c r="B66" s="113">
        <v>719</v>
      </c>
      <c r="C66" s="114" t="s">
        <v>200</v>
      </c>
      <c r="D66" s="114" t="s">
        <v>202</v>
      </c>
      <c r="E66" s="115" t="s">
        <v>170</v>
      </c>
      <c r="F66" s="161"/>
    </row>
    <row r="67" spans="1:6" s="135" customFormat="1" ht="12.5" x14ac:dyDescent="0.25">
      <c r="A67" s="112" t="s">
        <v>199</v>
      </c>
      <c r="B67" s="113">
        <f>(50.32+38.73+9.27+8.45+18.74)</f>
        <v>125.50999999999999</v>
      </c>
      <c r="C67" s="114" t="s">
        <v>200</v>
      </c>
      <c r="D67" s="114" t="s">
        <v>194</v>
      </c>
      <c r="E67" s="115" t="s">
        <v>195</v>
      </c>
      <c r="F67" s="161"/>
    </row>
    <row r="68" spans="1:6" s="135" customFormat="1" ht="12.5" x14ac:dyDescent="0.25">
      <c r="A68" s="112"/>
      <c r="B68" s="113"/>
      <c r="C68" s="114"/>
      <c r="D68" s="114"/>
      <c r="E68" s="115"/>
      <c r="F68" s="161"/>
    </row>
    <row r="69" spans="1:6" s="135" customFormat="1" ht="12.5" x14ac:dyDescent="0.25">
      <c r="A69" s="112" t="s">
        <v>203</v>
      </c>
      <c r="B69" s="113">
        <v>407</v>
      </c>
      <c r="C69" s="114" t="s">
        <v>204</v>
      </c>
      <c r="D69" s="114" t="s">
        <v>205</v>
      </c>
      <c r="E69" s="115" t="s">
        <v>174</v>
      </c>
      <c r="F69" s="161"/>
    </row>
    <row r="70" spans="1:6" s="135" customFormat="1" ht="12.5" x14ac:dyDescent="0.25">
      <c r="A70" s="112" t="s">
        <v>203</v>
      </c>
      <c r="B70" s="113">
        <v>452</v>
      </c>
      <c r="C70" s="114" t="s">
        <v>204</v>
      </c>
      <c r="D70" s="114" t="s">
        <v>206</v>
      </c>
      <c r="E70" s="115" t="s">
        <v>170</v>
      </c>
      <c r="F70" s="161"/>
    </row>
    <row r="71" spans="1:6" s="135" customFormat="1" ht="12.5" x14ac:dyDescent="0.25">
      <c r="A71" s="112" t="s">
        <v>203</v>
      </c>
      <c r="B71" s="113">
        <v>19.87</v>
      </c>
      <c r="C71" s="114" t="s">
        <v>204</v>
      </c>
      <c r="D71" s="114" t="s">
        <v>194</v>
      </c>
      <c r="E71" s="115" t="s">
        <v>207</v>
      </c>
      <c r="F71" s="161"/>
    </row>
    <row r="72" spans="1:6" s="135" customFormat="1" ht="12.5" x14ac:dyDescent="0.25">
      <c r="A72" s="127">
        <v>45567</v>
      </c>
      <c r="B72" s="113">
        <v>130</v>
      </c>
      <c r="C72" s="114" t="s">
        <v>204</v>
      </c>
      <c r="D72" s="114" t="s">
        <v>208</v>
      </c>
      <c r="E72" s="115" t="s">
        <v>158</v>
      </c>
      <c r="F72" s="161"/>
    </row>
    <row r="73" spans="1:6" s="135" customFormat="1" ht="12.5" x14ac:dyDescent="0.25">
      <c r="A73" s="127"/>
      <c r="B73" s="113"/>
      <c r="C73" s="114"/>
      <c r="D73" s="114"/>
      <c r="E73" s="115"/>
      <c r="F73" s="161"/>
    </row>
    <row r="74" spans="1:6" s="135" customFormat="1" ht="12.5" x14ac:dyDescent="0.25">
      <c r="A74" s="127">
        <v>45565</v>
      </c>
      <c r="B74" s="113">
        <f>(104+84)</f>
        <v>188</v>
      </c>
      <c r="C74" s="114" t="s">
        <v>209</v>
      </c>
      <c r="D74" s="114"/>
      <c r="E74" s="115"/>
      <c r="F74" s="161"/>
    </row>
    <row r="75" spans="1:6" s="135" customFormat="1" ht="12.5" x14ac:dyDescent="0.25">
      <c r="A75" s="112"/>
      <c r="B75" s="113"/>
      <c r="C75" s="114"/>
      <c r="D75" s="114"/>
      <c r="E75" s="115"/>
      <c r="F75" s="161"/>
    </row>
    <row r="76" spans="1:6" s="135" customFormat="1" ht="12.5" x14ac:dyDescent="0.25">
      <c r="A76" s="112" t="s">
        <v>210</v>
      </c>
      <c r="B76" s="113">
        <v>835</v>
      </c>
      <c r="C76" s="114" t="s">
        <v>211</v>
      </c>
      <c r="D76" s="114" t="s">
        <v>212</v>
      </c>
      <c r="E76" s="115" t="s">
        <v>213</v>
      </c>
      <c r="F76" s="161"/>
    </row>
    <row r="77" spans="1:6" s="135" customFormat="1" ht="12.5" x14ac:dyDescent="0.25">
      <c r="A77" s="112" t="s">
        <v>210</v>
      </c>
      <c r="B77" s="113">
        <v>204</v>
      </c>
      <c r="C77" s="114" t="s">
        <v>211</v>
      </c>
      <c r="D77" s="114" t="s">
        <v>191</v>
      </c>
      <c r="E77" s="115" t="s">
        <v>214</v>
      </c>
      <c r="F77" s="161"/>
    </row>
    <row r="78" spans="1:6" s="135" customFormat="1" ht="12.5" x14ac:dyDescent="0.25">
      <c r="A78" s="112" t="s">
        <v>210</v>
      </c>
      <c r="B78" s="113">
        <f>(89+1+20+45)</f>
        <v>155</v>
      </c>
      <c r="C78" s="114" t="s">
        <v>211</v>
      </c>
      <c r="D78" s="114" t="s">
        <v>215</v>
      </c>
      <c r="E78" s="115" t="s">
        <v>216</v>
      </c>
      <c r="F78" s="161"/>
    </row>
    <row r="79" spans="1:6" s="135" customFormat="1" ht="12.5" x14ac:dyDescent="0.25">
      <c r="A79" s="112" t="s">
        <v>210</v>
      </c>
      <c r="B79" s="113">
        <v>90</v>
      </c>
      <c r="C79" s="114" t="s">
        <v>211</v>
      </c>
      <c r="D79" s="114" t="s">
        <v>208</v>
      </c>
      <c r="E79" s="115" t="s">
        <v>158</v>
      </c>
      <c r="F79" s="161"/>
    </row>
    <row r="80" spans="1:6" s="135" customFormat="1" ht="12.5" x14ac:dyDescent="0.25">
      <c r="A80" s="112"/>
      <c r="B80" s="113"/>
      <c r="C80" s="114"/>
      <c r="D80" s="114"/>
      <c r="E80" s="115"/>
      <c r="F80" s="161"/>
    </row>
    <row r="81" spans="1:6" s="135" customFormat="1" ht="12.5" x14ac:dyDescent="0.25">
      <c r="A81" s="127">
        <v>45575</v>
      </c>
      <c r="B81" s="113">
        <v>291.2</v>
      </c>
      <c r="C81" s="114" t="s">
        <v>217</v>
      </c>
      <c r="D81" s="114" t="s">
        <v>218</v>
      </c>
      <c r="E81" s="115" t="s">
        <v>219</v>
      </c>
      <c r="F81" s="161"/>
    </row>
    <row r="82" spans="1:6" s="135" customFormat="1" ht="12.5" x14ac:dyDescent="0.25">
      <c r="A82" s="112"/>
      <c r="B82" s="113"/>
      <c r="C82" s="114"/>
      <c r="D82" s="114"/>
      <c r="E82" s="115"/>
      <c r="F82" s="161"/>
    </row>
    <row r="83" spans="1:6" s="135" customFormat="1" ht="12.5" x14ac:dyDescent="0.25">
      <c r="A83" s="112" t="s">
        <v>220</v>
      </c>
      <c r="B83" s="113">
        <f>(258+455+45)</f>
        <v>758</v>
      </c>
      <c r="C83" s="114" t="s">
        <v>221</v>
      </c>
      <c r="D83" s="114" t="s">
        <v>164</v>
      </c>
      <c r="E83" s="115" t="s">
        <v>174</v>
      </c>
      <c r="F83" s="161"/>
    </row>
    <row r="84" spans="1:6" s="135" customFormat="1" ht="12.5" x14ac:dyDescent="0.25">
      <c r="A84" s="112" t="s">
        <v>220</v>
      </c>
      <c r="B84" s="113">
        <v>226</v>
      </c>
      <c r="C84" s="114" t="s">
        <v>222</v>
      </c>
      <c r="D84" s="114" t="s">
        <v>223</v>
      </c>
      <c r="E84" s="115" t="s">
        <v>170</v>
      </c>
      <c r="F84" s="161"/>
    </row>
    <row r="85" spans="1:6" s="135" customFormat="1" ht="12.5" x14ac:dyDescent="0.25">
      <c r="A85" s="112" t="s">
        <v>220</v>
      </c>
      <c r="B85" s="113">
        <v>48.84</v>
      </c>
      <c r="C85" s="114" t="s">
        <v>222</v>
      </c>
      <c r="D85" s="114" t="s">
        <v>224</v>
      </c>
      <c r="E85" s="115" t="s">
        <v>170</v>
      </c>
      <c r="F85" s="161"/>
    </row>
    <row r="86" spans="1:6" s="135" customFormat="1" ht="12.5" x14ac:dyDescent="0.25">
      <c r="A86" s="112"/>
      <c r="B86" s="113"/>
      <c r="C86" s="114"/>
      <c r="D86" s="114"/>
      <c r="E86" s="115"/>
      <c r="F86" s="161"/>
    </row>
    <row r="87" spans="1:6" s="135" customFormat="1" ht="12.5" x14ac:dyDescent="0.25">
      <c r="A87" s="112" t="s">
        <v>225</v>
      </c>
      <c r="B87" s="113">
        <v>454.64</v>
      </c>
      <c r="C87" s="114" t="s">
        <v>226</v>
      </c>
      <c r="D87" s="114" t="s">
        <v>173</v>
      </c>
      <c r="E87" s="115" t="s">
        <v>174</v>
      </c>
      <c r="F87" s="161"/>
    </row>
    <row r="88" spans="1:6" s="135" customFormat="1" ht="12.5" x14ac:dyDescent="0.25">
      <c r="A88" s="112" t="s">
        <v>225</v>
      </c>
      <c r="B88" s="113">
        <v>231</v>
      </c>
      <c r="C88" s="114" t="s">
        <v>226</v>
      </c>
      <c r="D88" s="114" t="s">
        <v>227</v>
      </c>
      <c r="E88" s="115" t="s">
        <v>170</v>
      </c>
      <c r="F88" s="161"/>
    </row>
    <row r="89" spans="1:6" s="135" customFormat="1" ht="12.5" x14ac:dyDescent="0.25">
      <c r="A89" s="112" t="s">
        <v>225</v>
      </c>
      <c r="B89" s="113">
        <f>(50.58+27.12+8.45+25.03+52.27)</f>
        <v>163.45000000000002</v>
      </c>
      <c r="C89" s="114" t="s">
        <v>226</v>
      </c>
      <c r="D89" s="114" t="s">
        <v>228</v>
      </c>
      <c r="E89" s="115" t="s">
        <v>176</v>
      </c>
      <c r="F89" s="161"/>
    </row>
    <row r="90" spans="1:6" s="135" customFormat="1" ht="12.5" x14ac:dyDescent="0.25">
      <c r="A90" s="112"/>
      <c r="B90" s="113"/>
      <c r="C90" s="114"/>
      <c r="D90" s="114"/>
      <c r="E90" s="115"/>
      <c r="F90" s="161"/>
    </row>
    <row r="91" spans="1:6" s="135" customFormat="1" ht="12.5" x14ac:dyDescent="0.25">
      <c r="A91" s="127" t="s">
        <v>229</v>
      </c>
      <c r="B91" s="113">
        <v>423</v>
      </c>
      <c r="C91" s="114" t="s">
        <v>230</v>
      </c>
      <c r="D91" s="114" t="s">
        <v>164</v>
      </c>
      <c r="E91" s="115" t="s">
        <v>231</v>
      </c>
      <c r="F91" s="161"/>
    </row>
    <row r="92" spans="1:6" s="135" customFormat="1" ht="12.5" x14ac:dyDescent="0.25">
      <c r="A92" s="127" t="s">
        <v>229</v>
      </c>
      <c r="B92" s="113">
        <v>197</v>
      </c>
      <c r="C92" s="114" t="s">
        <v>230</v>
      </c>
      <c r="D92" s="114" t="s">
        <v>227</v>
      </c>
      <c r="E92" s="115" t="s">
        <v>169</v>
      </c>
      <c r="F92" s="161"/>
    </row>
    <row r="93" spans="1:6" s="135" customFormat="1" ht="12.5" x14ac:dyDescent="0.25">
      <c r="A93" s="127" t="s">
        <v>232</v>
      </c>
      <c r="B93" s="113">
        <f>(51.86+19.6)</f>
        <v>71.460000000000008</v>
      </c>
      <c r="C93" s="114" t="s">
        <v>230</v>
      </c>
      <c r="D93" s="114" t="s">
        <v>233</v>
      </c>
      <c r="E93" s="115" t="s">
        <v>234</v>
      </c>
      <c r="F93" s="161"/>
    </row>
    <row r="94" spans="1:6" s="135" customFormat="1" ht="12.5" x14ac:dyDescent="0.25">
      <c r="A94" s="127"/>
      <c r="B94" s="113"/>
      <c r="C94" s="114"/>
      <c r="D94" s="114"/>
      <c r="E94" s="115"/>
      <c r="F94" s="161"/>
    </row>
    <row r="95" spans="1:6" s="135" customFormat="1" ht="12.5" x14ac:dyDescent="0.25">
      <c r="A95" s="127" t="s">
        <v>235</v>
      </c>
      <c r="B95" s="113">
        <f>(407+146+117)</f>
        <v>670</v>
      </c>
      <c r="C95" s="114" t="s">
        <v>236</v>
      </c>
      <c r="D95" s="114" t="s">
        <v>164</v>
      </c>
      <c r="E95" s="115" t="s">
        <v>174</v>
      </c>
      <c r="F95" s="161"/>
    </row>
    <row r="96" spans="1:6" s="135" customFormat="1" ht="12.5" x14ac:dyDescent="0.25">
      <c r="A96" s="127" t="s">
        <v>235</v>
      </c>
      <c r="B96" s="113">
        <v>226</v>
      </c>
      <c r="C96" s="114" t="s">
        <v>236</v>
      </c>
      <c r="D96" s="114" t="s">
        <v>191</v>
      </c>
      <c r="E96" s="115" t="s">
        <v>170</v>
      </c>
      <c r="F96" s="161"/>
    </row>
    <row r="97" spans="1:6" s="135" customFormat="1" ht="12.5" x14ac:dyDescent="0.25">
      <c r="A97" s="127" t="s">
        <v>235</v>
      </c>
      <c r="B97" s="113">
        <f>+(50.43+30.46+21.37+59.86)</f>
        <v>162.12</v>
      </c>
      <c r="C97" s="114" t="s">
        <v>236</v>
      </c>
      <c r="D97" s="114" t="s">
        <v>184</v>
      </c>
      <c r="E97" s="115" t="s">
        <v>207</v>
      </c>
      <c r="F97" s="161"/>
    </row>
    <row r="98" spans="1:6" s="135" customFormat="1" ht="12.5" x14ac:dyDescent="0.25">
      <c r="A98" s="127"/>
      <c r="B98" s="113"/>
      <c r="C98" s="114"/>
      <c r="D98" s="114"/>
      <c r="E98" s="115"/>
      <c r="F98" s="161"/>
    </row>
    <row r="99" spans="1:6" s="135" customFormat="1" ht="12.5" x14ac:dyDescent="0.25">
      <c r="A99" s="127">
        <v>45596</v>
      </c>
      <c r="B99" s="113">
        <v>62</v>
      </c>
      <c r="C99" s="114" t="s">
        <v>237</v>
      </c>
      <c r="D99" s="114"/>
      <c r="E99" s="115"/>
      <c r="F99" s="161"/>
    </row>
    <row r="100" spans="1:6" s="135" customFormat="1" ht="12.5" x14ac:dyDescent="0.25">
      <c r="A100" s="127"/>
      <c r="B100" s="113"/>
      <c r="C100" s="114"/>
      <c r="D100" s="114"/>
      <c r="E100" s="115"/>
      <c r="F100" s="161"/>
    </row>
    <row r="101" spans="1:6" s="135" customFormat="1" ht="12.5" x14ac:dyDescent="0.25">
      <c r="A101" s="127" t="s">
        <v>238</v>
      </c>
      <c r="B101" s="113">
        <v>372</v>
      </c>
      <c r="C101" s="114" t="s">
        <v>239</v>
      </c>
      <c r="D101" s="114" t="s">
        <v>164</v>
      </c>
      <c r="E101" s="115" t="s">
        <v>174</v>
      </c>
      <c r="F101" s="161"/>
    </row>
    <row r="102" spans="1:6" s="135" customFormat="1" ht="12.5" x14ac:dyDescent="0.25">
      <c r="A102" s="127" t="s">
        <v>238</v>
      </c>
      <c r="B102" s="113">
        <v>226</v>
      </c>
      <c r="C102" s="114" t="s">
        <v>239</v>
      </c>
      <c r="D102" s="114" t="s">
        <v>191</v>
      </c>
      <c r="E102" s="115" t="s">
        <v>170</v>
      </c>
      <c r="F102" s="161"/>
    </row>
    <row r="103" spans="1:6" s="135" customFormat="1" ht="12.5" x14ac:dyDescent="0.25">
      <c r="A103" s="127" t="s">
        <v>238</v>
      </c>
      <c r="B103" s="113">
        <f>+(41.45+50.4+23.56+51.65)</f>
        <v>167.06</v>
      </c>
      <c r="C103" s="114" t="s">
        <v>239</v>
      </c>
      <c r="D103" s="114" t="s">
        <v>184</v>
      </c>
      <c r="E103" s="115" t="s">
        <v>207</v>
      </c>
      <c r="F103" s="161"/>
    </row>
    <row r="104" spans="1:6" s="135" customFormat="1" ht="12.5" x14ac:dyDescent="0.25">
      <c r="A104" s="127"/>
      <c r="B104" s="113"/>
      <c r="C104" s="114"/>
      <c r="D104" s="114"/>
      <c r="E104" s="115"/>
      <c r="F104" s="161"/>
    </row>
    <row r="105" spans="1:6" s="135" customFormat="1" ht="12.5" x14ac:dyDescent="0.25">
      <c r="A105" s="127" t="s">
        <v>240</v>
      </c>
      <c r="B105" s="113">
        <v>648</v>
      </c>
      <c r="C105" s="114" t="s">
        <v>204</v>
      </c>
      <c r="D105" s="114" t="s">
        <v>173</v>
      </c>
      <c r="E105" s="115" t="s">
        <v>174</v>
      </c>
      <c r="F105" s="161"/>
    </row>
    <row r="106" spans="1:6" s="135" customFormat="1" ht="12.5" x14ac:dyDescent="0.25">
      <c r="A106" s="127" t="s">
        <v>240</v>
      </c>
      <c r="B106" s="113">
        <v>226</v>
      </c>
      <c r="C106" s="114" t="s">
        <v>204</v>
      </c>
      <c r="D106" s="114" t="s">
        <v>168</v>
      </c>
      <c r="E106" s="115" t="s">
        <v>170</v>
      </c>
      <c r="F106" s="161"/>
    </row>
    <row r="107" spans="1:6" s="135" customFormat="1" ht="12.5" x14ac:dyDescent="0.25">
      <c r="A107" s="127" t="s">
        <v>240</v>
      </c>
      <c r="B107" s="113">
        <v>117</v>
      </c>
      <c r="C107" s="114" t="s">
        <v>204</v>
      </c>
      <c r="D107" s="114" t="s">
        <v>241</v>
      </c>
      <c r="E107" s="115" t="s">
        <v>158</v>
      </c>
      <c r="F107" s="161"/>
    </row>
    <row r="108" spans="1:6" s="135" customFormat="1" ht="12.5" x14ac:dyDescent="0.25">
      <c r="A108" s="127" t="s">
        <v>240</v>
      </c>
      <c r="B108" s="113">
        <f>+(22+23+27+10)</f>
        <v>82</v>
      </c>
      <c r="C108" s="114" t="s">
        <v>204</v>
      </c>
      <c r="D108" s="114" t="s">
        <v>198</v>
      </c>
      <c r="E108" s="115" t="s">
        <v>176</v>
      </c>
      <c r="F108" s="161"/>
    </row>
    <row r="109" spans="1:6" s="135" customFormat="1" ht="12.5" x14ac:dyDescent="0.25">
      <c r="A109" s="127"/>
      <c r="B109" s="113"/>
      <c r="C109" s="114"/>
      <c r="D109" s="114"/>
      <c r="E109" s="115"/>
      <c r="F109" s="161"/>
    </row>
    <row r="110" spans="1:6" s="135" customFormat="1" ht="12.5" x14ac:dyDescent="0.25">
      <c r="A110" s="127" t="s">
        <v>242</v>
      </c>
      <c r="B110" s="113">
        <v>249.6</v>
      </c>
      <c r="C110" s="114" t="s">
        <v>243</v>
      </c>
      <c r="D110" s="114" t="s">
        <v>244</v>
      </c>
      <c r="E110" s="115" t="s">
        <v>245</v>
      </c>
      <c r="F110" s="161"/>
    </row>
    <row r="111" spans="1:6" s="135" customFormat="1" ht="12.5" x14ac:dyDescent="0.25">
      <c r="A111" s="127" t="s">
        <v>246</v>
      </c>
      <c r="B111" s="113">
        <v>733</v>
      </c>
      <c r="C111" s="114" t="s">
        <v>243</v>
      </c>
      <c r="D111" s="114" t="s">
        <v>247</v>
      </c>
      <c r="E111" s="115" t="s">
        <v>192</v>
      </c>
      <c r="F111" s="161"/>
    </row>
    <row r="112" spans="1:6" s="135" customFormat="1" ht="12.5" x14ac:dyDescent="0.25">
      <c r="A112" s="127" t="s">
        <v>242</v>
      </c>
      <c r="B112" s="113">
        <f>(110.95+31.3+18.26+22.43+26.09)</f>
        <v>209.03</v>
      </c>
      <c r="C112" s="114" t="s">
        <v>243</v>
      </c>
      <c r="D112" s="114" t="s">
        <v>248</v>
      </c>
      <c r="E112" s="115" t="s">
        <v>192</v>
      </c>
      <c r="F112" s="161"/>
    </row>
    <row r="113" spans="1:6" s="135" customFormat="1" ht="12.5" x14ac:dyDescent="0.25">
      <c r="A113" s="127" t="s">
        <v>249</v>
      </c>
      <c r="B113" s="113">
        <v>9.42</v>
      </c>
      <c r="C113" s="114" t="s">
        <v>243</v>
      </c>
      <c r="D113" s="114" t="s">
        <v>224</v>
      </c>
      <c r="E113" s="115" t="s">
        <v>192</v>
      </c>
      <c r="F113" s="161"/>
    </row>
    <row r="114" spans="1:6" s="135" customFormat="1" ht="12.5" x14ac:dyDescent="0.25">
      <c r="A114" s="127"/>
      <c r="B114" s="113"/>
      <c r="C114" s="114"/>
      <c r="D114" s="114"/>
      <c r="E114" s="115"/>
      <c r="F114" s="161"/>
    </row>
    <row r="115" spans="1:6" s="135" customFormat="1" ht="12.5" x14ac:dyDescent="0.25">
      <c r="A115" s="127" t="s">
        <v>250</v>
      </c>
      <c r="B115" s="113">
        <v>125</v>
      </c>
      <c r="C115" s="114" t="s">
        <v>243</v>
      </c>
      <c r="D115" s="114" t="s">
        <v>251</v>
      </c>
      <c r="E115" s="115" t="s">
        <v>252</v>
      </c>
      <c r="F115" s="161"/>
    </row>
    <row r="116" spans="1:6" s="135" customFormat="1" ht="12.5" x14ac:dyDescent="0.25">
      <c r="A116" s="127" t="s">
        <v>250</v>
      </c>
      <c r="B116" s="113">
        <v>1011</v>
      </c>
      <c r="C116" s="114" t="s">
        <v>243</v>
      </c>
      <c r="D116" s="114" t="s">
        <v>253</v>
      </c>
      <c r="E116" s="115" t="s">
        <v>192</v>
      </c>
      <c r="F116" s="161"/>
    </row>
    <row r="117" spans="1:6" s="135" customFormat="1" ht="12.5" x14ac:dyDescent="0.25">
      <c r="A117" s="127" t="s">
        <v>250</v>
      </c>
      <c r="B117" s="113">
        <f>(13.04+26.09+63.52+96.18+23.04+44.13+27.83+110+28.7+13.04)</f>
        <v>445.57</v>
      </c>
      <c r="C117" s="114" t="s">
        <v>243</v>
      </c>
      <c r="D117" s="114" t="s">
        <v>254</v>
      </c>
      <c r="E117" s="115" t="s">
        <v>192</v>
      </c>
      <c r="F117" s="161"/>
    </row>
    <row r="118" spans="1:6" s="135" customFormat="1" ht="12.5" x14ac:dyDescent="0.25">
      <c r="A118" s="127" t="s">
        <v>250</v>
      </c>
      <c r="B118" s="113">
        <f>(25.22+38.26+7.83)</f>
        <v>71.31</v>
      </c>
      <c r="C118" s="114" t="s">
        <v>243</v>
      </c>
      <c r="D118" s="114" t="s">
        <v>255</v>
      </c>
      <c r="E118" s="115" t="s">
        <v>192</v>
      </c>
      <c r="F118" s="161"/>
    </row>
    <row r="119" spans="1:6" s="134" customFormat="1" ht="12.5" x14ac:dyDescent="0.25">
      <c r="A119" s="127"/>
      <c r="B119" s="113"/>
      <c r="C119" s="114"/>
      <c r="D119" s="114"/>
      <c r="E119" s="115"/>
      <c r="F119" s="161"/>
    </row>
    <row r="120" spans="1:6" s="135" customFormat="1" ht="12.5" x14ac:dyDescent="0.25">
      <c r="A120" s="127">
        <v>45622</v>
      </c>
      <c r="B120" s="113">
        <v>738</v>
      </c>
      <c r="C120" s="114" t="s">
        <v>256</v>
      </c>
      <c r="D120" s="114" t="s">
        <v>201</v>
      </c>
      <c r="E120" s="115" t="s">
        <v>257</v>
      </c>
      <c r="F120" s="161"/>
    </row>
    <row r="121" spans="1:6" s="135" customFormat="1" ht="12.5" x14ac:dyDescent="0.25">
      <c r="A121" s="127">
        <v>45622</v>
      </c>
      <c r="B121" s="113">
        <f>(59.97+32.84)</f>
        <v>92.81</v>
      </c>
      <c r="C121" s="114" t="s">
        <v>256</v>
      </c>
      <c r="D121" s="114" t="s">
        <v>233</v>
      </c>
      <c r="E121" s="115" t="s">
        <v>258</v>
      </c>
      <c r="F121" s="161"/>
    </row>
    <row r="122" spans="1:6" s="135" customFormat="1" ht="12.5" x14ac:dyDescent="0.25">
      <c r="A122" s="127">
        <v>45622</v>
      </c>
      <c r="B122" s="113">
        <v>19</v>
      </c>
      <c r="C122" s="114" t="s">
        <v>256</v>
      </c>
      <c r="D122" s="114" t="s">
        <v>208</v>
      </c>
      <c r="E122" s="115" t="s">
        <v>192</v>
      </c>
      <c r="F122" s="161"/>
    </row>
    <row r="123" spans="1:6" s="135" customFormat="1" ht="12.5" x14ac:dyDescent="0.25">
      <c r="A123" s="127"/>
      <c r="B123" s="113"/>
      <c r="C123" s="114"/>
      <c r="D123" s="114"/>
      <c r="E123" s="115"/>
      <c r="F123" s="161"/>
    </row>
    <row r="124" spans="1:6" s="135" customFormat="1" ht="12.5" x14ac:dyDescent="0.25">
      <c r="A124" s="127">
        <v>45626</v>
      </c>
      <c r="B124" s="113">
        <v>61</v>
      </c>
      <c r="C124" s="114" t="s">
        <v>259</v>
      </c>
      <c r="D124" s="114"/>
      <c r="E124" s="115"/>
      <c r="F124" s="161"/>
    </row>
    <row r="125" spans="1:6" s="135" customFormat="1" ht="12.5" x14ac:dyDescent="0.25">
      <c r="A125" s="127"/>
      <c r="B125" s="113"/>
      <c r="C125" s="114"/>
      <c r="D125" s="114"/>
      <c r="E125" s="115"/>
      <c r="F125" s="161"/>
    </row>
    <row r="126" spans="1:6" s="135" customFormat="1" ht="12.5" x14ac:dyDescent="0.25">
      <c r="A126" s="127" t="s">
        <v>260</v>
      </c>
      <c r="B126" s="113">
        <v>312</v>
      </c>
      <c r="C126" s="114" t="s">
        <v>261</v>
      </c>
      <c r="D126" s="114" t="s">
        <v>262</v>
      </c>
      <c r="E126" s="115" t="s">
        <v>263</v>
      </c>
      <c r="F126" s="161"/>
    </row>
    <row r="127" spans="1:6" s="135" customFormat="1" ht="12.5" x14ac:dyDescent="0.25">
      <c r="A127" s="127" t="s">
        <v>260</v>
      </c>
      <c r="B127" s="113">
        <v>468</v>
      </c>
      <c r="C127" s="114" t="s">
        <v>261</v>
      </c>
      <c r="D127" s="114" t="s">
        <v>264</v>
      </c>
      <c r="E127" s="115" t="s">
        <v>265</v>
      </c>
      <c r="F127" s="161"/>
    </row>
    <row r="128" spans="1:6" s="135" customFormat="1" ht="12.5" x14ac:dyDescent="0.25">
      <c r="A128" s="127"/>
      <c r="B128" s="113"/>
      <c r="C128" s="114"/>
      <c r="D128" s="114"/>
      <c r="E128" s="115"/>
      <c r="F128" s="161"/>
    </row>
    <row r="129" spans="1:6" s="135" customFormat="1" ht="12.5" x14ac:dyDescent="0.25">
      <c r="A129" s="127" t="s">
        <v>266</v>
      </c>
      <c r="B129" s="113">
        <v>249.6</v>
      </c>
      <c r="C129" s="114" t="s">
        <v>243</v>
      </c>
      <c r="D129" s="114" t="s">
        <v>267</v>
      </c>
      <c r="E129" s="115" t="s">
        <v>245</v>
      </c>
      <c r="F129" s="161"/>
    </row>
    <row r="130" spans="1:6" s="135" customFormat="1" ht="12.5" x14ac:dyDescent="0.25">
      <c r="A130" s="127" t="s">
        <v>266</v>
      </c>
      <c r="B130" s="113">
        <v>1022</v>
      </c>
      <c r="C130" s="114" t="s">
        <v>243</v>
      </c>
      <c r="D130" s="114" t="s">
        <v>253</v>
      </c>
      <c r="E130" s="115" t="s">
        <v>192</v>
      </c>
      <c r="F130" s="161"/>
    </row>
    <row r="131" spans="1:6" s="135" customFormat="1" ht="12.5" x14ac:dyDescent="0.25">
      <c r="A131" s="127" t="s">
        <v>266</v>
      </c>
      <c r="B131" s="113">
        <f>(9.57+26.96+166.08+18.26+26.96+75.65+13.91)</f>
        <v>337.39000000000004</v>
      </c>
      <c r="C131" s="114" t="s">
        <v>243</v>
      </c>
      <c r="D131" s="114" t="s">
        <v>254</v>
      </c>
      <c r="E131" s="115" t="s">
        <v>192</v>
      </c>
      <c r="F131" s="161"/>
    </row>
    <row r="132" spans="1:6" s="135" customFormat="1" ht="12.5" x14ac:dyDescent="0.25">
      <c r="A132" s="127"/>
      <c r="B132" s="113"/>
      <c r="C132" s="114"/>
      <c r="D132" s="114"/>
      <c r="E132" s="115"/>
      <c r="F132" s="161"/>
    </row>
    <row r="133" spans="1:6" s="135" customFormat="1" ht="12.5" x14ac:dyDescent="0.25">
      <c r="A133" s="127" t="s">
        <v>268</v>
      </c>
      <c r="B133" s="113">
        <f>(407+81)</f>
        <v>488</v>
      </c>
      <c r="C133" s="114" t="s">
        <v>269</v>
      </c>
      <c r="D133" s="114" t="s">
        <v>164</v>
      </c>
      <c r="E133" s="115" t="s">
        <v>174</v>
      </c>
      <c r="F133" s="161"/>
    </row>
    <row r="134" spans="1:6" s="135" customFormat="1" ht="12.5" x14ac:dyDescent="0.25">
      <c r="A134" s="127" t="s">
        <v>268</v>
      </c>
      <c r="B134" s="113">
        <v>692</v>
      </c>
      <c r="C134" s="114" t="s">
        <v>269</v>
      </c>
      <c r="D134" s="114" t="s">
        <v>253</v>
      </c>
      <c r="E134" s="115" t="s">
        <v>170</v>
      </c>
      <c r="F134" s="161"/>
    </row>
    <row r="135" spans="1:6" s="135" customFormat="1" ht="12.5" x14ac:dyDescent="0.25">
      <c r="A135" s="127" t="s">
        <v>268</v>
      </c>
      <c r="B135" s="113">
        <f>+(22+51+31+22+54+18+24)</f>
        <v>222</v>
      </c>
      <c r="C135" s="114" t="s">
        <v>269</v>
      </c>
      <c r="D135" s="114" t="s">
        <v>270</v>
      </c>
      <c r="E135" s="115" t="s">
        <v>207</v>
      </c>
      <c r="F135" s="161"/>
    </row>
    <row r="136" spans="1:6" s="135" customFormat="1" ht="12.5" x14ac:dyDescent="0.25">
      <c r="A136" s="127"/>
      <c r="B136" s="113"/>
      <c r="C136" s="114"/>
      <c r="D136" s="114"/>
      <c r="E136" s="115"/>
      <c r="F136" s="161"/>
    </row>
    <row r="137" spans="1:6" s="135" customFormat="1" ht="12.5" x14ac:dyDescent="0.25">
      <c r="A137" s="127">
        <v>45657</v>
      </c>
      <c r="B137" s="113">
        <f>(59+19)</f>
        <v>78</v>
      </c>
      <c r="C137" s="114" t="s">
        <v>271</v>
      </c>
      <c r="D137" s="114"/>
      <c r="E137" s="115"/>
      <c r="F137" s="161"/>
    </row>
    <row r="138" spans="1:6" s="135" customFormat="1" ht="12.5" x14ac:dyDescent="0.25">
      <c r="A138" s="127">
        <v>45657</v>
      </c>
      <c r="B138" s="113">
        <v>65</v>
      </c>
      <c r="C138" s="114" t="s">
        <v>272</v>
      </c>
      <c r="D138" s="114"/>
      <c r="E138" s="115"/>
      <c r="F138" s="161"/>
    </row>
    <row r="139" spans="1:6" s="135" customFormat="1" ht="12.5" x14ac:dyDescent="0.25">
      <c r="A139" s="127"/>
      <c r="B139" s="113"/>
      <c r="C139" s="114"/>
      <c r="D139" s="114"/>
      <c r="E139" s="115"/>
      <c r="F139" s="161"/>
    </row>
    <row r="140" spans="1:6" s="135" customFormat="1" ht="15.75" customHeight="1" x14ac:dyDescent="0.25">
      <c r="A140" s="127" t="s">
        <v>273</v>
      </c>
      <c r="B140" s="113">
        <v>614</v>
      </c>
      <c r="C140" s="114" t="s">
        <v>274</v>
      </c>
      <c r="D140" s="114" t="s">
        <v>173</v>
      </c>
      <c r="E140" s="115" t="s">
        <v>275</v>
      </c>
      <c r="F140" s="161"/>
    </row>
    <row r="141" spans="1:6" s="135" customFormat="1" ht="15.75" customHeight="1" x14ac:dyDescent="0.25">
      <c r="A141" s="127" t="s">
        <v>276</v>
      </c>
      <c r="B141" s="113">
        <v>461.22</v>
      </c>
      <c r="C141" s="114" t="s">
        <v>274</v>
      </c>
      <c r="D141" s="114" t="s">
        <v>277</v>
      </c>
      <c r="E141" s="115" t="s">
        <v>170</v>
      </c>
      <c r="F141" s="161"/>
    </row>
    <row r="142" spans="1:6" s="135" customFormat="1" ht="12.5" x14ac:dyDescent="0.25">
      <c r="A142" s="127" t="s">
        <v>276</v>
      </c>
      <c r="B142" s="113">
        <f>(8.45+21.41+33+52)</f>
        <v>114.86</v>
      </c>
      <c r="C142" s="114" t="s">
        <v>274</v>
      </c>
      <c r="D142" s="114" t="s">
        <v>198</v>
      </c>
      <c r="E142" s="115" t="s">
        <v>170</v>
      </c>
      <c r="F142" s="161"/>
    </row>
    <row r="143" spans="1:6" s="135" customFormat="1" ht="12.5" x14ac:dyDescent="0.25">
      <c r="A143" s="127"/>
      <c r="B143" s="113"/>
      <c r="C143" s="114"/>
      <c r="D143" s="114"/>
      <c r="E143" s="115"/>
      <c r="F143" s="161"/>
    </row>
    <row r="144" spans="1:6" s="135" customFormat="1" ht="12.5" x14ac:dyDescent="0.25">
      <c r="A144" s="127" t="s">
        <v>278</v>
      </c>
      <c r="B144" s="113">
        <v>430</v>
      </c>
      <c r="C144" s="114" t="s">
        <v>274</v>
      </c>
      <c r="D144" s="114" t="s">
        <v>173</v>
      </c>
      <c r="E144" s="115" t="s">
        <v>174</v>
      </c>
      <c r="F144" s="161"/>
    </row>
    <row r="145" spans="1:6" s="135" customFormat="1" ht="12.5" x14ac:dyDescent="0.25">
      <c r="A145" s="127" t="s">
        <v>278</v>
      </c>
      <c r="B145" s="113">
        <v>230.61</v>
      </c>
      <c r="C145" s="114" t="s">
        <v>274</v>
      </c>
      <c r="D145" s="114" t="s">
        <v>279</v>
      </c>
      <c r="E145" s="115" t="s">
        <v>170</v>
      </c>
      <c r="F145" s="161"/>
    </row>
    <row r="146" spans="1:6" s="135" customFormat="1" ht="12.5" x14ac:dyDescent="0.25">
      <c r="A146" s="127" t="s">
        <v>278</v>
      </c>
      <c r="B146" s="113">
        <f>(50.37+53.07+64.57+47.83)</f>
        <v>215.83999999999997</v>
      </c>
      <c r="C146" s="114" t="s">
        <v>274</v>
      </c>
      <c r="D146" s="114" t="s">
        <v>280</v>
      </c>
      <c r="E146" s="115" t="s">
        <v>281</v>
      </c>
      <c r="F146" s="161"/>
    </row>
    <row r="147" spans="1:6" s="135" customFormat="1" ht="12.5" x14ac:dyDescent="0.25">
      <c r="A147" s="127"/>
      <c r="B147" s="113"/>
      <c r="C147" s="114"/>
      <c r="D147" s="114"/>
      <c r="E147" s="115"/>
      <c r="F147" s="161"/>
    </row>
    <row r="148" spans="1:6" s="135" customFormat="1" ht="12.5" x14ac:dyDescent="0.25">
      <c r="A148" s="127">
        <v>45688</v>
      </c>
      <c r="B148" s="113">
        <v>43</v>
      </c>
      <c r="C148" s="114" t="s">
        <v>282</v>
      </c>
      <c r="D148" s="114"/>
      <c r="E148" s="115"/>
      <c r="F148" s="161"/>
    </row>
    <row r="149" spans="1:6" s="135" customFormat="1" ht="12.5" x14ac:dyDescent="0.25">
      <c r="A149" s="127">
        <v>45688</v>
      </c>
      <c r="B149" s="113">
        <v>21</v>
      </c>
      <c r="C149" s="114" t="s">
        <v>283</v>
      </c>
      <c r="D149" s="114"/>
      <c r="E149" s="115"/>
      <c r="F149" s="161"/>
    </row>
    <row r="150" spans="1:6" s="135" customFormat="1" ht="12.5" x14ac:dyDescent="0.25">
      <c r="A150" s="127"/>
      <c r="B150" s="113"/>
      <c r="C150" s="114"/>
      <c r="D150" s="114"/>
      <c r="E150" s="115"/>
      <c r="F150" s="161"/>
    </row>
    <row r="151" spans="1:6" s="135" customFormat="1" ht="12.5" x14ac:dyDescent="0.25">
      <c r="A151" s="127" t="s">
        <v>284</v>
      </c>
      <c r="B151" s="113">
        <v>390</v>
      </c>
      <c r="C151" s="114" t="s">
        <v>274</v>
      </c>
      <c r="D151" s="114" t="s">
        <v>173</v>
      </c>
      <c r="E151" s="115" t="s">
        <v>285</v>
      </c>
      <c r="F151" s="161"/>
    </row>
    <row r="152" spans="1:6" s="135" customFormat="1" ht="12.5" x14ac:dyDescent="0.25">
      <c r="A152" s="127" t="s">
        <v>284</v>
      </c>
      <c r="B152" s="113">
        <v>226</v>
      </c>
      <c r="C152" s="114" t="s">
        <v>274</v>
      </c>
      <c r="D152" s="114" t="s">
        <v>168</v>
      </c>
      <c r="E152" s="115" t="s">
        <v>170</v>
      </c>
      <c r="F152" s="161"/>
    </row>
    <row r="153" spans="1:6" s="135" customFormat="1" ht="12.5" x14ac:dyDescent="0.25">
      <c r="A153" s="127" t="s">
        <v>284</v>
      </c>
      <c r="B153" s="113">
        <v>56.52</v>
      </c>
      <c r="C153" s="114" t="s">
        <v>274</v>
      </c>
      <c r="D153" s="114" t="s">
        <v>286</v>
      </c>
      <c r="E153" s="115" t="s">
        <v>170</v>
      </c>
      <c r="F153" s="161"/>
    </row>
    <row r="154" spans="1:6" s="135" customFormat="1" ht="12.5" x14ac:dyDescent="0.25">
      <c r="A154" s="127" t="s">
        <v>284</v>
      </c>
      <c r="B154" s="113">
        <f>(57.96+61.2+50+52)</f>
        <v>221.16</v>
      </c>
      <c r="C154" s="114" t="s">
        <v>274</v>
      </c>
      <c r="D154" s="114" t="s">
        <v>287</v>
      </c>
      <c r="E154" s="115"/>
      <c r="F154" s="161"/>
    </row>
    <row r="155" spans="1:6" s="135" customFormat="1" ht="12.5" x14ac:dyDescent="0.25">
      <c r="A155" s="127"/>
      <c r="B155" s="113"/>
      <c r="C155" s="114"/>
      <c r="D155" s="114"/>
      <c r="E155" s="115"/>
      <c r="F155" s="161"/>
    </row>
    <row r="156" spans="1:6" s="135" customFormat="1" ht="12.5" x14ac:dyDescent="0.25">
      <c r="A156" s="127" t="s">
        <v>288</v>
      </c>
      <c r="B156" s="113">
        <v>408</v>
      </c>
      <c r="C156" s="114" t="s">
        <v>274</v>
      </c>
      <c r="D156" s="114" t="s">
        <v>173</v>
      </c>
      <c r="E156" s="115" t="s">
        <v>174</v>
      </c>
      <c r="F156" s="161"/>
    </row>
    <row r="157" spans="1:6" s="135" customFormat="1" ht="12.5" x14ac:dyDescent="0.25">
      <c r="A157" s="127" t="s">
        <v>288</v>
      </c>
      <c r="B157" s="113">
        <v>452.18</v>
      </c>
      <c r="C157" s="114" t="s">
        <v>274</v>
      </c>
      <c r="D157" s="114" t="s">
        <v>264</v>
      </c>
      <c r="E157" s="115" t="s">
        <v>170</v>
      </c>
      <c r="F157" s="161"/>
    </row>
    <row r="158" spans="1:6" s="135" customFormat="1" ht="12.5" x14ac:dyDescent="0.25">
      <c r="A158" s="127" t="s">
        <v>288</v>
      </c>
      <c r="B158" s="113">
        <f>(52+10+26+46)</f>
        <v>134</v>
      </c>
      <c r="C158" s="114" t="s">
        <v>274</v>
      </c>
      <c r="D158" s="114" t="s">
        <v>198</v>
      </c>
      <c r="E158" s="115" t="s">
        <v>170</v>
      </c>
      <c r="F158" s="161"/>
    </row>
    <row r="159" spans="1:6" s="135" customFormat="1" ht="12.5" x14ac:dyDescent="0.25">
      <c r="A159" s="127"/>
      <c r="B159" s="113"/>
      <c r="C159" s="114"/>
      <c r="D159" s="114"/>
      <c r="E159" s="115"/>
      <c r="F159" s="161"/>
    </row>
    <row r="160" spans="1:6" s="135" customFormat="1" ht="12.5" x14ac:dyDescent="0.25">
      <c r="A160" s="127" t="s">
        <v>289</v>
      </c>
      <c r="B160" s="113">
        <v>655</v>
      </c>
      <c r="C160" s="114" t="s">
        <v>290</v>
      </c>
      <c r="D160" s="114" t="s">
        <v>173</v>
      </c>
      <c r="E160" s="115" t="s">
        <v>174</v>
      </c>
      <c r="F160" s="161"/>
    </row>
    <row r="161" spans="1:6" s="135" customFormat="1" ht="12.5" x14ac:dyDescent="0.25">
      <c r="A161" s="127" t="s">
        <v>289</v>
      </c>
      <c r="B161" s="113">
        <v>226.09</v>
      </c>
      <c r="C161" s="114" t="s">
        <v>290</v>
      </c>
      <c r="D161" s="114" t="s">
        <v>291</v>
      </c>
      <c r="E161" s="115" t="s">
        <v>170</v>
      </c>
      <c r="F161" s="161"/>
    </row>
    <row r="162" spans="1:6" s="135" customFormat="1" ht="12.5" x14ac:dyDescent="0.25">
      <c r="A162" s="127" t="s">
        <v>289</v>
      </c>
      <c r="B162" s="113">
        <v>21.05</v>
      </c>
      <c r="C162" s="114" t="s">
        <v>290</v>
      </c>
      <c r="D162" s="114" t="s">
        <v>194</v>
      </c>
      <c r="E162" s="115" t="s">
        <v>207</v>
      </c>
      <c r="F162" s="161"/>
    </row>
    <row r="163" spans="1:6" s="135" customFormat="1" ht="12.5" x14ac:dyDescent="0.25">
      <c r="A163" s="127" t="s">
        <v>289</v>
      </c>
      <c r="B163" s="113">
        <v>126.96</v>
      </c>
      <c r="C163" s="114" t="s">
        <v>290</v>
      </c>
      <c r="D163" s="114" t="s">
        <v>241</v>
      </c>
      <c r="E163" s="115" t="s">
        <v>158</v>
      </c>
      <c r="F163" s="161"/>
    </row>
    <row r="164" spans="1:6" s="135" customFormat="1" ht="12.5" x14ac:dyDescent="0.25">
      <c r="A164" s="127"/>
      <c r="B164" s="113"/>
      <c r="C164" s="114"/>
      <c r="D164" s="114"/>
      <c r="E164" s="115"/>
      <c r="F164" s="161"/>
    </row>
    <row r="165" spans="1:6" s="135" customFormat="1" ht="12.5" x14ac:dyDescent="0.25">
      <c r="A165" s="127" t="s">
        <v>292</v>
      </c>
      <c r="B165" s="113">
        <v>430</v>
      </c>
      <c r="C165" s="114" t="s">
        <v>293</v>
      </c>
      <c r="D165" s="114" t="s">
        <v>173</v>
      </c>
      <c r="E165" s="115" t="s">
        <v>174</v>
      </c>
      <c r="F165" s="161"/>
    </row>
    <row r="166" spans="1:6" s="135" customFormat="1" ht="12.5" x14ac:dyDescent="0.25">
      <c r="A166" s="127" t="s">
        <v>292</v>
      </c>
      <c r="B166" s="113">
        <v>452.18</v>
      </c>
      <c r="C166" s="114" t="s">
        <v>293</v>
      </c>
      <c r="D166" s="114" t="s">
        <v>277</v>
      </c>
      <c r="E166" s="115" t="s">
        <v>170</v>
      </c>
      <c r="F166" s="161"/>
    </row>
    <row r="167" spans="1:6" s="135" customFormat="1" ht="12.5" x14ac:dyDescent="0.25">
      <c r="A167" s="127" t="s">
        <v>292</v>
      </c>
      <c r="B167" s="113">
        <f>(28.7+55.61+12)</f>
        <v>96.31</v>
      </c>
      <c r="C167" s="114" t="s">
        <v>293</v>
      </c>
      <c r="D167" s="114" t="s">
        <v>294</v>
      </c>
      <c r="E167" s="115" t="s">
        <v>170</v>
      </c>
      <c r="F167" s="161"/>
    </row>
    <row r="168" spans="1:6" s="135" customFormat="1" ht="12.5" x14ac:dyDescent="0.25">
      <c r="A168" s="127"/>
      <c r="B168" s="113"/>
      <c r="C168" s="114"/>
      <c r="D168" s="114"/>
      <c r="E168" s="115"/>
      <c r="F168" s="161"/>
    </row>
    <row r="169" spans="1:6" s="135" customFormat="1" ht="12.5" x14ac:dyDescent="0.25">
      <c r="A169" s="127">
        <v>45716</v>
      </c>
      <c r="B169" s="113">
        <v>37</v>
      </c>
      <c r="C169" s="114"/>
      <c r="D169" s="114"/>
      <c r="E169" s="115"/>
      <c r="F169" s="161"/>
    </row>
    <row r="170" spans="1:6" s="135" customFormat="1" ht="12.5" x14ac:dyDescent="0.25">
      <c r="A170" s="127">
        <v>45716</v>
      </c>
      <c r="B170" s="113">
        <v>10</v>
      </c>
      <c r="C170" s="114"/>
      <c r="D170" s="114"/>
      <c r="E170" s="115"/>
      <c r="F170" s="161"/>
    </row>
    <row r="171" spans="1:6" s="135" customFormat="1" ht="12.5" x14ac:dyDescent="0.25">
      <c r="A171" s="127"/>
      <c r="B171" s="113"/>
      <c r="C171" s="114"/>
      <c r="D171" s="114"/>
      <c r="E171" s="115"/>
      <c r="F171" s="161"/>
    </row>
    <row r="172" spans="1:6" s="135" customFormat="1" ht="12.5" x14ac:dyDescent="0.25">
      <c r="A172" s="127" t="s">
        <v>295</v>
      </c>
      <c r="B172" s="113">
        <v>168</v>
      </c>
      <c r="C172" s="114" t="s">
        <v>296</v>
      </c>
      <c r="D172" s="114" t="s">
        <v>297</v>
      </c>
      <c r="E172" s="115" t="s">
        <v>174</v>
      </c>
      <c r="F172" s="161"/>
    </row>
    <row r="173" spans="1:6" s="135" customFormat="1" ht="12.5" x14ac:dyDescent="0.25">
      <c r="A173" s="127" t="s">
        <v>295</v>
      </c>
      <c r="B173" s="113">
        <v>452</v>
      </c>
      <c r="C173" s="135" t="s">
        <v>296</v>
      </c>
      <c r="D173" s="114" t="s">
        <v>277</v>
      </c>
      <c r="E173" s="115" t="s">
        <v>170</v>
      </c>
      <c r="F173" s="161"/>
    </row>
    <row r="174" spans="1:6" s="135" customFormat="1" ht="12.5" x14ac:dyDescent="0.25">
      <c r="A174" s="127" t="s">
        <v>295</v>
      </c>
      <c r="B174" s="113">
        <f>(50.19+8.45+70.96+53)</f>
        <v>182.6</v>
      </c>
      <c r="C174" s="114" t="s">
        <v>296</v>
      </c>
      <c r="D174" s="114" t="s">
        <v>298</v>
      </c>
      <c r="E174" s="115" t="s">
        <v>299</v>
      </c>
      <c r="F174" s="161"/>
    </row>
    <row r="175" spans="1:6" s="135" customFormat="1" ht="12.5" x14ac:dyDescent="0.25">
      <c r="A175" s="127"/>
      <c r="B175" s="113"/>
      <c r="C175" s="114"/>
      <c r="D175" s="114"/>
      <c r="E175" s="115"/>
      <c r="F175" s="161"/>
    </row>
    <row r="176" spans="1:6" s="135" customFormat="1" ht="12.5" x14ac:dyDescent="0.25">
      <c r="A176" s="127" t="s">
        <v>300</v>
      </c>
      <c r="B176" s="113">
        <v>525.48</v>
      </c>
      <c r="C176" s="114" t="s">
        <v>301</v>
      </c>
      <c r="D176" s="114" t="s">
        <v>173</v>
      </c>
      <c r="E176" s="115" t="s">
        <v>174</v>
      </c>
      <c r="F176" s="161"/>
    </row>
    <row r="177" spans="1:6" s="135" customFormat="1" ht="12.5" x14ac:dyDescent="0.25">
      <c r="A177" s="127" t="s">
        <v>300</v>
      </c>
      <c r="B177" s="113">
        <v>102.61</v>
      </c>
      <c r="C177" s="114" t="s">
        <v>301</v>
      </c>
      <c r="D177" s="114" t="s">
        <v>302</v>
      </c>
      <c r="E177" s="115" t="s">
        <v>303</v>
      </c>
      <c r="F177" s="161"/>
    </row>
    <row r="178" spans="1:6" s="135" customFormat="1" ht="12.5" x14ac:dyDescent="0.25">
      <c r="A178" s="127" t="s">
        <v>300</v>
      </c>
      <c r="B178" s="113">
        <v>226</v>
      </c>
      <c r="C178" s="114" t="s">
        <v>301</v>
      </c>
      <c r="D178" s="114" t="s">
        <v>304</v>
      </c>
      <c r="E178" s="115" t="s">
        <v>170</v>
      </c>
      <c r="F178" s="161"/>
    </row>
    <row r="179" spans="1:6" s="135" customFormat="1" ht="12.5" x14ac:dyDescent="0.25">
      <c r="A179" s="127" t="s">
        <v>300</v>
      </c>
      <c r="B179" s="113">
        <f>24.03+63.86</f>
        <v>87.89</v>
      </c>
      <c r="C179" s="114" t="s">
        <v>301</v>
      </c>
      <c r="D179" s="114" t="s">
        <v>280</v>
      </c>
      <c r="E179" s="115" t="s">
        <v>195</v>
      </c>
      <c r="F179" s="161"/>
    </row>
    <row r="180" spans="1:6" s="135" customFormat="1" ht="12.5" x14ac:dyDescent="0.25">
      <c r="A180" s="127"/>
      <c r="B180" s="113"/>
      <c r="C180" s="114"/>
      <c r="D180" s="114"/>
      <c r="E180" s="115"/>
      <c r="F180" s="161"/>
    </row>
    <row r="181" spans="1:6" s="135" customFormat="1" ht="12.5" x14ac:dyDescent="0.25">
      <c r="A181" s="127" t="s">
        <v>305</v>
      </c>
      <c r="B181" s="113">
        <v>291.2</v>
      </c>
      <c r="C181" s="114" t="s">
        <v>306</v>
      </c>
      <c r="D181" s="114" t="s">
        <v>307</v>
      </c>
      <c r="E181" s="115" t="s">
        <v>308</v>
      </c>
      <c r="F181" s="161"/>
    </row>
    <row r="182" spans="1:6" s="135" customFormat="1" ht="12.5" x14ac:dyDescent="0.25">
      <c r="A182" s="127"/>
      <c r="B182" s="113"/>
      <c r="C182" s="114"/>
      <c r="D182" s="114"/>
      <c r="E182" s="115"/>
      <c r="F182" s="161"/>
    </row>
    <row r="183" spans="1:6" s="135" customFormat="1" ht="12.5" x14ac:dyDescent="0.25">
      <c r="A183" s="127" t="s">
        <v>309</v>
      </c>
      <c r="B183" s="113">
        <v>609.83000000000004</v>
      </c>
      <c r="C183" s="114" t="s">
        <v>310</v>
      </c>
      <c r="D183" s="114" t="s">
        <v>173</v>
      </c>
      <c r="E183" s="115" t="s">
        <v>174</v>
      </c>
      <c r="F183" s="161"/>
    </row>
    <row r="184" spans="1:6" s="135" customFormat="1" ht="12.5" x14ac:dyDescent="0.25">
      <c r="A184" s="127" t="s">
        <v>309</v>
      </c>
      <c r="B184" s="113">
        <v>226</v>
      </c>
      <c r="C184" s="114" t="s">
        <v>310</v>
      </c>
      <c r="D184" s="114" t="s">
        <v>304</v>
      </c>
      <c r="E184" s="115" t="s">
        <v>170</v>
      </c>
      <c r="F184" s="161"/>
    </row>
    <row r="185" spans="1:6" s="135" customFormat="1" ht="12.5" x14ac:dyDescent="0.25">
      <c r="A185" s="127" t="s">
        <v>309</v>
      </c>
      <c r="B185" s="113">
        <v>40.869999999999997</v>
      </c>
      <c r="C185" s="114" t="s">
        <v>310</v>
      </c>
      <c r="D185" s="114" t="s">
        <v>311</v>
      </c>
      <c r="E185" s="115" t="s">
        <v>170</v>
      </c>
      <c r="F185" s="161"/>
    </row>
    <row r="186" spans="1:6" s="135" customFormat="1" ht="12.5" x14ac:dyDescent="0.25">
      <c r="A186" s="127" t="s">
        <v>309</v>
      </c>
      <c r="B186" s="113">
        <f>(64.92+52)</f>
        <v>116.92</v>
      </c>
      <c r="C186" s="114" t="s">
        <v>310</v>
      </c>
      <c r="D186" s="114" t="s">
        <v>194</v>
      </c>
      <c r="E186" s="115"/>
      <c r="F186" s="161"/>
    </row>
    <row r="187" spans="1:6" s="135" customFormat="1" ht="12.5" x14ac:dyDescent="0.25">
      <c r="A187" s="127"/>
      <c r="B187" s="113"/>
      <c r="C187" s="114"/>
      <c r="D187" s="114"/>
      <c r="E187" s="115"/>
      <c r="F187" s="161"/>
    </row>
    <row r="188" spans="1:6" s="135" customFormat="1" ht="12.5" x14ac:dyDescent="0.25">
      <c r="A188" s="127" t="s">
        <v>312</v>
      </c>
      <c r="B188" s="113">
        <v>533</v>
      </c>
      <c r="C188" s="114" t="s">
        <v>313</v>
      </c>
      <c r="D188" s="114" t="s">
        <v>173</v>
      </c>
      <c r="E188" s="115" t="s">
        <v>174</v>
      </c>
      <c r="F188" s="161"/>
    </row>
    <row r="189" spans="1:6" s="135" customFormat="1" ht="12.5" x14ac:dyDescent="0.25">
      <c r="A189" s="127" t="s">
        <v>312</v>
      </c>
      <c r="B189" s="113">
        <v>452</v>
      </c>
      <c r="C189" s="114" t="s">
        <v>313</v>
      </c>
      <c r="D189" s="114" t="s">
        <v>314</v>
      </c>
      <c r="E189" s="115" t="s">
        <v>170</v>
      </c>
      <c r="F189" s="161"/>
    </row>
    <row r="190" spans="1:6" s="135" customFormat="1" ht="12.5" x14ac:dyDescent="0.25">
      <c r="A190" s="127" t="s">
        <v>312</v>
      </c>
      <c r="B190" s="113">
        <f>(50+29+47+50)</f>
        <v>176</v>
      </c>
      <c r="C190" s="114" t="s">
        <v>313</v>
      </c>
      <c r="D190" s="114" t="s">
        <v>194</v>
      </c>
      <c r="E190" s="115"/>
      <c r="F190" s="161"/>
    </row>
    <row r="191" spans="1:6" s="135" customFormat="1" ht="12.5" x14ac:dyDescent="0.25">
      <c r="A191" s="127"/>
      <c r="B191" s="113"/>
      <c r="C191" s="114"/>
      <c r="D191" s="114"/>
      <c r="E191" s="115"/>
      <c r="F191" s="161"/>
    </row>
    <row r="192" spans="1:6" s="135" customFormat="1" ht="12.5" x14ac:dyDescent="0.25">
      <c r="A192" s="127">
        <v>45717</v>
      </c>
      <c r="B192" s="113">
        <v>124</v>
      </c>
      <c r="C192" s="114" t="s">
        <v>315</v>
      </c>
      <c r="D192" s="114"/>
      <c r="E192" s="115"/>
      <c r="F192" s="161"/>
    </row>
    <row r="193" spans="1:6" s="135" customFormat="1" ht="12.5" x14ac:dyDescent="0.25">
      <c r="A193" s="127"/>
      <c r="B193" s="113"/>
      <c r="C193" s="114"/>
      <c r="D193" s="114"/>
      <c r="E193" s="115"/>
      <c r="F193" s="161"/>
    </row>
    <row r="194" spans="1:6" s="135" customFormat="1" ht="12.5" x14ac:dyDescent="0.25">
      <c r="A194" s="127" t="s">
        <v>316</v>
      </c>
      <c r="B194" s="113">
        <v>470.66</v>
      </c>
      <c r="C194" s="114" t="s">
        <v>317</v>
      </c>
      <c r="D194" s="114" t="s">
        <v>173</v>
      </c>
      <c r="E194" s="115" t="s">
        <v>174</v>
      </c>
      <c r="F194" s="161"/>
    </row>
    <row r="195" spans="1:6" s="135" customFormat="1" ht="12.5" x14ac:dyDescent="0.25">
      <c r="A195" s="127" t="s">
        <v>316</v>
      </c>
      <c r="B195" s="113">
        <v>230.61</v>
      </c>
      <c r="C195" s="114" t="s">
        <v>318</v>
      </c>
      <c r="D195" s="114" t="s">
        <v>168</v>
      </c>
      <c r="E195" s="115" t="s">
        <v>170</v>
      </c>
      <c r="F195" s="161"/>
    </row>
    <row r="196" spans="1:6" s="135" customFormat="1" ht="12.5" x14ac:dyDescent="0.25">
      <c r="A196" s="127" t="s">
        <v>316</v>
      </c>
      <c r="B196" s="113">
        <f>(24+26+8)</f>
        <v>58</v>
      </c>
      <c r="C196" s="114" t="s">
        <v>318</v>
      </c>
      <c r="D196" s="114" t="s">
        <v>194</v>
      </c>
      <c r="E196" s="115"/>
      <c r="F196" s="161"/>
    </row>
    <row r="197" spans="1:6" s="135" customFormat="1" ht="12.5" x14ac:dyDescent="0.25">
      <c r="A197" s="127" t="s">
        <v>316</v>
      </c>
      <c r="B197" s="113">
        <v>134</v>
      </c>
      <c r="C197" s="114" t="s">
        <v>319</v>
      </c>
      <c r="D197" s="114" t="s">
        <v>320</v>
      </c>
      <c r="E197" s="115" t="s">
        <v>158</v>
      </c>
      <c r="F197" s="161"/>
    </row>
    <row r="198" spans="1:6" s="135" customFormat="1" ht="12.5" x14ac:dyDescent="0.25">
      <c r="A198" s="127"/>
      <c r="B198" s="113"/>
      <c r="C198" s="114"/>
      <c r="D198" s="114"/>
      <c r="E198" s="115"/>
      <c r="F198" s="161"/>
    </row>
    <row r="199" spans="1:6" s="135" customFormat="1" ht="12.5" x14ac:dyDescent="0.25">
      <c r="A199" s="127" t="s">
        <v>321</v>
      </c>
      <c r="B199" s="113">
        <v>500.18</v>
      </c>
      <c r="C199" s="114" t="s">
        <v>322</v>
      </c>
      <c r="D199" s="114" t="s">
        <v>323</v>
      </c>
      <c r="E199" s="115" t="s">
        <v>174</v>
      </c>
      <c r="F199" s="161"/>
    </row>
    <row r="200" spans="1:6" s="135" customFormat="1" ht="12.5" x14ac:dyDescent="0.25">
      <c r="A200" s="127" t="s">
        <v>321</v>
      </c>
      <c r="B200" s="113">
        <v>678.27</v>
      </c>
      <c r="C200" s="114" t="s">
        <v>322</v>
      </c>
      <c r="D200" s="114" t="s">
        <v>324</v>
      </c>
      <c r="E200" s="115" t="s">
        <v>170</v>
      </c>
      <c r="F200" s="161"/>
    </row>
    <row r="201" spans="1:6" s="135" customFormat="1" ht="12.5" x14ac:dyDescent="0.25">
      <c r="A201" s="127" t="s">
        <v>321</v>
      </c>
      <c r="B201" s="113">
        <f>(51.27+8.45+53.93+31+8)</f>
        <v>152.65</v>
      </c>
      <c r="C201" s="114" t="s">
        <v>322</v>
      </c>
      <c r="D201" s="114" t="s">
        <v>194</v>
      </c>
      <c r="E201" s="115" t="s">
        <v>170</v>
      </c>
      <c r="F201" s="161"/>
    </row>
    <row r="202" spans="1:6" s="135" customFormat="1" ht="12.5" x14ac:dyDescent="0.25">
      <c r="A202" s="127"/>
      <c r="B202" s="113"/>
      <c r="C202" s="114"/>
      <c r="D202" s="114"/>
      <c r="E202" s="115"/>
      <c r="F202" s="161"/>
    </row>
    <row r="203" spans="1:6" s="135" customFormat="1" ht="12.5" x14ac:dyDescent="0.25">
      <c r="A203" s="127" t="s">
        <v>325</v>
      </c>
      <c r="B203" s="113">
        <v>403.66</v>
      </c>
      <c r="C203" s="114" t="s">
        <v>326</v>
      </c>
      <c r="D203" s="114" t="s">
        <v>173</v>
      </c>
      <c r="E203" s="115" t="s">
        <v>231</v>
      </c>
      <c r="F203" s="161"/>
    </row>
    <row r="204" spans="1:6" s="135" customFormat="1" ht="12.5" x14ac:dyDescent="0.25">
      <c r="A204" s="127" t="s">
        <v>325</v>
      </c>
      <c r="B204" s="113">
        <v>958.7</v>
      </c>
      <c r="C204" s="114" t="s">
        <v>326</v>
      </c>
      <c r="D204" s="114" t="s">
        <v>324</v>
      </c>
      <c r="E204" s="115" t="s">
        <v>169</v>
      </c>
      <c r="F204" s="161"/>
    </row>
    <row r="205" spans="1:6" s="135" customFormat="1" ht="12.5" x14ac:dyDescent="0.25">
      <c r="A205" s="127" t="s">
        <v>325</v>
      </c>
      <c r="B205" s="113">
        <f>(40+32)</f>
        <v>72</v>
      </c>
      <c r="C205" s="114" t="s">
        <v>326</v>
      </c>
      <c r="D205" s="114" t="s">
        <v>327</v>
      </c>
      <c r="E205" s="115"/>
      <c r="F205" s="161"/>
    </row>
    <row r="206" spans="1:6" s="135" customFormat="1" ht="12.5" x14ac:dyDescent="0.25">
      <c r="A206" s="127" t="s">
        <v>325</v>
      </c>
      <c r="B206" s="113">
        <v>148.69999999999999</v>
      </c>
      <c r="C206" s="114" t="s">
        <v>326</v>
      </c>
      <c r="D206" s="114" t="s">
        <v>328</v>
      </c>
      <c r="E206" s="115" t="s">
        <v>158</v>
      </c>
      <c r="F206" s="161"/>
    </row>
    <row r="207" spans="1:6" s="135" customFormat="1" ht="12.5" x14ac:dyDescent="0.25">
      <c r="A207" s="127" t="s">
        <v>325</v>
      </c>
      <c r="B207" s="113">
        <f>(21.73+10.43)</f>
        <v>32.159999999999997</v>
      </c>
      <c r="C207" s="114" t="s">
        <v>326</v>
      </c>
      <c r="D207" s="114" t="s">
        <v>329</v>
      </c>
      <c r="E207" s="115" t="s">
        <v>169</v>
      </c>
      <c r="F207" s="161"/>
    </row>
    <row r="208" spans="1:6" s="135" customFormat="1" ht="12.5" x14ac:dyDescent="0.25">
      <c r="A208" s="112"/>
      <c r="B208" s="113"/>
      <c r="C208" s="114"/>
      <c r="D208" s="114"/>
      <c r="E208" s="115"/>
      <c r="F208" s="161"/>
    </row>
    <row r="209" spans="1:6" s="135" customFormat="1" ht="12.5" x14ac:dyDescent="0.25">
      <c r="A209" s="112" t="s">
        <v>330</v>
      </c>
      <c r="B209" s="113">
        <v>445</v>
      </c>
      <c r="C209" s="114" t="s">
        <v>331</v>
      </c>
      <c r="D209" s="114" t="s">
        <v>173</v>
      </c>
      <c r="E209" s="115" t="s">
        <v>174</v>
      </c>
      <c r="F209" s="161"/>
    </row>
    <row r="210" spans="1:6" s="135" customFormat="1" ht="12.5" x14ac:dyDescent="0.25">
      <c r="A210" s="112" t="s">
        <v>330</v>
      </c>
      <c r="B210" s="113">
        <v>461.22</v>
      </c>
      <c r="C210" s="114" t="s">
        <v>331</v>
      </c>
      <c r="D210" s="114" t="s">
        <v>277</v>
      </c>
      <c r="E210" s="115" t="s">
        <v>170</v>
      </c>
      <c r="F210" s="161"/>
    </row>
    <row r="211" spans="1:6" s="135" customFormat="1" ht="12.5" x14ac:dyDescent="0.25">
      <c r="A211" s="112" t="s">
        <v>330</v>
      </c>
      <c r="B211" s="113">
        <f>(43+53)</f>
        <v>96</v>
      </c>
      <c r="C211" s="114" t="s">
        <v>331</v>
      </c>
      <c r="D211" s="114" t="s">
        <v>194</v>
      </c>
      <c r="E211" s="115"/>
      <c r="F211" s="161"/>
    </row>
    <row r="212" spans="1:6" s="135" customFormat="1" ht="12.5" x14ac:dyDescent="0.25">
      <c r="A212" s="112"/>
      <c r="B212" s="113"/>
      <c r="C212" s="114"/>
      <c r="D212" s="114"/>
      <c r="E212" s="115"/>
      <c r="F212" s="161"/>
    </row>
    <row r="213" spans="1:6" s="135" customFormat="1" ht="12.5" x14ac:dyDescent="0.25">
      <c r="A213" s="127">
        <v>45777</v>
      </c>
      <c r="B213" s="113">
        <v>43</v>
      </c>
      <c r="C213" s="114" t="s">
        <v>332</v>
      </c>
      <c r="D213" s="114" t="s">
        <v>186</v>
      </c>
      <c r="E213" s="115"/>
      <c r="F213" s="161"/>
    </row>
    <row r="214" spans="1:6" s="135" customFormat="1" ht="12.5" x14ac:dyDescent="0.25">
      <c r="A214" s="112"/>
      <c r="B214" s="113"/>
      <c r="C214" s="114"/>
      <c r="D214" s="114"/>
      <c r="E214" s="115"/>
      <c r="F214" s="161"/>
    </row>
    <row r="215" spans="1:6" s="135" customFormat="1" ht="12.5" x14ac:dyDescent="0.25">
      <c r="A215" s="112" t="s">
        <v>333</v>
      </c>
      <c r="B215" s="113">
        <v>380.41</v>
      </c>
      <c r="C215" s="114" t="s">
        <v>334</v>
      </c>
      <c r="D215" s="114" t="s">
        <v>323</v>
      </c>
      <c r="E215" s="115" t="s">
        <v>174</v>
      </c>
      <c r="F215" s="161"/>
    </row>
    <row r="216" spans="1:6" s="135" customFormat="1" ht="12.5" x14ac:dyDescent="0.25">
      <c r="A216" s="112" t="s">
        <v>333</v>
      </c>
      <c r="B216" s="113">
        <v>231</v>
      </c>
      <c r="C216" s="114" t="s">
        <v>334</v>
      </c>
      <c r="D216" s="114" t="s">
        <v>335</v>
      </c>
      <c r="E216" s="115" t="s">
        <v>170</v>
      </c>
      <c r="F216" s="161"/>
    </row>
    <row r="217" spans="1:6" s="135" customFormat="1" ht="12.5" x14ac:dyDescent="0.25">
      <c r="A217" s="112" t="s">
        <v>333</v>
      </c>
      <c r="B217" s="113">
        <f>(51.64+35.03+8.45+62.62+59)</f>
        <v>216.74</v>
      </c>
      <c r="C217" s="114" t="s">
        <v>334</v>
      </c>
      <c r="D217" s="114" t="s">
        <v>224</v>
      </c>
      <c r="E217" s="115"/>
      <c r="F217" s="161"/>
    </row>
    <row r="218" spans="1:6" s="135" customFormat="1" ht="12.5" x14ac:dyDescent="0.25">
      <c r="A218" s="112"/>
      <c r="B218" s="113"/>
      <c r="C218" s="114"/>
      <c r="D218" s="114"/>
      <c r="E218" s="115"/>
      <c r="F218" s="161"/>
    </row>
    <row r="219" spans="1:6" s="135" customFormat="1" ht="12.5" x14ac:dyDescent="0.25">
      <c r="A219" s="127">
        <v>45789</v>
      </c>
      <c r="B219" s="113">
        <v>380</v>
      </c>
      <c r="C219" s="114" t="s">
        <v>336</v>
      </c>
      <c r="D219" s="114" t="s">
        <v>173</v>
      </c>
      <c r="E219" s="115" t="s">
        <v>174</v>
      </c>
      <c r="F219" s="161"/>
    </row>
    <row r="220" spans="1:6" s="135" customFormat="1" ht="12.5" x14ac:dyDescent="0.25">
      <c r="A220" s="127">
        <v>45789</v>
      </c>
      <c r="B220" s="113">
        <v>55.65</v>
      </c>
      <c r="C220" s="114" t="s">
        <v>337</v>
      </c>
      <c r="D220" s="114" t="s">
        <v>338</v>
      </c>
      <c r="E220" s="115" t="s">
        <v>158</v>
      </c>
      <c r="F220" s="161"/>
    </row>
    <row r="221" spans="1:6" s="135" customFormat="1" ht="12.5" x14ac:dyDescent="0.25">
      <c r="A221" s="127">
        <v>45789</v>
      </c>
      <c r="B221" s="113">
        <f>(26.67+41.74+44.7)</f>
        <v>113.11</v>
      </c>
      <c r="C221" s="114" t="s">
        <v>336</v>
      </c>
      <c r="D221" s="114" t="s">
        <v>194</v>
      </c>
      <c r="E221" s="115"/>
      <c r="F221" s="161"/>
    </row>
    <row r="222" spans="1:6" s="135" customFormat="1" ht="12.5" x14ac:dyDescent="0.25">
      <c r="A222" s="127"/>
      <c r="B222" s="113"/>
      <c r="C222" s="114"/>
      <c r="D222" s="114"/>
      <c r="E222" s="115"/>
      <c r="F222" s="161"/>
    </row>
    <row r="223" spans="1:6" s="135" customFormat="1" ht="12.5" x14ac:dyDescent="0.25">
      <c r="A223" s="127" t="s">
        <v>339</v>
      </c>
      <c r="B223" s="113">
        <v>440.43</v>
      </c>
      <c r="C223" s="114" t="s">
        <v>340</v>
      </c>
      <c r="D223" s="114" t="s">
        <v>173</v>
      </c>
      <c r="E223" s="115" t="s">
        <v>231</v>
      </c>
      <c r="F223" s="161"/>
    </row>
    <row r="224" spans="1:6" s="135" customFormat="1" ht="12.5" x14ac:dyDescent="0.25">
      <c r="A224" s="127" t="s">
        <v>339</v>
      </c>
      <c r="B224" s="113">
        <v>339</v>
      </c>
      <c r="C224" s="114" t="s">
        <v>340</v>
      </c>
      <c r="D224" s="114" t="s">
        <v>341</v>
      </c>
      <c r="E224" s="115" t="s">
        <v>342</v>
      </c>
      <c r="F224" s="161"/>
    </row>
    <row r="225" spans="1:6" s="135" customFormat="1" ht="12.5" x14ac:dyDescent="0.25">
      <c r="A225" s="127" t="s">
        <v>339</v>
      </c>
      <c r="B225" s="113">
        <v>7</v>
      </c>
      <c r="C225" s="114" t="s">
        <v>340</v>
      </c>
      <c r="D225" s="114" t="s">
        <v>286</v>
      </c>
      <c r="E225" s="115" t="s">
        <v>342</v>
      </c>
      <c r="F225" s="161"/>
    </row>
    <row r="226" spans="1:6" s="135" customFormat="1" ht="12.5" x14ac:dyDescent="0.25">
      <c r="A226" s="127" t="s">
        <v>339</v>
      </c>
      <c r="B226" s="113">
        <v>107</v>
      </c>
      <c r="C226" s="114" t="s">
        <v>340</v>
      </c>
      <c r="D226" s="114" t="s">
        <v>343</v>
      </c>
      <c r="E226" s="115" t="s">
        <v>342</v>
      </c>
      <c r="F226" s="161"/>
    </row>
    <row r="227" spans="1:6" s="135" customFormat="1" ht="12.5" x14ac:dyDescent="0.25">
      <c r="A227" s="127" t="s">
        <v>339</v>
      </c>
      <c r="B227" s="113">
        <f>(40.8+53.5)</f>
        <v>94.3</v>
      </c>
      <c r="C227" s="114" t="s">
        <v>340</v>
      </c>
      <c r="D227" s="114" t="s">
        <v>194</v>
      </c>
      <c r="E227" s="115" t="s">
        <v>234</v>
      </c>
      <c r="F227" s="161"/>
    </row>
    <row r="228" spans="1:6" s="135" customFormat="1" ht="12.5" x14ac:dyDescent="0.25">
      <c r="A228" s="112"/>
      <c r="B228" s="113"/>
      <c r="C228" s="114"/>
      <c r="D228" s="114"/>
      <c r="E228" s="115"/>
      <c r="F228" s="161"/>
    </row>
    <row r="229" spans="1:6" s="135" customFormat="1" ht="12.5" x14ac:dyDescent="0.25">
      <c r="A229" s="112" t="s">
        <v>344</v>
      </c>
      <c r="B229" s="113">
        <v>445.36</v>
      </c>
      <c r="C229" s="114" t="s">
        <v>345</v>
      </c>
      <c r="D229" s="114" t="s">
        <v>323</v>
      </c>
      <c r="E229" s="115" t="s">
        <v>174</v>
      </c>
      <c r="F229" s="161"/>
    </row>
    <row r="230" spans="1:6" s="135" customFormat="1" ht="12.5" x14ac:dyDescent="0.25">
      <c r="A230" s="127" t="s">
        <v>344</v>
      </c>
      <c r="B230" s="113">
        <f>+(38.1+41.64+31+52)</f>
        <v>162.74</v>
      </c>
      <c r="C230" s="114" t="s">
        <v>345</v>
      </c>
      <c r="D230" s="114" t="s">
        <v>194</v>
      </c>
      <c r="E230" s="115"/>
      <c r="F230" s="161"/>
    </row>
    <row r="231" spans="1:6" s="135" customFormat="1" ht="12.5" x14ac:dyDescent="0.25">
      <c r="A231" s="127" t="s">
        <v>344</v>
      </c>
      <c r="B231" s="113">
        <v>461.22</v>
      </c>
      <c r="C231" s="114" t="s">
        <v>346</v>
      </c>
      <c r="D231" s="114" t="s">
        <v>314</v>
      </c>
      <c r="E231" s="115" t="s">
        <v>170</v>
      </c>
      <c r="F231" s="161"/>
    </row>
    <row r="232" spans="1:6" s="134" customFormat="1" ht="12.5" x14ac:dyDescent="0.25">
      <c r="A232" s="127"/>
      <c r="B232" s="113"/>
      <c r="C232" s="114"/>
      <c r="D232" s="114"/>
      <c r="E232" s="115"/>
      <c r="F232" s="161"/>
    </row>
    <row r="233" spans="1:6" s="135" customFormat="1" ht="12.5" x14ac:dyDescent="0.25">
      <c r="A233" s="127" t="s">
        <v>347</v>
      </c>
      <c r="B233" s="113">
        <f>+(471+55)</f>
        <v>526</v>
      </c>
      <c r="C233" s="114" t="s">
        <v>348</v>
      </c>
      <c r="D233" s="114" t="s">
        <v>173</v>
      </c>
      <c r="E233" s="115" t="s">
        <v>174</v>
      </c>
      <c r="F233" s="161"/>
    </row>
    <row r="234" spans="1:6" s="135" customFormat="1" ht="12.5" x14ac:dyDescent="0.25">
      <c r="A234" s="127">
        <v>45808</v>
      </c>
      <c r="B234" s="113">
        <v>34</v>
      </c>
      <c r="C234" s="114" t="s">
        <v>349</v>
      </c>
      <c r="D234" s="114"/>
      <c r="E234" s="115"/>
      <c r="F234" s="161"/>
    </row>
    <row r="235" spans="1:6" s="135" customFormat="1" ht="12.5" x14ac:dyDescent="0.25">
      <c r="A235" s="127"/>
      <c r="B235" s="113"/>
      <c r="C235" s="114"/>
      <c r="D235" s="114"/>
      <c r="E235" s="115"/>
      <c r="F235" s="161"/>
    </row>
    <row r="236" spans="1:6" s="135" customFormat="1" ht="12.5" x14ac:dyDescent="0.25">
      <c r="A236" s="112" t="s">
        <v>350</v>
      </c>
      <c r="B236" s="113">
        <f>(445.36+197)</f>
        <v>642.36</v>
      </c>
      <c r="C236" s="114" t="s">
        <v>351</v>
      </c>
      <c r="D236" s="114" t="s">
        <v>352</v>
      </c>
      <c r="E236" s="115" t="s">
        <v>174</v>
      </c>
      <c r="F236" s="161"/>
    </row>
    <row r="237" spans="1:6" s="135" customFormat="1" ht="12.5" x14ac:dyDescent="0.25">
      <c r="A237" s="112" t="s">
        <v>350</v>
      </c>
      <c r="B237" s="113">
        <v>461.22</v>
      </c>
      <c r="C237" s="114" t="s">
        <v>353</v>
      </c>
      <c r="D237" s="114" t="s">
        <v>314</v>
      </c>
      <c r="E237" s="115" t="s">
        <v>170</v>
      </c>
      <c r="F237" s="161"/>
    </row>
    <row r="238" spans="1:6" s="135" customFormat="1" ht="12.5" x14ac:dyDescent="0.25">
      <c r="A238" s="112" t="s">
        <v>350</v>
      </c>
      <c r="B238" s="113">
        <f>(56.1+52.67+24.45+52.77)</f>
        <v>185.99</v>
      </c>
      <c r="C238" s="114" t="s">
        <v>353</v>
      </c>
      <c r="D238" s="114" t="s">
        <v>354</v>
      </c>
      <c r="E238" s="115"/>
      <c r="F238" s="161"/>
    </row>
    <row r="239" spans="1:6" s="135" customFormat="1" ht="12.5" x14ac:dyDescent="0.25">
      <c r="A239" s="112"/>
      <c r="B239" s="113"/>
      <c r="C239" s="114"/>
      <c r="D239" s="114"/>
      <c r="E239" s="115"/>
      <c r="F239" s="161"/>
    </row>
    <row r="240" spans="1:6" s="135" customFormat="1" ht="12.5" x14ac:dyDescent="0.25">
      <c r="A240" s="127">
        <v>45838</v>
      </c>
      <c r="B240" s="113">
        <v>42</v>
      </c>
      <c r="C240" s="114" t="s">
        <v>349</v>
      </c>
      <c r="D240" s="114"/>
      <c r="E240" s="115"/>
      <c r="F240" s="161"/>
    </row>
    <row r="241" spans="1:6" s="135" customFormat="1" ht="12.5" x14ac:dyDescent="0.25">
      <c r="A241" s="127">
        <v>45838</v>
      </c>
      <c r="B241" s="113">
        <v>40</v>
      </c>
      <c r="C241" s="114" t="s">
        <v>355</v>
      </c>
      <c r="D241" s="114"/>
      <c r="E241" s="115"/>
      <c r="F241" s="161"/>
    </row>
    <row r="242" spans="1:6" s="134" customFormat="1" ht="12.5" x14ac:dyDescent="0.25">
      <c r="A242" s="127"/>
      <c r="B242" s="113"/>
      <c r="C242" s="114"/>
      <c r="D242" s="114"/>
      <c r="E242" s="115"/>
      <c r="F242" s="161"/>
    </row>
    <row r="243" spans="1:6" s="2" customFormat="1" ht="12.5" x14ac:dyDescent="0.25">
      <c r="A243" s="112"/>
      <c r="B243" s="113"/>
      <c r="C243" s="114"/>
      <c r="D243" s="114"/>
      <c r="E243" s="115"/>
      <c r="F243" s="161"/>
    </row>
    <row r="244" spans="1:6" s="2" customFormat="1" ht="12.75" hidden="1" customHeight="1" x14ac:dyDescent="0.25">
      <c r="A244" s="104"/>
      <c r="B244" s="130"/>
      <c r="C244" s="105"/>
      <c r="D244" s="105"/>
      <c r="E244" s="106"/>
      <c r="F244" s="162"/>
    </row>
    <row r="245" spans="1:6" ht="19.5" customHeight="1" x14ac:dyDescent="0.25">
      <c r="A245" s="69" t="s">
        <v>356</v>
      </c>
      <c r="B245" s="138">
        <f>SUM(B35:B244)</f>
        <v>43910.190000000017</v>
      </c>
      <c r="C245" s="123" t="str">
        <f>IF(SUBTOTAL(3,B35:B244)=SUBTOTAL(103,B35:B244),'Summary and sign-off'!$A$48,'Summary and sign-off'!$A$49)</f>
        <v>Check - there are no hidden rows with data</v>
      </c>
      <c r="D245" s="147" t="str">
        <f>IF('Summary and sign-off'!F56='Summary and sign-off'!F54,'Summary and sign-off'!A51,'Summary and sign-off'!A50)</f>
        <v>Not all lines have an entry for "Cost in NZ$" and "Type of expense"</v>
      </c>
      <c r="E245" s="147"/>
      <c r="F245" s="163"/>
    </row>
    <row r="246" spans="1:6" ht="10.5" customHeight="1" x14ac:dyDescent="0.3">
      <c r="A246" s="17"/>
      <c r="B246" s="19"/>
      <c r="C246" s="17"/>
      <c r="D246" s="17"/>
      <c r="E246" s="17"/>
      <c r="F246" s="163"/>
    </row>
    <row r="247" spans="1:6" ht="24.75" customHeight="1" x14ac:dyDescent="0.25">
      <c r="A247" s="149" t="s">
        <v>357</v>
      </c>
      <c r="B247" s="149"/>
      <c r="C247" s="149"/>
      <c r="D247" s="149"/>
      <c r="E247" s="149"/>
      <c r="F247" s="163"/>
    </row>
    <row r="248" spans="1:6" ht="27" customHeight="1" x14ac:dyDescent="0.25">
      <c r="A248" s="24" t="s">
        <v>121</v>
      </c>
      <c r="B248" s="24" t="s">
        <v>65</v>
      </c>
      <c r="C248" s="24" t="s">
        <v>358</v>
      </c>
      <c r="D248" s="24" t="s">
        <v>359</v>
      </c>
      <c r="E248" s="24" t="s">
        <v>125</v>
      </c>
      <c r="F248" s="164"/>
    </row>
    <row r="249" spans="1:6" s="128" customFormat="1" ht="12.5" x14ac:dyDescent="0.25">
      <c r="A249" s="127">
        <v>45486</v>
      </c>
      <c r="B249" s="113">
        <v>8.4499999999999993</v>
      </c>
      <c r="C249" s="114" t="s">
        <v>360</v>
      </c>
      <c r="D249" s="114" t="s">
        <v>194</v>
      </c>
      <c r="E249" s="115" t="s">
        <v>158</v>
      </c>
      <c r="F249" s="161"/>
    </row>
    <row r="250" spans="1:6" s="128" customFormat="1" ht="12.5" x14ac:dyDescent="0.25">
      <c r="A250" s="127">
        <v>45559</v>
      </c>
      <c r="B250" s="113">
        <v>21.47</v>
      </c>
      <c r="C250" s="114" t="s">
        <v>361</v>
      </c>
      <c r="D250" s="114" t="s">
        <v>194</v>
      </c>
      <c r="E250" s="115" t="s">
        <v>158</v>
      </c>
      <c r="F250" s="161"/>
    </row>
    <row r="251" spans="1:6" s="128" customFormat="1" ht="12.5" x14ac:dyDescent="0.25">
      <c r="A251" s="127">
        <v>45597</v>
      </c>
      <c r="B251" s="113">
        <f>19.89</f>
        <v>19.89</v>
      </c>
      <c r="C251" s="114" t="s">
        <v>362</v>
      </c>
      <c r="D251" s="114" t="s">
        <v>194</v>
      </c>
      <c r="E251" s="115" t="s">
        <v>158</v>
      </c>
      <c r="F251" s="161"/>
    </row>
    <row r="252" spans="1:6" s="128" customFormat="1" ht="12.5" x14ac:dyDescent="0.25">
      <c r="A252" s="127">
        <v>45610</v>
      </c>
      <c r="B252" s="113">
        <v>25.43</v>
      </c>
      <c r="C252" s="114" t="s">
        <v>363</v>
      </c>
      <c r="D252" s="114" t="s">
        <v>194</v>
      </c>
      <c r="E252" s="115" t="s">
        <v>158</v>
      </c>
      <c r="F252" s="161"/>
    </row>
    <row r="253" spans="1:6" s="128" customFormat="1" ht="12.5" x14ac:dyDescent="0.25">
      <c r="A253" s="127">
        <v>45617</v>
      </c>
      <c r="B253" s="113">
        <v>9.3000000000000007</v>
      </c>
      <c r="C253" s="114" t="s">
        <v>364</v>
      </c>
      <c r="D253" s="114" t="s">
        <v>194</v>
      </c>
      <c r="E253" s="115" t="s">
        <v>158</v>
      </c>
      <c r="F253" s="161"/>
    </row>
    <row r="254" spans="1:6" s="128" customFormat="1" ht="12.5" x14ac:dyDescent="0.25">
      <c r="A254" s="127">
        <v>45706</v>
      </c>
      <c r="B254" s="113">
        <v>20.54</v>
      </c>
      <c r="C254" s="114" t="s">
        <v>365</v>
      </c>
      <c r="D254" s="114" t="s">
        <v>175</v>
      </c>
      <c r="E254" s="115" t="s">
        <v>158</v>
      </c>
      <c r="F254" s="161"/>
    </row>
    <row r="255" spans="1:6" s="128" customFormat="1" ht="12.5" x14ac:dyDescent="0.25">
      <c r="A255" s="127">
        <v>45728</v>
      </c>
      <c r="B255" s="113">
        <v>23.34</v>
      </c>
      <c r="C255" s="114" t="s">
        <v>366</v>
      </c>
      <c r="D255" s="114" t="s">
        <v>367</v>
      </c>
      <c r="E255" s="115" t="s">
        <v>158</v>
      </c>
      <c r="F255" s="161"/>
    </row>
    <row r="256" spans="1:6" s="128" customFormat="1" ht="12.5" x14ac:dyDescent="0.25">
      <c r="A256" s="127">
        <v>45744</v>
      </c>
      <c r="B256" s="113">
        <v>32.200000000000003</v>
      </c>
      <c r="C256" s="114" t="s">
        <v>368</v>
      </c>
      <c r="D256" s="114" t="s">
        <v>194</v>
      </c>
      <c r="E256" s="115" t="s">
        <v>158</v>
      </c>
      <c r="F256" s="161"/>
    </row>
    <row r="257" spans="1:6" s="128" customFormat="1" ht="12.5" x14ac:dyDescent="0.25">
      <c r="A257" s="127">
        <v>45759</v>
      </c>
      <c r="B257" s="113">
        <v>29.31</v>
      </c>
      <c r="C257" s="114" t="s">
        <v>369</v>
      </c>
      <c r="D257" s="114" t="s">
        <v>367</v>
      </c>
      <c r="E257" s="115" t="s">
        <v>158</v>
      </c>
      <c r="F257" s="161"/>
    </row>
    <row r="258" spans="1:6" s="128" customFormat="1" ht="12.5" x14ac:dyDescent="0.25">
      <c r="A258" s="127">
        <v>45782</v>
      </c>
      <c r="B258" s="113">
        <v>47.52</v>
      </c>
      <c r="C258" s="114" t="s">
        <v>370</v>
      </c>
      <c r="D258" s="114" t="s">
        <v>338</v>
      </c>
      <c r="E258" s="115" t="s">
        <v>158</v>
      </c>
      <c r="F258" s="161"/>
    </row>
    <row r="259" spans="1:6" s="128" customFormat="1" ht="12.5" x14ac:dyDescent="0.25">
      <c r="A259" s="127">
        <v>45790</v>
      </c>
      <c r="B259" s="113">
        <v>46.61</v>
      </c>
      <c r="C259" s="114" t="s">
        <v>371</v>
      </c>
      <c r="D259" s="114" t="s">
        <v>338</v>
      </c>
      <c r="E259" s="115" t="s">
        <v>158</v>
      </c>
      <c r="F259" s="161"/>
    </row>
    <row r="260" spans="1:6" s="128" customFormat="1" ht="12.5" x14ac:dyDescent="0.25">
      <c r="A260" s="127">
        <v>45792</v>
      </c>
      <c r="B260" s="113">
        <v>15.39</v>
      </c>
      <c r="C260" s="114" t="s">
        <v>372</v>
      </c>
      <c r="D260" s="114" t="s">
        <v>186</v>
      </c>
      <c r="E260" s="115" t="s">
        <v>158</v>
      </c>
      <c r="F260" s="161"/>
    </row>
    <row r="261" spans="1:6" s="2" customFormat="1" ht="12.5" x14ac:dyDescent="0.25">
      <c r="A261" s="127"/>
      <c r="B261" s="113"/>
      <c r="C261" s="114"/>
      <c r="D261" s="114"/>
      <c r="E261" s="115"/>
      <c r="F261" s="161"/>
    </row>
    <row r="262" spans="1:6" s="2" customFormat="1" ht="12.5" x14ac:dyDescent="0.25">
      <c r="A262" s="112"/>
      <c r="B262" s="113"/>
      <c r="C262" s="114"/>
      <c r="D262" s="114"/>
      <c r="E262" s="115"/>
      <c r="F262" s="161"/>
    </row>
    <row r="263" spans="1:6" s="2" customFormat="1" ht="12.75" hidden="1" customHeight="1" x14ac:dyDescent="0.25">
      <c r="A263" s="91"/>
      <c r="B263" s="130"/>
      <c r="C263" s="93"/>
      <c r="D263" s="93"/>
      <c r="E263" s="94"/>
      <c r="F263" s="1"/>
    </row>
    <row r="264" spans="1:6" ht="19.5" customHeight="1" x14ac:dyDescent="0.25">
      <c r="A264" s="69" t="s">
        <v>373</v>
      </c>
      <c r="B264" s="138">
        <f>SUM(B249:B263)</f>
        <v>299.45</v>
      </c>
      <c r="C264" s="123" t="str">
        <f>IF(SUBTOTAL(3,B249:B263)=SUBTOTAL(103,B249:B263),'Summary and sign-off'!$A$48,'Summary and sign-off'!$A$49)</f>
        <v>Check - there are no hidden rows with data</v>
      </c>
      <c r="D264" s="147" t="str">
        <f>IF('Summary and sign-off'!F57='Summary and sign-off'!F54,'Summary and sign-off'!A51,'Summary and sign-off'!A50)</f>
        <v>Check - each entry provides sufficient information</v>
      </c>
      <c r="E264" s="147"/>
      <c r="F264" s="17"/>
    </row>
    <row r="265" spans="1:6" ht="10.5" customHeight="1" x14ac:dyDescent="0.3">
      <c r="A265" s="17"/>
      <c r="B265" s="137"/>
      <c r="C265" s="19"/>
      <c r="D265" s="17"/>
      <c r="E265" s="17"/>
      <c r="F265" s="17"/>
    </row>
    <row r="266" spans="1:6" ht="34.5" customHeight="1" x14ac:dyDescent="0.25">
      <c r="A266" s="31" t="s">
        <v>374</v>
      </c>
      <c r="B266" s="139">
        <f>B31+B245+B264</f>
        <v>94812.519576587816</v>
      </c>
      <c r="C266" s="32"/>
      <c r="D266" s="32"/>
      <c r="E266" s="32"/>
      <c r="F266" s="17"/>
    </row>
    <row r="267" spans="1:6" ht="13" x14ac:dyDescent="0.3">
      <c r="A267" s="17"/>
      <c r="B267" s="19"/>
      <c r="C267" s="17"/>
      <c r="D267" s="17"/>
      <c r="E267" s="17"/>
      <c r="F267" s="17"/>
    </row>
    <row r="268" spans="1:6" ht="13" x14ac:dyDescent="0.3">
      <c r="A268" s="18" t="s">
        <v>76</v>
      </c>
      <c r="B268" s="19"/>
      <c r="C268" s="17"/>
      <c r="D268" s="17"/>
      <c r="E268" s="17"/>
      <c r="F268" s="17"/>
    </row>
    <row r="269" spans="1:6" ht="12.75" customHeight="1" x14ac:dyDescent="0.25">
      <c r="A269" s="20" t="s">
        <v>375</v>
      </c>
      <c r="F269" s="17"/>
    </row>
    <row r="270" spans="1:6" ht="13" customHeight="1" x14ac:dyDescent="0.25">
      <c r="A270" s="20" t="s">
        <v>376</v>
      </c>
      <c r="B270" s="17"/>
      <c r="D270" s="17"/>
      <c r="F270" s="17"/>
    </row>
    <row r="271" spans="1:6" ht="12.5" x14ac:dyDescent="0.25">
      <c r="A271" s="20" t="s">
        <v>377</v>
      </c>
      <c r="F271" s="17"/>
    </row>
    <row r="272" spans="1:6" ht="13" x14ac:dyDescent="0.3">
      <c r="A272" s="20" t="s">
        <v>82</v>
      </c>
      <c r="B272" s="19"/>
      <c r="C272" s="17"/>
      <c r="D272" s="17"/>
      <c r="E272" s="17"/>
      <c r="F272" s="17"/>
    </row>
    <row r="273" spans="1:6" ht="13" customHeight="1" x14ac:dyDescent="0.25">
      <c r="A273" s="20" t="s">
        <v>378</v>
      </c>
      <c r="B273" s="17"/>
      <c r="D273" s="17"/>
      <c r="F273" s="17"/>
    </row>
    <row r="274" spans="1:6" ht="12.5" x14ac:dyDescent="0.25">
      <c r="A274" s="20" t="s">
        <v>379</v>
      </c>
      <c r="F274" s="17"/>
    </row>
    <row r="275" spans="1:6" ht="12.5" x14ac:dyDescent="0.25">
      <c r="A275" s="20" t="s">
        <v>380</v>
      </c>
      <c r="B275" s="20"/>
      <c r="C275" s="20"/>
      <c r="D275" s="20"/>
      <c r="F275" s="17"/>
    </row>
    <row r="276" spans="1:6" ht="12.5" x14ac:dyDescent="0.25">
      <c r="A276" s="26"/>
      <c r="B276" s="17"/>
      <c r="C276" s="17"/>
      <c r="D276" s="17"/>
      <c r="E276" s="17"/>
      <c r="F276" s="17"/>
    </row>
    <row r="277" spans="1:6" ht="12.75" hidden="1" customHeight="1" x14ac:dyDescent="0.25">
      <c r="A277" s="26"/>
      <c r="B277" s="17"/>
      <c r="C277" s="17"/>
      <c r="D277" s="17"/>
      <c r="E277" s="17"/>
      <c r="F277" s="17"/>
    </row>
    <row r="278" spans="1:6" ht="12.5" x14ac:dyDescent="0.25"/>
    <row r="279" spans="1:6" ht="12.5" x14ac:dyDescent="0.25"/>
    <row r="280" spans="1:6" ht="12.5" x14ac:dyDescent="0.25"/>
    <row r="281" spans="1:6" ht="12.5" x14ac:dyDescent="0.25"/>
    <row r="283" spans="1:6" ht="12.5" x14ac:dyDescent="0.25"/>
    <row r="284" spans="1:6" ht="12.5" x14ac:dyDescent="0.25"/>
    <row r="285" spans="1:6" ht="12.75" hidden="1" customHeight="1" x14ac:dyDescent="0.25">
      <c r="A285" s="26"/>
      <c r="B285" s="17"/>
      <c r="C285" s="17"/>
      <c r="D285" s="17"/>
      <c r="E285" s="17"/>
      <c r="F285" s="17"/>
    </row>
    <row r="286" spans="1:6" ht="12.75" hidden="1" customHeight="1" x14ac:dyDescent="0.25">
      <c r="A286" s="26"/>
      <c r="B286" s="17"/>
      <c r="C286" s="17"/>
      <c r="D286" s="17"/>
      <c r="E286" s="17"/>
      <c r="F286" s="17"/>
    </row>
    <row r="287" spans="1:6" ht="12.75" hidden="1" customHeight="1" x14ac:dyDescent="0.25">
      <c r="A287" s="26"/>
      <c r="B287" s="17"/>
      <c r="C287" s="17"/>
      <c r="D287" s="17"/>
      <c r="E287" s="17"/>
      <c r="F287" s="17"/>
    </row>
    <row r="288" spans="1:6" ht="12.75" hidden="1" customHeight="1" x14ac:dyDescent="0.25">
      <c r="A288" s="26"/>
      <c r="B288" s="17"/>
      <c r="C288" s="17"/>
      <c r="D288" s="17"/>
      <c r="E288" s="17"/>
      <c r="F288" s="17"/>
    </row>
    <row r="289" spans="1:6" ht="12.75" hidden="1" customHeight="1" x14ac:dyDescent="0.25">
      <c r="A289" s="26"/>
      <c r="B289" s="17"/>
      <c r="C289" s="17"/>
      <c r="D289" s="17"/>
      <c r="E289" s="17"/>
      <c r="F289" s="17"/>
    </row>
    <row r="290" spans="1:6" ht="12.5" x14ac:dyDescent="0.25"/>
    <row r="291" spans="1:6" ht="12.5" x14ac:dyDescent="0.25"/>
    <row r="292" spans="1:6" ht="12.5" x14ac:dyDescent="0.25"/>
    <row r="293" spans="1:6" ht="12.5" x14ac:dyDescent="0.25"/>
    <row r="294" spans="1:6" ht="12.5" x14ac:dyDescent="0.25"/>
    <row r="295" spans="1:6" ht="12.5" x14ac:dyDescent="0.25"/>
    <row r="296" spans="1:6" ht="12.5" x14ac:dyDescent="0.25"/>
    <row r="297" spans="1:6" ht="12.5" x14ac:dyDescent="0.25"/>
    <row r="298" spans="1:6" ht="12.5" x14ac:dyDescent="0.25"/>
    <row r="299" spans="1:6" ht="12.5" x14ac:dyDescent="0.25"/>
    <row r="300" spans="1:6" ht="12.5" x14ac:dyDescent="0.25"/>
    <row r="301" spans="1:6" ht="12.5" x14ac:dyDescent="0.25"/>
    <row r="302" spans="1:6" ht="12.5" x14ac:dyDescent="0.25"/>
    <row r="303" spans="1:6" ht="12.5" x14ac:dyDescent="0.25"/>
    <row r="304" spans="1:6" ht="12.5" x14ac:dyDescent="0.25"/>
    <row r="305" customFormat="1" ht="12.5" x14ac:dyDescent="0.25"/>
    <row r="306" customFormat="1" ht="12.5" x14ac:dyDescent="0.25"/>
    <row r="307" customFormat="1" ht="12.5" x14ac:dyDescent="0.25"/>
    <row r="308" customFormat="1" ht="12.5" x14ac:dyDescent="0.25"/>
    <row r="309" customFormat="1" ht="12.5" x14ac:dyDescent="0.25"/>
    <row r="310" customFormat="1" ht="12.5" x14ac:dyDescent="0.25"/>
    <row r="311" customFormat="1" ht="12.5" x14ac:dyDescent="0.25"/>
    <row r="312" customFormat="1" ht="12.5" x14ac:dyDescent="0.25"/>
    <row r="313" customFormat="1" ht="12.5" x14ac:dyDescent="0.25"/>
    <row r="314" customFormat="1" ht="12.5" x14ac:dyDescent="0.25"/>
    <row r="315" customFormat="1" ht="12.5" x14ac:dyDescent="0.25"/>
    <row r="316" customFormat="1" ht="12.5" x14ac:dyDescent="0.25"/>
    <row r="317" customFormat="1" ht="12.5" x14ac:dyDescent="0.25"/>
    <row r="318" customFormat="1" ht="12.5" x14ac:dyDescent="0.25"/>
    <row r="319" customFormat="1" ht="12.5" x14ac:dyDescent="0.25"/>
    <row r="320" customFormat="1" ht="12.5" x14ac:dyDescent="0.25"/>
    <row r="321" customFormat="1" ht="12.5" x14ac:dyDescent="0.25"/>
    <row r="322" customFormat="1" ht="12.5" x14ac:dyDescent="0.25"/>
    <row r="323" customFormat="1" ht="12.5" x14ac:dyDescent="0.25"/>
    <row r="324" customFormat="1" ht="12.5" x14ac:dyDescent="0.25"/>
    <row r="325" customFormat="1" ht="12.5" x14ac:dyDescent="0.25"/>
    <row r="326" customFormat="1" ht="12.5" x14ac:dyDescent="0.25"/>
    <row r="327" customFormat="1" ht="12.5" x14ac:dyDescent="0.25"/>
    <row r="328" customFormat="1" ht="12.5" x14ac:dyDescent="0.25"/>
    <row r="329" customFormat="1" ht="12.5" x14ac:dyDescent="0.25"/>
    <row r="330" customFormat="1" ht="12.5" x14ac:dyDescent="0.25"/>
    <row r="331" customFormat="1" ht="12.5" x14ac:dyDescent="0.25"/>
    <row r="332" customFormat="1" ht="12.5" x14ac:dyDescent="0.25"/>
    <row r="333" customFormat="1" ht="12.5" x14ac:dyDescent="0.25"/>
    <row r="334" customFormat="1" ht="12.5" x14ac:dyDescent="0.25"/>
    <row r="335" customFormat="1" ht="12.5" x14ac:dyDescent="0.25"/>
    <row r="336" customFormat="1" ht="12.5" x14ac:dyDescent="0.25"/>
    <row r="337" customFormat="1" ht="12.5" x14ac:dyDescent="0.25"/>
    <row r="338" customFormat="1" ht="12.5" x14ac:dyDescent="0.25"/>
    <row r="339" customFormat="1" ht="12.5" x14ac:dyDescent="0.25"/>
    <row r="340" customFormat="1" ht="12.5" x14ac:dyDescent="0.25"/>
    <row r="341" customFormat="1" ht="12.5" x14ac:dyDescent="0.25"/>
    <row r="342" customFormat="1" ht="12.5" x14ac:dyDescent="0.25"/>
    <row r="343" customFormat="1" ht="12.5" x14ac:dyDescent="0.25"/>
    <row r="344" customFormat="1" ht="12.5" x14ac:dyDescent="0.25"/>
    <row r="345" customFormat="1" ht="12.5" x14ac:dyDescent="0.25"/>
    <row r="346" customFormat="1" ht="12.5" x14ac:dyDescent="0.25"/>
    <row r="347" customFormat="1" ht="12.5" x14ac:dyDescent="0.25"/>
    <row r="348" customFormat="1" ht="12.5" x14ac:dyDescent="0.25"/>
    <row r="349" customFormat="1" ht="12.5" x14ac:dyDescent="0.25"/>
    <row r="350" customFormat="1" ht="12.5" x14ac:dyDescent="0.25"/>
    <row r="351" customFormat="1" ht="12.5" x14ac:dyDescent="0.25"/>
    <row r="352" customFormat="1" ht="12.5" x14ac:dyDescent="0.25"/>
    <row r="353" customFormat="1" ht="12.5" x14ac:dyDescent="0.25"/>
    <row r="354" customFormat="1" ht="12.5" x14ac:dyDescent="0.25"/>
    <row r="355" customFormat="1" ht="12.5" x14ac:dyDescent="0.25"/>
    <row r="356" customFormat="1" ht="12.5" x14ac:dyDescent="0.25"/>
    <row r="357" customFormat="1" ht="12.5" x14ac:dyDescent="0.25"/>
    <row r="358" customFormat="1" ht="12.5" x14ac:dyDescent="0.25"/>
    <row r="359" customFormat="1" ht="12.5" x14ac:dyDescent="0.25"/>
    <row r="360" customFormat="1" ht="12.5" x14ac:dyDescent="0.25"/>
    <row r="361" customFormat="1" ht="12.5" x14ac:dyDescent="0.25"/>
    <row r="362" customFormat="1" ht="12.5" x14ac:dyDescent="0.25"/>
    <row r="363" customFormat="1" ht="12.5" x14ac:dyDescent="0.25"/>
    <row r="364" customFormat="1" ht="12.5" x14ac:dyDescent="0.25"/>
    <row r="365" customFormat="1" ht="12.5" x14ac:dyDescent="0.25"/>
    <row r="366" customFormat="1" ht="12.5" x14ac:dyDescent="0.25"/>
    <row r="367" ht="12.5" x14ac:dyDescent="0.25"/>
    <row r="368" ht="12.5" x14ac:dyDescent="0.25"/>
    <row r="369" ht="12.5" x14ac:dyDescent="0.25"/>
    <row r="370" ht="12.5" x14ac:dyDescent="0.25"/>
    <row r="371" ht="12.5" x14ac:dyDescent="0.25"/>
    <row r="372" ht="12.5" x14ac:dyDescent="0.25"/>
    <row r="373" ht="12.5" x14ac:dyDescent="0.25"/>
    <row r="374" ht="12.5" x14ac:dyDescent="0.25"/>
    <row r="375" ht="12.5" x14ac:dyDescent="0.25"/>
    <row r="376" ht="12.5" x14ac:dyDescent="0.25"/>
    <row r="377" ht="12.5" x14ac:dyDescent="0.25"/>
    <row r="378" ht="12.5" x14ac:dyDescent="0.25"/>
    <row r="379" ht="12.5" x14ac:dyDescent="0.25"/>
    <row r="380" ht="12.5" x14ac:dyDescent="0.25"/>
    <row r="381" ht="12.5" x14ac:dyDescent="0.25"/>
    <row r="382" ht="12.5" x14ac:dyDescent="0.25"/>
    <row r="383" ht="12.5" x14ac:dyDescent="0.25"/>
    <row r="384" ht="12.5" x14ac:dyDescent="0.25"/>
    <row r="385" ht="12.5" x14ac:dyDescent="0.25"/>
    <row r="386" ht="12.5" x14ac:dyDescent="0.25"/>
    <row r="387" ht="12.5" x14ac:dyDescent="0.25"/>
    <row r="388" ht="12.5" x14ac:dyDescent="0.25"/>
    <row r="389" ht="12.5" x14ac:dyDescent="0.25"/>
    <row r="390" ht="12.5" x14ac:dyDescent="0.25"/>
    <row r="391" ht="12.5" x14ac:dyDescent="0.25"/>
    <row r="392" ht="12.5" x14ac:dyDescent="0.25"/>
    <row r="393" ht="12.5" x14ac:dyDescent="0.25"/>
    <row r="394" ht="12.5" x14ac:dyDescent="0.25"/>
    <row r="395" ht="12.5" x14ac:dyDescent="0.25"/>
    <row r="396" ht="12.5" x14ac:dyDescent="0.25"/>
    <row r="397" ht="12.5" x14ac:dyDescent="0.25"/>
    <row r="398" ht="12.5" x14ac:dyDescent="0.25"/>
    <row r="399" ht="12.5" x14ac:dyDescent="0.25"/>
    <row r="400" ht="12.5" x14ac:dyDescent="0.25"/>
    <row r="401" ht="12.5" x14ac:dyDescent="0.25"/>
    <row r="402" ht="12.5" x14ac:dyDescent="0.25"/>
    <row r="403" ht="12.5" x14ac:dyDescent="0.25"/>
    <row r="404" ht="12.5" x14ac:dyDescent="0.25"/>
    <row r="405" ht="12.5" x14ac:dyDescent="0.25"/>
    <row r="406" ht="12.5" x14ac:dyDescent="0.25"/>
    <row r="407" ht="12.5" x14ac:dyDescent="0.25"/>
    <row r="408" ht="12.5" x14ac:dyDescent="0.25"/>
    <row r="409" ht="12.5" x14ac:dyDescent="0.25"/>
    <row r="410" ht="12.5" x14ac:dyDescent="0.25"/>
    <row r="411" ht="12.5" x14ac:dyDescent="0.25"/>
    <row r="412" ht="12.5" x14ac:dyDescent="0.25"/>
    <row r="413" ht="12.5" x14ac:dyDescent="0.25"/>
    <row r="414" ht="12.5" x14ac:dyDescent="0.25"/>
    <row r="415" ht="12.5" x14ac:dyDescent="0.25"/>
    <row r="416" ht="12.5" x14ac:dyDescent="0.25"/>
    <row r="417" ht="12.5" x14ac:dyDescent="0.25"/>
    <row r="418" ht="12.5" x14ac:dyDescent="0.25"/>
    <row r="419" ht="12.5" x14ac:dyDescent="0.25"/>
    <row r="420" ht="12.5" x14ac:dyDescent="0.25"/>
    <row r="421" ht="12.5" x14ac:dyDescent="0.25"/>
    <row r="422" ht="12.5" x14ac:dyDescent="0.25"/>
    <row r="423" ht="12.5" x14ac:dyDescent="0.25"/>
    <row r="424" ht="12.5" x14ac:dyDescent="0.25"/>
    <row r="425" ht="12.5" x14ac:dyDescent="0.25"/>
    <row r="426" ht="12.5" x14ac:dyDescent="0.25"/>
    <row r="427" ht="12.5" x14ac:dyDescent="0.25"/>
    <row r="428" ht="12.5" x14ac:dyDescent="0.25"/>
    <row r="429" ht="12.5" x14ac:dyDescent="0.25"/>
    <row r="430" ht="12.5" x14ac:dyDescent="0.25"/>
    <row r="431" ht="12.5" x14ac:dyDescent="0.25"/>
    <row r="432" ht="12.5" x14ac:dyDescent="0.25"/>
    <row r="433" ht="12.5" x14ac:dyDescent="0.25"/>
    <row r="434" ht="12.5" x14ac:dyDescent="0.25"/>
    <row r="435" ht="12.5" x14ac:dyDescent="0.25"/>
    <row r="436" ht="12.5" x14ac:dyDescent="0.25"/>
    <row r="437" ht="12.5" x14ac:dyDescent="0.25"/>
    <row r="438" ht="12.5" x14ac:dyDescent="0.25"/>
    <row r="439" ht="12.5" x14ac:dyDescent="0.25"/>
    <row r="440" ht="12.5" x14ac:dyDescent="0.25"/>
    <row r="441" ht="12.5" x14ac:dyDescent="0.25"/>
    <row r="442" ht="12.5" x14ac:dyDescent="0.25"/>
    <row r="443" ht="12.5" x14ac:dyDescent="0.25"/>
    <row r="444" ht="12.5" x14ac:dyDescent="0.25"/>
    <row r="445" ht="12.5" x14ac:dyDescent="0.25"/>
    <row r="446" ht="12.5" x14ac:dyDescent="0.25"/>
    <row r="447" ht="12.5" x14ac:dyDescent="0.25"/>
    <row r="448" ht="12.5" x14ac:dyDescent="0.25"/>
    <row r="449" ht="12.5" x14ac:dyDescent="0.25"/>
    <row r="450" ht="12.5" x14ac:dyDescent="0.25"/>
    <row r="451" ht="12.5" x14ac:dyDescent="0.25"/>
    <row r="452" ht="12.5" x14ac:dyDescent="0.25"/>
    <row r="453" ht="12.5" x14ac:dyDescent="0.25"/>
    <row r="454" ht="12.5" x14ac:dyDescent="0.25"/>
    <row r="455" ht="12.5" x14ac:dyDescent="0.25"/>
    <row r="456" ht="12.5" x14ac:dyDescent="0.25"/>
    <row r="457" ht="12.5" x14ac:dyDescent="0.25"/>
    <row r="458" ht="12.5" x14ac:dyDescent="0.25"/>
    <row r="459" ht="12.75" customHeight="1" x14ac:dyDescent="0.25"/>
  </sheetData>
  <sheetProtection sheet="1" formatCells="0" formatRows="0" insertColumns="0" insertRows="0" deleteRows="0"/>
  <mergeCells count="15">
    <mergeCell ref="B7:E7"/>
    <mergeCell ref="B5:E5"/>
    <mergeCell ref="D264:E264"/>
    <mergeCell ref="A1:E1"/>
    <mergeCell ref="A33:E33"/>
    <mergeCell ref="A247:E247"/>
    <mergeCell ref="B2:E2"/>
    <mergeCell ref="B3:E3"/>
    <mergeCell ref="B4:E4"/>
    <mergeCell ref="A8:E8"/>
    <mergeCell ref="A9:E9"/>
    <mergeCell ref="B6:E6"/>
    <mergeCell ref="D31:E31"/>
    <mergeCell ref="D245:E245"/>
    <mergeCell ref="A10:E10"/>
  </mergeCells>
  <phoneticPr fontId="40" type="noConversion"/>
  <dataValidations xWindow="153" yWindow="764" count="3">
    <dataValidation type="date" errorStyle="warning" allowBlank="1" showInputMessage="1" showErrorMessage="1" error="This date may be outside the timeframe indicated (eg 2018/19 year)" prompt="Any non-standard date format or date outside the disclosure period (typically 1 July 2018 - 30 June 2019) will raise an alert. Check entry and select 'Yes' to accept/continue." sqref="A35 A243:A244 A30 A263 A12:A22" xr:uid="{00000000-0002-0000-0200-000000000000}">
      <formula1>$B$4</formula1>
      <formula2>$B$5</formula2>
    </dataValidation>
    <dataValidation allowBlank="1" showInputMessage="1" showErrorMessage="1" prompt="Insert additional rows as needed:_x000a_- 'right click' on a row number (left of screen)_x000a_- select 'Insert' (this will insert a row above it)" sqref="A248 A34 A11" xr:uid="{00000000-0002-0000-0200-000001000000}"/>
    <dataValidation type="date" errorStyle="warning" allowBlank="1" showInputMessage="1" showErrorMessage="1" error="This date may be outside the timeframe indicated (eg 2018/19 year)" prompt="Any non-standard date format or date outside the disclosure period (typically 1 July - 30 June) will raise an alert. Check entry and select 'Yes' to accept/continue." sqref="A36:A50 A52:A242 A249:A262 A23:A29" xr:uid="{67A21C94-90C0-4AFE-B6AC-F64AD77E4F2B}">
      <formula1>$B$4</formula1>
      <formula2>$B$5</formula2>
    </dataValidation>
  </dataValidations>
  <pageMargins left="0.70866141732283472" right="0.70866141732283472" top="0.74803149606299213" bottom="0.74803149606299213" header="0.31496062992125984" footer="0.31496062992125984"/>
  <pageSetup paperSize="9" scale="69" fitToHeight="0" orientation="landscape" r:id="rId1"/>
  <headerFooter alignWithMargins="0">
    <oddFooter>&amp;LCE Expense Disclosure Workbook 2018&amp;RWorksheet - Travel</oddFooter>
  </headerFooter>
  <legacyDrawing r:id="rId2"/>
  <extLst>
    <ext xmlns:x14="http://schemas.microsoft.com/office/spreadsheetml/2009/9/main" uri="{CCE6A557-97BC-4b89-ADB6-D9C93CAAB3DF}">
      <x14:dataValidations xmlns:xm="http://schemas.microsoft.com/office/excel/2006/main" xWindow="153" yWindow="764" count="3">
        <x14:dataValidation type="list" allowBlank="1" showInputMessage="1" showErrorMessage="1" error="Use the drop down list (at the right of the cell)" prompt="Do dollar figures on this sheet include or exclude GST?  (be consistent - all inclusive or exclusive)_x000a__x000a_[use drop down list at right of cell]_x000a__x000a_If possible, please include/exclude GST consistently across all sheets" xr:uid="{00000000-0002-0000-0200-000002000000}">
          <x14:formula1>
            <xm:f>'Summary and sign-off'!$A$27:$A$28</xm:f>
          </x14:formula1>
          <xm:sqref>B6:E6</xm:sqref>
        </x14:dataValidation>
        <x14:dataValidation type="list" allowBlank="1" showInputMessage="1" showErrorMessage="1" error="Use the drop down list (at the right of the cell)" prompt="Totals should accurately sum the content of tables but this may be affected by input method - e.g. hidden or inappropriate data._x000a__x000a_It is each agency's responsibility to confirm the accuracy of data and totals._x000a__x000a_[use drop down list to confirm this check]" xr:uid="{00000000-0002-0000-0200-000003000000}">
          <x14:formula1>
            <xm:f>'Summary and sign-off'!$A$29:$A$30</xm:f>
          </x14:formula1>
          <xm:sqref>B7:E7</xm:sqref>
        </x14:dataValidation>
        <x14:dataValidation type="decimal" operator="greaterThan" allowBlank="1" showInputMessage="1" showErrorMessage="1" error="This cell must contain a dollar figure" xr:uid="{00000000-0002-0000-0200-000004000000}">
          <x14:formula1>
            <xm:f>'Summary and sign-off'!$A$47</xm:f>
          </x14:formula1>
          <xm:sqref>B35:B244 B249:B263 B12:B30</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tint="0.39997558519241921"/>
    <pageSetUpPr fitToPage="1"/>
  </sheetPr>
  <dimension ref="A1:J34"/>
  <sheetViews>
    <sheetView zoomScaleNormal="100" workbookViewId="0">
      <selection activeCell="B7" sqref="B7:E7"/>
    </sheetView>
  </sheetViews>
  <sheetFormatPr defaultColWidth="0" defaultRowHeight="12.5" zeroHeight="1" x14ac:dyDescent="0.25"/>
  <cols>
    <col min="1" max="1" width="35.7265625" customWidth="1"/>
    <col min="2" max="2" width="14.26953125" customWidth="1"/>
    <col min="3" max="3" width="71.453125" customWidth="1"/>
    <col min="4" max="4" width="50" customWidth="1"/>
    <col min="5" max="5" width="21.453125" customWidth="1"/>
    <col min="6" max="6" width="39.26953125" customWidth="1"/>
    <col min="7" max="10" width="9.1796875" hidden="1" customWidth="1"/>
    <col min="11" max="13" width="0" hidden="1" customWidth="1"/>
  </cols>
  <sheetData>
    <row r="1" spans="1:6" ht="26.25" customHeight="1" x14ac:dyDescent="0.25">
      <c r="A1" s="148" t="s">
        <v>112</v>
      </c>
      <c r="B1" s="148"/>
      <c r="C1" s="148"/>
      <c r="D1" s="148"/>
      <c r="E1" s="148"/>
    </row>
    <row r="2" spans="1:6" ht="21" customHeight="1" x14ac:dyDescent="0.25">
      <c r="A2" s="3" t="s">
        <v>113</v>
      </c>
      <c r="B2" s="146" t="str">
        <f>'Summary and sign-off'!B2:F2</f>
        <v>Sport NZ</v>
      </c>
      <c r="C2" s="146"/>
      <c r="D2" s="146"/>
      <c r="E2" s="146"/>
    </row>
    <row r="3" spans="1:6" ht="31" x14ac:dyDescent="0.25">
      <c r="A3" s="3" t="s">
        <v>114</v>
      </c>
      <c r="B3" s="146" t="str">
        <f>'Summary and sign-off'!B3:F3</f>
        <v>Raelene Castle</v>
      </c>
      <c r="C3" s="146"/>
      <c r="D3" s="146"/>
      <c r="E3" s="146"/>
    </row>
    <row r="4" spans="1:6" ht="21" customHeight="1" x14ac:dyDescent="0.25">
      <c r="A4" s="3" t="s">
        <v>115</v>
      </c>
      <c r="B4" s="146">
        <f>'Summary and sign-off'!B4:F4</f>
        <v>45474</v>
      </c>
      <c r="C4" s="146"/>
      <c r="D4" s="146"/>
      <c r="E4" s="146"/>
    </row>
    <row r="5" spans="1:6" ht="21" customHeight="1" x14ac:dyDescent="0.25">
      <c r="A5" s="3" t="s">
        <v>116</v>
      </c>
      <c r="B5" s="146">
        <f>'Summary and sign-off'!B5:F5</f>
        <v>45838</v>
      </c>
      <c r="C5" s="146"/>
      <c r="D5" s="146"/>
      <c r="E5" s="146"/>
    </row>
    <row r="6" spans="1:6" ht="21" customHeight="1" x14ac:dyDescent="0.25">
      <c r="A6" s="3" t="s">
        <v>117</v>
      </c>
      <c r="B6" s="141" t="s">
        <v>84</v>
      </c>
      <c r="C6" s="141"/>
      <c r="D6" s="141"/>
      <c r="E6" s="141"/>
    </row>
    <row r="7" spans="1:6" ht="21" customHeight="1" x14ac:dyDescent="0.25">
      <c r="A7" s="3" t="s">
        <v>58</v>
      </c>
      <c r="B7" s="141" t="s">
        <v>86</v>
      </c>
      <c r="C7" s="141"/>
      <c r="D7" s="141"/>
      <c r="E7" s="141"/>
    </row>
    <row r="8" spans="1:6" ht="35.25" customHeight="1" x14ac:dyDescent="0.35">
      <c r="A8" s="157" t="s">
        <v>381</v>
      </c>
      <c r="B8" s="157"/>
      <c r="C8" s="158"/>
      <c r="D8" s="158"/>
      <c r="E8" s="158"/>
      <c r="F8" s="27"/>
    </row>
    <row r="9" spans="1:6" ht="35.25" customHeight="1" x14ac:dyDescent="0.35">
      <c r="A9" s="155" t="s">
        <v>382</v>
      </c>
      <c r="B9" s="156"/>
      <c r="C9" s="156"/>
      <c r="D9" s="156"/>
      <c r="E9" s="156"/>
      <c r="F9" s="27"/>
    </row>
    <row r="10" spans="1:6" ht="27" customHeight="1" x14ac:dyDescent="0.25">
      <c r="A10" s="24" t="s">
        <v>383</v>
      </c>
      <c r="B10" s="24" t="s">
        <v>65</v>
      </c>
      <c r="C10" s="24" t="s">
        <v>384</v>
      </c>
      <c r="D10" s="24" t="s">
        <v>385</v>
      </c>
      <c r="E10" s="24" t="s">
        <v>125</v>
      </c>
      <c r="F10" s="20"/>
    </row>
    <row r="11" spans="1:6" s="128" customFormat="1" x14ac:dyDescent="0.25">
      <c r="A11" s="116">
        <v>45475</v>
      </c>
      <c r="B11" s="113">
        <v>33.04</v>
      </c>
      <c r="C11" s="117" t="s">
        <v>386</v>
      </c>
      <c r="D11" s="117" t="s">
        <v>387</v>
      </c>
      <c r="E11" s="118" t="s">
        <v>169</v>
      </c>
      <c r="F11" s="128" t="s">
        <v>146</v>
      </c>
    </row>
    <row r="12" spans="1:6" s="128" customFormat="1" x14ac:dyDescent="0.25">
      <c r="A12" s="112">
        <v>45489</v>
      </c>
      <c r="B12" s="113">
        <v>57.01</v>
      </c>
      <c r="C12" s="117" t="s">
        <v>388</v>
      </c>
      <c r="D12" s="117" t="s">
        <v>387</v>
      </c>
      <c r="E12" s="118" t="s">
        <v>158</v>
      </c>
      <c r="F12" s="128" t="s">
        <v>146</v>
      </c>
    </row>
    <row r="13" spans="1:6" s="128" customFormat="1" x14ac:dyDescent="0.25">
      <c r="A13" s="112">
        <v>45576</v>
      </c>
      <c r="B13" s="113">
        <v>52.07</v>
      </c>
      <c r="C13" s="117" t="s">
        <v>389</v>
      </c>
      <c r="D13" s="117" t="s">
        <v>387</v>
      </c>
      <c r="E13" s="118" t="s">
        <v>158</v>
      </c>
      <c r="F13" s="113" t="s">
        <v>146</v>
      </c>
    </row>
    <row r="14" spans="1:6" s="128" customFormat="1" x14ac:dyDescent="0.25">
      <c r="A14" s="112">
        <v>45723</v>
      </c>
      <c r="B14" s="113">
        <v>52.07</v>
      </c>
      <c r="C14" s="117" t="s">
        <v>391</v>
      </c>
      <c r="D14" s="117" t="s">
        <v>387</v>
      </c>
      <c r="E14" s="118" t="s">
        <v>158</v>
      </c>
      <c r="F14" s="128" t="s">
        <v>146</v>
      </c>
    </row>
    <row r="15" spans="1:6" s="128" customFormat="1" x14ac:dyDescent="0.25">
      <c r="A15" s="112">
        <v>45758</v>
      </c>
      <c r="B15" s="113">
        <v>32.369999999999997</v>
      </c>
      <c r="C15" s="117" t="s">
        <v>392</v>
      </c>
      <c r="D15" s="117" t="s">
        <v>387</v>
      </c>
      <c r="E15" s="118" t="s">
        <v>158</v>
      </c>
      <c r="F15" s="128" t="s">
        <v>146</v>
      </c>
    </row>
    <row r="16" spans="1:6" s="128" customFormat="1" x14ac:dyDescent="0.25">
      <c r="A16" s="112">
        <v>45782</v>
      </c>
      <c r="B16" s="113">
        <v>397.07</v>
      </c>
      <c r="C16" s="117" t="s">
        <v>445</v>
      </c>
      <c r="D16" s="117" t="s">
        <v>393</v>
      </c>
      <c r="E16" s="118" t="s">
        <v>158</v>
      </c>
      <c r="F16" s="128" t="s">
        <v>146</v>
      </c>
    </row>
    <row r="17" spans="1:6" s="128" customFormat="1" x14ac:dyDescent="0.25">
      <c r="A17" s="112">
        <v>45785</v>
      </c>
      <c r="B17" s="113">
        <v>41.74</v>
      </c>
      <c r="C17" s="117" t="s">
        <v>394</v>
      </c>
      <c r="D17" s="117" t="s">
        <v>390</v>
      </c>
      <c r="E17" s="118" t="s">
        <v>158</v>
      </c>
      <c r="F17" s="128" t="s">
        <v>146</v>
      </c>
    </row>
    <row r="18" spans="1:6" s="128" customFormat="1" x14ac:dyDescent="0.25">
      <c r="A18" s="112">
        <v>45814</v>
      </c>
      <c r="B18" s="113">
        <v>37.39</v>
      </c>
      <c r="C18" s="117" t="s">
        <v>395</v>
      </c>
      <c r="D18" s="117" t="s">
        <v>387</v>
      </c>
      <c r="E18" s="118" t="s">
        <v>158</v>
      </c>
      <c r="F18" s="128" t="s">
        <v>146</v>
      </c>
    </row>
    <row r="19" spans="1:6" s="2" customFormat="1" x14ac:dyDescent="0.25">
      <c r="A19" s="116"/>
      <c r="B19" s="113"/>
      <c r="C19" s="117"/>
      <c r="D19" s="117"/>
      <c r="E19" s="118"/>
    </row>
    <row r="20" spans="1:6" s="2" customFormat="1" ht="11.25" hidden="1" customHeight="1" x14ac:dyDescent="0.25">
      <c r="A20" s="95"/>
      <c r="B20" s="92"/>
      <c r="C20" s="96"/>
      <c r="D20" s="96"/>
      <c r="E20" s="97"/>
    </row>
    <row r="21" spans="1:6" ht="34.5" customHeight="1" x14ac:dyDescent="0.25">
      <c r="A21" s="53" t="s">
        <v>396</v>
      </c>
      <c r="B21" s="60">
        <f>SUM(B11:B20)</f>
        <v>702.76</v>
      </c>
      <c r="C21" s="68" t="str">
        <f>IF(SUBTOTAL(3,B11:B20)=SUBTOTAL(103,B11:B20),'Summary and sign-off'!$A$48,'Summary and sign-off'!$A$49)</f>
        <v>Check - there are no hidden rows with data</v>
      </c>
      <c r="D21" s="154" t="str">
        <f>IF('Summary and sign-off'!F58='Summary and sign-off'!F54,'Summary and sign-off'!A51,'Summary and sign-off'!A50)</f>
        <v>Check - each entry provides sufficient information</v>
      </c>
      <c r="E21" s="154"/>
      <c r="F21" s="2"/>
    </row>
    <row r="22" spans="1:6" ht="13" x14ac:dyDescent="0.3">
      <c r="A22" s="18"/>
      <c r="B22" s="17"/>
      <c r="C22" s="17"/>
      <c r="D22" s="17"/>
      <c r="E22" s="17"/>
    </row>
    <row r="23" spans="1:6" ht="13" x14ac:dyDescent="0.3">
      <c r="A23" s="18" t="s">
        <v>76</v>
      </c>
      <c r="B23" s="19"/>
      <c r="C23" s="17"/>
      <c r="D23" s="17"/>
      <c r="E23" s="17"/>
    </row>
    <row r="24" spans="1:6" ht="12.75" customHeight="1" x14ac:dyDescent="0.25">
      <c r="A24" s="20" t="s">
        <v>397</v>
      </c>
      <c r="B24" s="20"/>
      <c r="C24" s="20"/>
      <c r="D24" s="20"/>
      <c r="E24" s="20"/>
    </row>
    <row r="25" spans="1:6" x14ac:dyDescent="0.25">
      <c r="A25" s="20" t="s">
        <v>398</v>
      </c>
      <c r="B25" s="20"/>
      <c r="C25" s="28"/>
      <c r="D25" s="28"/>
      <c r="E25" s="28"/>
    </row>
    <row r="26" spans="1:6" ht="13" x14ac:dyDescent="0.3">
      <c r="A26" s="20" t="s">
        <v>82</v>
      </c>
      <c r="B26" s="19"/>
      <c r="C26" s="17"/>
      <c r="D26" s="17"/>
      <c r="E26" s="17"/>
      <c r="F26" s="17"/>
    </row>
    <row r="27" spans="1:6" x14ac:dyDescent="0.25">
      <c r="A27" s="20" t="s">
        <v>399</v>
      </c>
      <c r="B27" s="20"/>
      <c r="C27" s="28"/>
      <c r="D27" s="28"/>
      <c r="E27" s="28"/>
    </row>
    <row r="28" spans="1:6" ht="12.75" customHeight="1" x14ac:dyDescent="0.25">
      <c r="A28" s="20" t="s">
        <v>400</v>
      </c>
      <c r="B28" s="20"/>
      <c r="C28" s="22"/>
      <c r="D28" s="22"/>
      <c r="E28" s="22"/>
    </row>
    <row r="29" spans="1:6" x14ac:dyDescent="0.25">
      <c r="A29" s="17"/>
      <c r="B29" s="17"/>
      <c r="C29" s="17"/>
      <c r="D29" s="17"/>
      <c r="E29" s="17"/>
    </row>
    <row r="30" spans="1:6" x14ac:dyDescent="0.25"/>
    <row r="31" spans="1:6" x14ac:dyDescent="0.25"/>
    <row r="32" spans="1:6" x14ac:dyDescent="0.25"/>
    <row r="33" x14ac:dyDescent="0.25"/>
    <row r="34" x14ac:dyDescent="0.25"/>
  </sheetData>
  <sheetProtection sheet="1" formatCells="0" insertRows="0" deleteRows="0"/>
  <mergeCells count="10">
    <mergeCell ref="D21:E21"/>
    <mergeCell ref="B6:E6"/>
    <mergeCell ref="B5:E5"/>
    <mergeCell ref="A1:E1"/>
    <mergeCell ref="A9:E9"/>
    <mergeCell ref="B2:E2"/>
    <mergeCell ref="B3:E3"/>
    <mergeCell ref="B4:E4"/>
    <mergeCell ref="A8:E8"/>
    <mergeCell ref="B7:E7"/>
  </mergeCells>
  <dataValidations count="3">
    <dataValidation type="date" errorStyle="warning" allowBlank="1" showInputMessage="1" showErrorMessage="1" error="This date may be outside the timeframe indicated (eg 2018/19 year)" prompt="Any non-standard date format or date outside the disclosure period (typically 1 July 2018 - 30 June 2019) will raise an alert. Check entry and select 'Yes' to accept/continue." sqref="A11 A20" xr:uid="{00000000-0002-0000-0300-000000000000}">
      <formula1>$B$4</formula1>
      <formula2>$B$5</formula2>
    </dataValidation>
    <dataValidation allowBlank="1" showInputMessage="1" showErrorMessage="1" prompt="Insert additional rows as needed:_x000a_- 'right click' on a row number (left of screen)_x000a_- select 'Insert' (this will insert a row above it)" sqref="A10" xr:uid="{00000000-0002-0000-0300-000001000000}"/>
    <dataValidation type="date" errorStyle="warning" allowBlank="1" showInputMessage="1" showErrorMessage="1" error="This date may be outside the timeframe indicated (eg 2018/19 year)" prompt="Any non-standard date format or date outside the disclosure period (typically 1 July - 30 June) will raise an alert. Check entry and select 'Yes' to accept/continue." sqref="A12:A19" xr:uid="{9A7E9F63-43B8-46EF-8656-0D5E1A7A706A}">
      <formula1>$B$4</formula1>
      <formula2>$B$5</formula2>
    </dataValidation>
  </dataValidations>
  <printOptions gridLines="1"/>
  <pageMargins left="0.70866141732283472" right="0.70866141732283472" top="0.74803149606299213" bottom="0.74803149606299213" header="0.31496062992125984" footer="0.31496062992125984"/>
  <pageSetup paperSize="9" scale="69" fitToHeight="0" orientation="landscape" r:id="rId1"/>
  <headerFooter alignWithMargins="0">
    <oddFooter>&amp;LCE Expense Disclosure Workbook 2018&amp;RWorksheet - Hospitality</oddFooter>
  </headerFooter>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error="Use the drop down list (at the right of the cell)" prompt="Do dollar figures on this sheet include or exclude GST?  (be consistent - all inclusive or exclusive)_x000a__x000a_[use drop down list at right of cell]_x000a__x000a_If possible, please include/exclude GST consistently across all sheets" xr:uid="{00000000-0002-0000-0300-000002000000}">
          <x14:formula1>
            <xm:f>'Summary and sign-off'!$A$27:$A$28</xm:f>
          </x14:formula1>
          <xm:sqref>B6:E6</xm:sqref>
        </x14:dataValidation>
        <x14:dataValidation type="list" allowBlank="1" showInputMessage="1" showErrorMessage="1" error="Use the drop down list (at the right of the cell)" prompt="Totals should accurately sum the content of tables but this may be affected by input method - e.g. hidden or inappropriate data._x000a__x000a_It is each agency's responsibility to confirm the accuracy of data and totals._x000a__x000a_[use drop down list to confirm this check]" xr:uid="{00000000-0002-0000-0300-000003000000}">
          <x14:formula1>
            <xm:f>'Summary and sign-off'!$A$29:$A$30</xm:f>
          </x14:formula1>
          <xm:sqref>B7:E7</xm:sqref>
        </x14:dataValidation>
        <x14:dataValidation type="decimal" operator="greaterThan" allowBlank="1" showInputMessage="1" showErrorMessage="1" error="This cell must contain a dollar figure" xr:uid="{00000000-0002-0000-0300-000004000000}">
          <x14:formula1>
            <xm:f>'Summary and sign-off'!$A$47</xm:f>
          </x14:formula1>
          <xm:sqref>B11:B20</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tint="0.39997558519241921"/>
    <pageSetUpPr fitToPage="1"/>
  </sheetPr>
  <dimension ref="A1:M39"/>
  <sheetViews>
    <sheetView topLeftCell="A3" zoomScaleNormal="100" workbookViewId="0">
      <selection activeCell="B7" sqref="B7:E7"/>
    </sheetView>
  </sheetViews>
  <sheetFormatPr defaultColWidth="0" defaultRowHeight="12.5" zeroHeight="1" x14ac:dyDescent="0.25"/>
  <cols>
    <col min="1" max="1" width="35.7265625" customWidth="1"/>
    <col min="2" max="2" width="14.26953125" customWidth="1"/>
    <col min="3" max="3" width="71.453125" customWidth="1"/>
    <col min="4" max="4" width="50" customWidth="1"/>
    <col min="5" max="5" width="21.453125" customWidth="1"/>
    <col min="6" max="6" width="36.81640625" customWidth="1"/>
    <col min="7" max="10" width="9.1796875" hidden="1" customWidth="1"/>
    <col min="11" max="13" width="0" hidden="1" customWidth="1"/>
    <col min="14" max="16384" width="9.1796875" hidden="1"/>
  </cols>
  <sheetData>
    <row r="1" spans="1:6" ht="26.25" customHeight="1" x14ac:dyDescent="0.25">
      <c r="A1" s="148" t="s">
        <v>112</v>
      </c>
      <c r="B1" s="148"/>
      <c r="C1" s="148"/>
      <c r="D1" s="148"/>
      <c r="E1" s="148"/>
    </row>
    <row r="2" spans="1:6" ht="21" customHeight="1" x14ac:dyDescent="0.25">
      <c r="A2" s="3" t="s">
        <v>113</v>
      </c>
      <c r="B2" s="146" t="str">
        <f>'Summary and sign-off'!B2:F2</f>
        <v>Sport NZ</v>
      </c>
      <c r="C2" s="146"/>
      <c r="D2" s="146"/>
      <c r="E2" s="146"/>
    </row>
    <row r="3" spans="1:6" ht="31" x14ac:dyDescent="0.25">
      <c r="A3" s="3" t="s">
        <v>401</v>
      </c>
      <c r="B3" s="146" t="str">
        <f>'Summary and sign-off'!B3:F3</f>
        <v>Raelene Castle</v>
      </c>
      <c r="C3" s="146"/>
      <c r="D3" s="146"/>
      <c r="E3" s="146"/>
    </row>
    <row r="4" spans="1:6" ht="21" customHeight="1" x14ac:dyDescent="0.25">
      <c r="A4" s="3" t="s">
        <v>115</v>
      </c>
      <c r="B4" s="146">
        <f>'Summary and sign-off'!B4:F4</f>
        <v>45474</v>
      </c>
      <c r="C4" s="146"/>
      <c r="D4" s="146"/>
      <c r="E4" s="146"/>
    </row>
    <row r="5" spans="1:6" ht="21" customHeight="1" x14ac:dyDescent="0.25">
      <c r="A5" s="3" t="s">
        <v>116</v>
      </c>
      <c r="B5" s="146">
        <f>'Summary and sign-off'!B5:F5</f>
        <v>45838</v>
      </c>
      <c r="C5" s="146"/>
      <c r="D5" s="146"/>
      <c r="E5" s="146"/>
    </row>
    <row r="6" spans="1:6" ht="21" customHeight="1" x14ac:dyDescent="0.25">
      <c r="A6" s="3" t="s">
        <v>117</v>
      </c>
      <c r="B6" s="141" t="s">
        <v>84</v>
      </c>
      <c r="C6" s="141"/>
      <c r="D6" s="141"/>
      <c r="E6" s="141"/>
      <c r="F6" s="23"/>
    </row>
    <row r="7" spans="1:6" ht="21" customHeight="1" x14ac:dyDescent="0.25">
      <c r="A7" s="3" t="s">
        <v>58</v>
      </c>
      <c r="B7" s="141" t="s">
        <v>86</v>
      </c>
      <c r="C7" s="141"/>
      <c r="D7" s="141"/>
      <c r="E7" s="141"/>
      <c r="F7" s="23"/>
    </row>
    <row r="8" spans="1:6" ht="35.25" customHeight="1" x14ac:dyDescent="0.25">
      <c r="A8" s="151" t="s">
        <v>402</v>
      </c>
      <c r="B8" s="151"/>
      <c r="C8" s="158"/>
      <c r="D8" s="158"/>
      <c r="E8" s="158"/>
    </row>
    <row r="9" spans="1:6" ht="35.25" customHeight="1" x14ac:dyDescent="0.25">
      <c r="A9" s="159" t="s">
        <v>403</v>
      </c>
      <c r="B9" s="160"/>
      <c r="C9" s="160"/>
      <c r="D9" s="160"/>
      <c r="E9" s="160"/>
    </row>
    <row r="10" spans="1:6" ht="27" customHeight="1" x14ac:dyDescent="0.25">
      <c r="A10" s="24" t="s">
        <v>121</v>
      </c>
      <c r="B10" s="24" t="s">
        <v>65</v>
      </c>
      <c r="C10" s="24" t="s">
        <v>404</v>
      </c>
      <c r="D10" s="24" t="s">
        <v>405</v>
      </c>
      <c r="E10" s="24" t="s">
        <v>125</v>
      </c>
      <c r="F10" s="20"/>
    </row>
    <row r="11" spans="1:6" s="2" customFormat="1" hidden="1" x14ac:dyDescent="0.25">
      <c r="A11" s="95"/>
      <c r="B11" s="92"/>
      <c r="C11" s="96"/>
      <c r="D11" s="96"/>
      <c r="E11" s="97"/>
    </row>
    <row r="12" spans="1:6" s="2" customFormat="1" x14ac:dyDescent="0.25">
      <c r="A12" s="112"/>
      <c r="B12" s="113"/>
      <c r="C12" s="117"/>
      <c r="D12" s="117"/>
      <c r="E12" s="118"/>
    </row>
    <row r="13" spans="1:6" s="2" customFormat="1" x14ac:dyDescent="0.25">
      <c r="A13" s="112"/>
      <c r="B13" s="113"/>
      <c r="C13" s="117"/>
      <c r="D13" s="117"/>
      <c r="E13" s="118"/>
    </row>
    <row r="14" spans="1:6" s="2" customFormat="1" x14ac:dyDescent="0.25">
      <c r="A14" s="112"/>
      <c r="B14" s="113"/>
      <c r="C14" s="117"/>
      <c r="D14" s="117"/>
      <c r="E14" s="118"/>
    </row>
    <row r="15" spans="1:6" s="2" customFormat="1" x14ac:dyDescent="0.25">
      <c r="A15" s="112"/>
      <c r="B15" s="113"/>
      <c r="C15" s="117"/>
      <c r="D15" s="117"/>
      <c r="E15" s="118"/>
    </row>
    <row r="16" spans="1:6" s="2" customFormat="1" x14ac:dyDescent="0.25">
      <c r="A16" s="112"/>
      <c r="B16" s="113"/>
      <c r="C16" s="117"/>
      <c r="D16" s="117"/>
      <c r="E16" s="118"/>
    </row>
    <row r="17" spans="1:6" s="2" customFormat="1" x14ac:dyDescent="0.25">
      <c r="A17" s="112"/>
      <c r="B17" s="113"/>
      <c r="C17" s="117"/>
      <c r="D17" s="117"/>
      <c r="E17" s="118"/>
    </row>
    <row r="18" spans="1:6" s="2" customFormat="1" x14ac:dyDescent="0.25">
      <c r="A18" s="112"/>
      <c r="B18" s="113"/>
      <c r="C18" s="117"/>
      <c r="D18" s="117"/>
      <c r="E18" s="118"/>
    </row>
    <row r="19" spans="1:6" s="2" customFormat="1" x14ac:dyDescent="0.25">
      <c r="A19" s="112"/>
      <c r="B19" s="113"/>
      <c r="C19" s="117"/>
      <c r="D19" s="117"/>
      <c r="E19" s="118"/>
    </row>
    <row r="20" spans="1:6" s="2" customFormat="1" x14ac:dyDescent="0.25">
      <c r="A20" s="112"/>
      <c r="B20" s="113"/>
      <c r="C20" s="117"/>
      <c r="D20" s="117"/>
      <c r="E20" s="118"/>
    </row>
    <row r="21" spans="1:6" s="2" customFormat="1" x14ac:dyDescent="0.25">
      <c r="A21" s="112"/>
      <c r="B21" s="113"/>
      <c r="C21" s="117"/>
      <c r="D21" s="117"/>
      <c r="E21" s="118"/>
    </row>
    <row r="22" spans="1:6" s="2" customFormat="1" x14ac:dyDescent="0.25">
      <c r="A22" s="116"/>
      <c r="B22" s="113"/>
      <c r="C22" s="117"/>
      <c r="D22" s="117"/>
      <c r="E22" s="118"/>
    </row>
    <row r="23" spans="1:6" s="2" customFormat="1" x14ac:dyDescent="0.25">
      <c r="A23" s="116"/>
      <c r="B23" s="113"/>
      <c r="C23" s="117"/>
      <c r="D23" s="117"/>
      <c r="E23" s="118"/>
    </row>
    <row r="24" spans="1:6" s="2" customFormat="1" hidden="1" x14ac:dyDescent="0.25">
      <c r="A24" s="95"/>
      <c r="B24" s="92"/>
      <c r="C24" s="96"/>
      <c r="D24" s="96"/>
      <c r="E24" s="97"/>
    </row>
    <row r="25" spans="1:6" ht="34.5" customHeight="1" x14ac:dyDescent="0.25">
      <c r="A25" s="53" t="s">
        <v>406</v>
      </c>
      <c r="B25" s="60">
        <f>SUM(B11:B24)</f>
        <v>0</v>
      </c>
      <c r="C25" s="68" t="str">
        <f>IF(SUBTOTAL(3,B11:B24)=SUBTOTAL(103,B11:B24),'Summary and sign-off'!$A$48,'Summary and sign-off'!$A$49)</f>
        <v>Check - there are no hidden rows with data</v>
      </c>
      <c r="D25" s="154" t="str">
        <f>IF('Summary and sign-off'!F59='Summary and sign-off'!F54,'Summary and sign-off'!A51,'Summary and sign-off'!A50)</f>
        <v>Check - each entry provides sufficient information</v>
      </c>
      <c r="E25" s="154"/>
    </row>
    <row r="26" spans="1:6" ht="14.25" customHeight="1" x14ac:dyDescent="0.25">
      <c r="B26" s="17"/>
      <c r="C26" s="17"/>
      <c r="D26" s="17"/>
      <c r="E26" s="17"/>
    </row>
    <row r="27" spans="1:6" ht="13" x14ac:dyDescent="0.3">
      <c r="A27" s="18" t="s">
        <v>407</v>
      </c>
      <c r="B27" s="17"/>
      <c r="C27" s="17"/>
      <c r="D27" s="17"/>
      <c r="E27" s="17"/>
    </row>
    <row r="28" spans="1:6" ht="12.75" customHeight="1" x14ac:dyDescent="0.25">
      <c r="A28" s="20" t="s">
        <v>375</v>
      </c>
      <c r="B28" s="17"/>
      <c r="C28" s="17"/>
      <c r="D28" s="17"/>
      <c r="E28" s="17"/>
    </row>
    <row r="29" spans="1:6" ht="13" x14ac:dyDescent="0.3">
      <c r="A29" s="20" t="s">
        <v>82</v>
      </c>
      <c r="B29" s="19"/>
      <c r="C29" s="17"/>
      <c r="D29" s="17"/>
      <c r="E29" s="17"/>
      <c r="F29" s="17"/>
    </row>
    <row r="30" spans="1:6" x14ac:dyDescent="0.25">
      <c r="A30" s="20" t="s">
        <v>399</v>
      </c>
      <c r="C30" s="17"/>
      <c r="D30" s="17"/>
      <c r="E30" s="17"/>
      <c r="F30" s="17"/>
    </row>
    <row r="31" spans="1:6" ht="12.75" customHeight="1" x14ac:dyDescent="0.25">
      <c r="A31" s="20" t="s">
        <v>400</v>
      </c>
      <c r="B31" s="25"/>
      <c r="C31" s="22"/>
      <c r="D31" s="22"/>
      <c r="E31" s="22"/>
      <c r="F31" s="22"/>
    </row>
    <row r="32" spans="1:6" x14ac:dyDescent="0.25">
      <c r="B32" s="26"/>
      <c r="C32" s="17"/>
      <c r="D32" s="17"/>
      <c r="E32" s="17"/>
    </row>
    <row r="33" spans="1:5" hidden="1" x14ac:dyDescent="0.25">
      <c r="A33" s="17"/>
      <c r="B33" s="17"/>
      <c r="C33" s="17"/>
      <c r="D33" s="17"/>
    </row>
    <row r="34" spans="1:5" ht="12.75" hidden="1" customHeight="1" x14ac:dyDescent="0.25"/>
    <row r="35" spans="1:5" hidden="1" x14ac:dyDescent="0.25">
      <c r="A35" s="17"/>
      <c r="B35" s="17"/>
      <c r="C35" s="17"/>
      <c r="D35" s="17"/>
      <c r="E35" s="17"/>
    </row>
    <row r="36" spans="1:5" hidden="1" x14ac:dyDescent="0.25">
      <c r="A36" s="17"/>
      <c r="B36" s="17"/>
      <c r="C36" s="17"/>
      <c r="D36" s="17"/>
      <c r="E36" s="17"/>
    </row>
    <row r="37" spans="1:5" hidden="1" x14ac:dyDescent="0.25">
      <c r="A37" s="17"/>
      <c r="B37" s="17"/>
      <c r="C37" s="17"/>
      <c r="D37" s="17"/>
      <c r="E37" s="17"/>
    </row>
    <row r="38" spans="1:5" hidden="1" x14ac:dyDescent="0.25">
      <c r="A38" s="17"/>
      <c r="B38" s="17"/>
      <c r="C38" s="17"/>
      <c r="D38" s="17"/>
      <c r="E38" s="17"/>
    </row>
    <row r="39" spans="1:5" hidden="1" x14ac:dyDescent="0.25">
      <c r="A39" s="17"/>
      <c r="B39" s="17"/>
      <c r="C39" s="17"/>
      <c r="D39" s="17"/>
      <c r="E39" s="17"/>
    </row>
  </sheetData>
  <sheetProtection sheet="1" formatCells="0" insertRows="0" deleteRows="0"/>
  <mergeCells count="10">
    <mergeCell ref="D25:E25"/>
    <mergeCell ref="B6:E6"/>
    <mergeCell ref="B5:E5"/>
    <mergeCell ref="B7:E7"/>
    <mergeCell ref="A1:E1"/>
    <mergeCell ref="B2:E2"/>
    <mergeCell ref="B3:E3"/>
    <mergeCell ref="B4:E4"/>
    <mergeCell ref="A9:E9"/>
    <mergeCell ref="A8:E8"/>
  </mergeCells>
  <dataValidations count="3">
    <dataValidation type="date" errorStyle="warning" allowBlank="1" showInputMessage="1" showErrorMessage="1" error="This date may be outside the timeframe indicated (eg 2018/19 year)" prompt="Any non-standard date format or date outside the disclosure period (typically 1 July 2018 - 30 June 2019) will raise an alert. Check entry and select 'Yes' to accept/continue." sqref="A11 A24" xr:uid="{00000000-0002-0000-0400-000000000000}">
      <formula1>$B$4</formula1>
      <formula2>$B$5</formula2>
    </dataValidation>
    <dataValidation allowBlank="1" showInputMessage="1" showErrorMessage="1" prompt="Insert additional rows as needed:_x000a_- 'right click' on a row number (left of screen)_x000a_- select 'Insert' (this will insert a row above it)" sqref="A10" xr:uid="{00000000-0002-0000-0400-000001000000}"/>
    <dataValidation type="date" errorStyle="warning" allowBlank="1" showInputMessage="1" showErrorMessage="1" error="This date may be outside the timeframe indicated (eg 2018/19 year)" prompt="Any non-standard date format or date outside the disclosure period (typically 1 July - 30 June) will raise an alert. Check entry and select 'Yes' to accept/continue." sqref="A12 A13 A14 A15 A16 A17 A18 A19 A20 A21 A22 A23" xr:uid="{687D4BD6-8F5F-4681-B352-360D3908846F}">
      <formula1>$B$4</formula1>
      <formula2>$B$5</formula2>
    </dataValidation>
  </dataValidations>
  <printOptions gridLines="1"/>
  <pageMargins left="0.70866141732283472" right="0.70866141732283472" top="0.74803149606299213" bottom="0.74803149606299213" header="0.31496062992125984" footer="0.31496062992125984"/>
  <pageSetup paperSize="9" scale="69" fitToHeight="0" orientation="landscape" r:id="rId1"/>
  <headerFooter alignWithMargins="0">
    <oddFooter>&amp;LCE Expense Disclosure Workbook 2018&amp;RWorksheet - All other expenses</oddFooter>
  </headerFooter>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error="Use the drop down list (at the right of the cell)" prompt="Do dollar figures on this sheet include or exclude GST?  (be consistent - all inclusive or exclusive)_x000a__x000a_[use drop down list at right of cell]_x000a__x000a_If possible, please include/exclude GST consistently across all sheets" xr:uid="{00000000-0002-0000-0400-000002000000}">
          <x14:formula1>
            <xm:f>'Summary and sign-off'!$A$27:$A$28</xm:f>
          </x14:formula1>
          <xm:sqref>B6:E6</xm:sqref>
        </x14:dataValidation>
        <x14:dataValidation type="list" allowBlank="1" showInputMessage="1" showErrorMessage="1" error="Use the drop down list (at the right of the cell)" prompt="Totals should accurately sum the content of tables but this may be affected by input method - e.g. hidden or inappropriate data._x000a__x000a_It is each agency's responsibility to confirm the accuracy of data and totals._x000a__x000a_[use drop down list to confirm this check]" xr:uid="{00000000-0002-0000-0400-000003000000}">
          <x14:formula1>
            <xm:f>'Summary and sign-off'!$A$29:$A$30</xm:f>
          </x14:formula1>
          <xm:sqref>B7:E7</xm:sqref>
        </x14:dataValidation>
        <x14:dataValidation type="decimal" operator="greaterThan" allowBlank="1" showInputMessage="1" showErrorMessage="1" error="This cell must contain a dollar figure" xr:uid="{00000000-0002-0000-0400-000004000000}">
          <x14:formula1>
            <xm:f>'Summary and sign-off'!$A$47</xm:f>
          </x14:formula1>
          <xm:sqref>B11:B24</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249977111117893"/>
    <pageSetUpPr fitToPage="1"/>
  </sheetPr>
  <dimension ref="A1:J56"/>
  <sheetViews>
    <sheetView topLeftCell="A4" zoomScaleNormal="100" workbookViewId="0">
      <selection activeCell="A15" sqref="A15"/>
    </sheetView>
  </sheetViews>
  <sheetFormatPr defaultColWidth="0" defaultRowHeight="12.5" zeroHeight="1" x14ac:dyDescent="0.25"/>
  <cols>
    <col min="1" max="1" width="35.7265625" customWidth="1"/>
    <col min="2" max="2" width="46.81640625" customWidth="1"/>
    <col min="3" max="3" width="22.1796875" customWidth="1"/>
    <col min="4" max="4" width="25.453125" customWidth="1"/>
    <col min="5" max="6" width="35.7265625" customWidth="1"/>
    <col min="7" max="7" width="38" customWidth="1"/>
    <col min="8" max="10" width="9.1796875" hidden="1" customWidth="1"/>
    <col min="11" max="15" width="0" hidden="1" customWidth="1"/>
  </cols>
  <sheetData>
    <row r="1" spans="1:6" ht="26.25" customHeight="1" x14ac:dyDescent="0.25">
      <c r="A1" s="148" t="s">
        <v>408</v>
      </c>
      <c r="B1" s="148"/>
      <c r="C1" s="148"/>
      <c r="D1" s="148"/>
      <c r="E1" s="148"/>
      <c r="F1" s="148"/>
    </row>
    <row r="2" spans="1:6" ht="21" customHeight="1" x14ac:dyDescent="0.25">
      <c r="A2" s="3" t="s">
        <v>113</v>
      </c>
      <c r="B2" s="146" t="str">
        <f>'Summary and sign-off'!B2:F2</f>
        <v>Sport NZ</v>
      </c>
      <c r="C2" s="146"/>
      <c r="D2" s="146"/>
      <c r="E2" s="146"/>
      <c r="F2" s="146"/>
    </row>
    <row r="3" spans="1:6" ht="31" x14ac:dyDescent="0.25">
      <c r="A3" s="3" t="s">
        <v>114</v>
      </c>
      <c r="B3" s="146" t="str">
        <f>'Summary and sign-off'!B3:F3</f>
        <v>Raelene Castle</v>
      </c>
      <c r="C3" s="146"/>
      <c r="D3" s="146"/>
      <c r="E3" s="146"/>
      <c r="F3" s="146"/>
    </row>
    <row r="4" spans="1:6" ht="21" customHeight="1" x14ac:dyDescent="0.25">
      <c r="A4" s="3" t="s">
        <v>115</v>
      </c>
      <c r="B4" s="146">
        <f>'Summary and sign-off'!B4:F4</f>
        <v>45474</v>
      </c>
      <c r="C4" s="146"/>
      <c r="D4" s="146"/>
      <c r="E4" s="146"/>
      <c r="F4" s="146"/>
    </row>
    <row r="5" spans="1:6" ht="21" customHeight="1" x14ac:dyDescent="0.25">
      <c r="A5" s="3" t="s">
        <v>116</v>
      </c>
      <c r="B5" s="146">
        <f>'Summary and sign-off'!B5:F5</f>
        <v>45838</v>
      </c>
      <c r="C5" s="146"/>
      <c r="D5" s="146"/>
      <c r="E5" s="146"/>
      <c r="F5" s="146"/>
    </row>
    <row r="6" spans="1:6" ht="21" customHeight="1" x14ac:dyDescent="0.25">
      <c r="A6" s="3" t="s">
        <v>409</v>
      </c>
      <c r="B6" s="141" t="s">
        <v>84</v>
      </c>
      <c r="C6" s="141"/>
      <c r="D6" s="141"/>
      <c r="E6" s="141"/>
      <c r="F6" s="141"/>
    </row>
    <row r="7" spans="1:6" ht="21" customHeight="1" x14ac:dyDescent="0.25">
      <c r="A7" s="3" t="s">
        <v>58</v>
      </c>
      <c r="B7" s="141" t="s">
        <v>86</v>
      </c>
      <c r="C7" s="141"/>
      <c r="D7" s="141"/>
      <c r="E7" s="141"/>
      <c r="F7" s="141"/>
    </row>
    <row r="8" spans="1:6" ht="36" customHeight="1" x14ac:dyDescent="0.25">
      <c r="A8" s="151" t="s">
        <v>410</v>
      </c>
      <c r="B8" s="151"/>
      <c r="C8" s="151"/>
      <c r="D8" s="151"/>
      <c r="E8" s="151"/>
      <c r="F8" s="151"/>
    </row>
    <row r="9" spans="1:6" ht="36" customHeight="1" x14ac:dyDescent="0.25">
      <c r="A9" s="159" t="s">
        <v>411</v>
      </c>
      <c r="B9" s="160"/>
      <c r="C9" s="160"/>
      <c r="D9" s="160"/>
      <c r="E9" s="160"/>
      <c r="F9" s="160"/>
    </row>
    <row r="10" spans="1:6" ht="39" customHeight="1" x14ac:dyDescent="0.25">
      <c r="A10" s="24" t="s">
        <v>121</v>
      </c>
      <c r="B10" s="107" t="s">
        <v>412</v>
      </c>
      <c r="C10" s="107" t="s">
        <v>413</v>
      </c>
      <c r="D10" s="107" t="s">
        <v>414</v>
      </c>
      <c r="E10" s="107" t="s">
        <v>415</v>
      </c>
      <c r="F10" s="107" t="s">
        <v>416</v>
      </c>
    </row>
    <row r="11" spans="1:6" s="2" customFormat="1" x14ac:dyDescent="0.25">
      <c r="A11" s="112">
        <v>45486</v>
      </c>
      <c r="B11" s="117" t="s">
        <v>417</v>
      </c>
      <c r="C11" s="120" t="s">
        <v>99</v>
      </c>
      <c r="D11" s="117" t="s">
        <v>418</v>
      </c>
      <c r="E11" s="121" t="s">
        <v>95</v>
      </c>
      <c r="F11" s="118"/>
    </row>
    <row r="12" spans="1:6" s="2" customFormat="1" x14ac:dyDescent="0.25">
      <c r="A12" s="112">
        <v>45564</v>
      </c>
      <c r="B12" s="117" t="s">
        <v>419</v>
      </c>
      <c r="C12" s="120" t="s">
        <v>99</v>
      </c>
      <c r="D12" s="117" t="s">
        <v>420</v>
      </c>
      <c r="E12" s="121" t="s">
        <v>94</v>
      </c>
      <c r="F12" s="118"/>
    </row>
    <row r="13" spans="1:6" s="2" customFormat="1" x14ac:dyDescent="0.25">
      <c r="A13" s="112">
        <v>45567</v>
      </c>
      <c r="B13" s="119" t="s">
        <v>421</v>
      </c>
      <c r="C13" s="120" t="s">
        <v>100</v>
      </c>
      <c r="D13" s="119" t="s">
        <v>420</v>
      </c>
      <c r="E13" s="121" t="s">
        <v>94</v>
      </c>
      <c r="F13" s="122"/>
    </row>
    <row r="14" spans="1:6" s="2" customFormat="1" x14ac:dyDescent="0.25">
      <c r="A14" s="112">
        <v>45571</v>
      </c>
      <c r="B14" s="119" t="s">
        <v>451</v>
      </c>
      <c r="C14" s="120" t="s">
        <v>99</v>
      </c>
      <c r="D14" s="119" t="s">
        <v>420</v>
      </c>
      <c r="E14" s="121" t="s">
        <v>94</v>
      </c>
      <c r="F14" s="122"/>
    </row>
    <row r="15" spans="1:6" s="2" customFormat="1" x14ac:dyDescent="0.25">
      <c r="A15" s="112">
        <v>45579</v>
      </c>
      <c r="B15" s="119" t="s">
        <v>422</v>
      </c>
      <c r="C15" s="120" t="s">
        <v>99</v>
      </c>
      <c r="D15" s="119" t="s">
        <v>423</v>
      </c>
      <c r="E15" s="121" t="s">
        <v>94</v>
      </c>
      <c r="F15" s="122"/>
    </row>
    <row r="16" spans="1:6" s="2" customFormat="1" x14ac:dyDescent="0.25">
      <c r="A16" s="112">
        <v>45584</v>
      </c>
      <c r="B16" s="119" t="s">
        <v>424</v>
      </c>
      <c r="C16" s="120" t="s">
        <v>99</v>
      </c>
      <c r="D16" s="119" t="s">
        <v>425</v>
      </c>
      <c r="E16" s="121" t="s">
        <v>94</v>
      </c>
      <c r="F16" s="122"/>
    </row>
    <row r="17" spans="1:7" s="2" customFormat="1" x14ac:dyDescent="0.25">
      <c r="A17" s="112">
        <v>45588</v>
      </c>
      <c r="B17" s="119" t="s">
        <v>426</v>
      </c>
      <c r="C17" s="120" t="s">
        <v>99</v>
      </c>
      <c r="D17" s="119" t="s">
        <v>420</v>
      </c>
      <c r="E17" s="121" t="s">
        <v>94</v>
      </c>
      <c r="F17" s="122"/>
    </row>
    <row r="18" spans="1:7" s="2" customFormat="1" x14ac:dyDescent="0.25">
      <c r="A18" s="112">
        <v>45711</v>
      </c>
      <c r="B18" s="119" t="s">
        <v>427</v>
      </c>
      <c r="C18" s="120" t="s">
        <v>99</v>
      </c>
      <c r="D18" s="119" t="s">
        <v>428</v>
      </c>
      <c r="E18" s="121" t="s">
        <v>94</v>
      </c>
      <c r="F18" s="122"/>
    </row>
    <row r="19" spans="1:7" s="2" customFormat="1" x14ac:dyDescent="0.25">
      <c r="A19" s="112">
        <v>45720</v>
      </c>
      <c r="B19" s="119" t="s">
        <v>429</v>
      </c>
      <c r="C19" s="120" t="s">
        <v>99</v>
      </c>
      <c r="D19" s="119" t="s">
        <v>430</v>
      </c>
      <c r="E19" s="121" t="s">
        <v>95</v>
      </c>
      <c r="F19" s="122"/>
    </row>
    <row r="20" spans="1:7" s="2" customFormat="1" x14ac:dyDescent="0.25">
      <c r="A20" s="129">
        <v>45742</v>
      </c>
      <c r="B20" s="119" t="s">
        <v>431</v>
      </c>
      <c r="C20" s="120" t="s">
        <v>99</v>
      </c>
      <c r="D20" s="119" t="s">
        <v>432</v>
      </c>
      <c r="E20" s="121" t="s">
        <v>94</v>
      </c>
      <c r="F20" s="122"/>
    </row>
    <row r="21" spans="1:7" s="2" customFormat="1" x14ac:dyDescent="0.25">
      <c r="A21" s="112">
        <v>45759</v>
      </c>
      <c r="B21" s="119" t="s">
        <v>433</v>
      </c>
      <c r="C21" s="120" t="s">
        <v>99</v>
      </c>
      <c r="D21" s="119" t="s">
        <v>434</v>
      </c>
      <c r="E21" s="121" t="s">
        <v>94</v>
      </c>
      <c r="F21" s="122"/>
    </row>
    <row r="22" spans="1:7" s="2" customFormat="1" x14ac:dyDescent="0.25">
      <c r="A22" s="112">
        <v>45774</v>
      </c>
      <c r="B22" s="119" t="s">
        <v>435</v>
      </c>
      <c r="C22" s="120" t="s">
        <v>99</v>
      </c>
      <c r="D22" s="119" t="s">
        <v>425</v>
      </c>
      <c r="E22" s="121" t="s">
        <v>94</v>
      </c>
      <c r="F22" s="122"/>
    </row>
    <row r="23" spans="1:7" s="2" customFormat="1" x14ac:dyDescent="0.25">
      <c r="A23" s="112">
        <v>45794</v>
      </c>
      <c r="B23" s="119" t="s">
        <v>436</v>
      </c>
      <c r="C23" s="120" t="s">
        <v>99</v>
      </c>
      <c r="D23" s="119" t="s">
        <v>418</v>
      </c>
      <c r="E23" s="121" t="s">
        <v>94</v>
      </c>
      <c r="F23" s="122"/>
    </row>
    <row r="24" spans="1:7" s="2" customFormat="1" x14ac:dyDescent="0.25">
      <c r="A24" s="112"/>
      <c r="B24" s="119"/>
      <c r="C24" s="120"/>
      <c r="D24" s="119"/>
      <c r="E24" s="121"/>
      <c r="F24" s="122"/>
    </row>
    <row r="25" spans="1:7" s="2" customFormat="1" x14ac:dyDescent="0.25">
      <c r="A25" s="112"/>
      <c r="B25" s="119"/>
      <c r="C25" s="120"/>
      <c r="D25" s="119"/>
      <c r="E25" s="121"/>
      <c r="F25" s="122"/>
    </row>
    <row r="26" spans="1:7" s="2" customFormat="1" hidden="1" x14ac:dyDescent="0.25">
      <c r="A26" s="91"/>
      <c r="B26" s="96"/>
      <c r="C26" s="98"/>
      <c r="D26" s="96"/>
      <c r="E26" s="99"/>
      <c r="F26" s="97"/>
    </row>
    <row r="27" spans="1:7" ht="34.5" customHeight="1" x14ac:dyDescent="0.25">
      <c r="A27" s="108" t="s">
        <v>437</v>
      </c>
      <c r="B27" s="109" t="s">
        <v>438</v>
      </c>
      <c r="C27" s="110">
        <f>C28+C29</f>
        <v>13</v>
      </c>
      <c r="D27" s="111" t="str">
        <f>IF(SUBTOTAL(3,C11:C26)=SUBTOTAL(103,C11:C26),'Summary and sign-off'!$A$48,'Summary and sign-off'!$A$49)</f>
        <v>Check - there are no hidden rows with data</v>
      </c>
      <c r="E27" s="154" t="str">
        <f>IF('Summary and sign-off'!F60='Summary and sign-off'!F54,'Summary and sign-off'!A52,'Summary and sign-off'!A50)</f>
        <v>Check - each entry provides sufficient information</v>
      </c>
      <c r="F27" s="154"/>
      <c r="G27" s="2"/>
    </row>
    <row r="28" spans="1:7" ht="25.5" customHeight="1" x14ac:dyDescent="0.35">
      <c r="A28" s="54"/>
      <c r="B28" s="55" t="s">
        <v>99</v>
      </c>
      <c r="C28" s="56">
        <f>COUNTIF(C11:C26,'Summary and sign-off'!A45)</f>
        <v>12</v>
      </c>
      <c r="D28" s="14"/>
      <c r="E28" s="15"/>
      <c r="F28" s="16"/>
    </row>
    <row r="29" spans="1:7" ht="25.5" customHeight="1" x14ac:dyDescent="0.35">
      <c r="A29" s="54"/>
      <c r="B29" s="55" t="s">
        <v>100</v>
      </c>
      <c r="C29" s="56">
        <f>COUNTIF(C11:C26,'Summary and sign-off'!A46)</f>
        <v>1</v>
      </c>
      <c r="D29" s="14"/>
      <c r="E29" s="15"/>
      <c r="F29" s="16"/>
    </row>
    <row r="30" spans="1:7" ht="13" x14ac:dyDescent="0.3">
      <c r="A30" s="17"/>
      <c r="B30" s="18"/>
      <c r="C30" s="17"/>
      <c r="D30" s="19"/>
      <c r="E30" s="19"/>
      <c r="F30" s="17"/>
    </row>
    <row r="31" spans="1:7" ht="13" x14ac:dyDescent="0.3">
      <c r="A31" s="18" t="s">
        <v>407</v>
      </c>
      <c r="B31" s="18"/>
      <c r="C31" s="18"/>
      <c r="D31" s="18"/>
      <c r="E31" s="18"/>
      <c r="F31" s="18"/>
    </row>
    <row r="32" spans="1:7" ht="12.75" customHeight="1" x14ac:dyDescent="0.25">
      <c r="A32" s="20" t="s">
        <v>375</v>
      </c>
      <c r="B32" s="17"/>
      <c r="C32" s="17"/>
      <c r="D32" s="17"/>
      <c r="E32" s="17"/>
    </row>
    <row r="33" spans="1:6" ht="13" x14ac:dyDescent="0.3">
      <c r="A33" s="20" t="s">
        <v>82</v>
      </c>
      <c r="B33" s="19"/>
      <c r="C33" s="17"/>
      <c r="D33" s="17"/>
      <c r="E33" s="17"/>
      <c r="F33" s="17"/>
    </row>
    <row r="34" spans="1:6" ht="13" x14ac:dyDescent="0.3">
      <c r="A34" s="20" t="s">
        <v>439</v>
      </c>
      <c r="B34" s="21"/>
      <c r="C34" s="21"/>
      <c r="D34" s="21"/>
      <c r="E34" s="21"/>
      <c r="F34" s="21"/>
    </row>
    <row r="35" spans="1:6" ht="12.75" customHeight="1" x14ac:dyDescent="0.25">
      <c r="A35" s="20" t="s">
        <v>440</v>
      </c>
      <c r="B35" s="17"/>
      <c r="C35" s="17"/>
      <c r="D35" s="17"/>
      <c r="E35" s="17"/>
      <c r="F35" s="17"/>
    </row>
    <row r="36" spans="1:6" ht="13" customHeight="1" x14ac:dyDescent="0.25">
      <c r="A36" s="20" t="s">
        <v>441</v>
      </c>
      <c r="B36" s="17"/>
      <c r="C36" s="17"/>
      <c r="D36" s="17"/>
      <c r="E36" s="17"/>
      <c r="F36" s="17"/>
    </row>
    <row r="37" spans="1:6" x14ac:dyDescent="0.25">
      <c r="A37" s="20" t="s">
        <v>442</v>
      </c>
      <c r="C37" s="17"/>
      <c r="D37" s="17"/>
      <c r="E37" s="17"/>
      <c r="F37" s="17"/>
    </row>
    <row r="38" spans="1:6" ht="12.75" customHeight="1" x14ac:dyDescent="0.25">
      <c r="A38" s="20" t="s">
        <v>400</v>
      </c>
      <c r="B38" s="20"/>
      <c r="C38" s="22"/>
      <c r="D38" s="22"/>
      <c r="E38" s="22"/>
      <c r="F38" s="22"/>
    </row>
    <row r="39" spans="1:6" ht="12.75" customHeight="1" x14ac:dyDescent="0.25">
      <c r="A39" s="20"/>
      <c r="B39" s="20"/>
      <c r="C39" s="22"/>
      <c r="D39" s="22"/>
      <c r="E39" s="22"/>
      <c r="F39" s="22"/>
    </row>
    <row r="40" spans="1:6" ht="12.75" hidden="1" customHeight="1" x14ac:dyDescent="0.25">
      <c r="A40" s="20"/>
      <c r="B40" s="20"/>
      <c r="C40" s="22"/>
      <c r="D40" s="22"/>
      <c r="E40" s="22"/>
      <c r="F40" s="22"/>
    </row>
    <row r="41" spans="1:6" x14ac:dyDescent="0.25"/>
    <row r="42" spans="1:6" x14ac:dyDescent="0.25"/>
    <row r="43" spans="1:6" ht="13" hidden="1" x14ac:dyDescent="0.3">
      <c r="A43" s="18"/>
      <c r="B43" s="18"/>
      <c r="C43" s="18"/>
      <c r="D43" s="18"/>
      <c r="E43" s="18"/>
      <c r="F43" s="18"/>
    </row>
    <row r="44" spans="1:6" ht="13" hidden="1" x14ac:dyDescent="0.3">
      <c r="A44" s="18"/>
      <c r="B44" s="18"/>
      <c r="C44" s="18"/>
      <c r="D44" s="18"/>
      <c r="E44" s="18"/>
      <c r="F44" s="18"/>
    </row>
    <row r="45" spans="1:6" ht="13" hidden="1" x14ac:dyDescent="0.3">
      <c r="A45" s="18"/>
      <c r="B45" s="18"/>
      <c r="C45" s="18"/>
      <c r="D45" s="18"/>
      <c r="E45" s="18"/>
      <c r="F45" s="18"/>
    </row>
    <row r="46" spans="1:6" ht="13" hidden="1" x14ac:dyDescent="0.3">
      <c r="A46" s="18"/>
      <c r="B46" s="18"/>
      <c r="C46" s="18"/>
      <c r="D46" s="18"/>
      <c r="E46" s="18"/>
      <c r="F46" s="18"/>
    </row>
    <row r="47" spans="1:6" ht="13" hidden="1" x14ac:dyDescent="0.3">
      <c r="A47" s="18"/>
      <c r="B47" s="18"/>
      <c r="C47" s="18"/>
      <c r="D47" s="18"/>
      <c r="E47" s="18"/>
      <c r="F47" s="18"/>
    </row>
    <row r="48" spans="1:6" x14ac:dyDescent="0.25"/>
    <row r="49" x14ac:dyDescent="0.25"/>
    <row r="50" x14ac:dyDescent="0.25"/>
    <row r="51" x14ac:dyDescent="0.25"/>
    <row r="52" x14ac:dyDescent="0.25"/>
    <row r="53" x14ac:dyDescent="0.25"/>
    <row r="54" x14ac:dyDescent="0.25"/>
    <row r="55" x14ac:dyDescent="0.25"/>
    <row r="56" x14ac:dyDescent="0.25"/>
  </sheetData>
  <sheetProtection sheet="1" formatCells="0" insertRows="0" deleteRows="0"/>
  <dataConsolidate/>
  <mergeCells count="10">
    <mergeCell ref="E27:F27"/>
    <mergeCell ref="A8:F8"/>
    <mergeCell ref="A1:F1"/>
    <mergeCell ref="A9:F9"/>
    <mergeCell ref="B2:F2"/>
    <mergeCell ref="B3:F3"/>
    <mergeCell ref="B4:F4"/>
    <mergeCell ref="B7:F7"/>
    <mergeCell ref="B5:F5"/>
    <mergeCell ref="B6:F6"/>
  </mergeCells>
  <dataValidations count="3">
    <dataValidation type="date" errorStyle="warning" allowBlank="1" showInputMessage="1" showErrorMessage="1" error="This date may be outside the timeframe indicated (eg 2018/19 year)" prompt="Any non-standard date format or date outside the disclosure period (typically 1 July 2018 - 30 June 2019) will raise an alert. Check entry and select 'Yes' to accept/continue." sqref="A11:A12 A26" xr:uid="{00000000-0002-0000-0500-000000000000}">
      <formula1>$B$4</formula1>
      <formula2>$B$5</formula2>
    </dataValidation>
    <dataValidation allowBlank="1" showInputMessage="1" showErrorMessage="1" prompt="Insert additional rows as needed:_x000a_- 'right click' on a row number (left of screen)_x000a_- select 'Insert' (this will insert a row above it)" sqref="A10" xr:uid="{00000000-0002-0000-0500-000001000000}"/>
    <dataValidation type="date" errorStyle="warning" allowBlank="1" showInputMessage="1" showErrorMessage="1" error="This date may be outside the timeframe indicated (eg 2018/19 year)" prompt="Any non-standard date format or date outside the disclosure period (typically 1 July - 30 June) will raise an alert. Check entry and select 'Yes' to accept/continue." sqref="A13 A14:A17 A18 A19 A20:A24 A25" xr:uid="{E2AC63DE-68EE-4701-85B3-49225E7647B2}">
      <formula1>$B$4</formula1>
      <formula2>$B$5</formula2>
    </dataValidation>
  </dataValidations>
  <printOptions gridLines="1"/>
  <pageMargins left="0.70866141732283472" right="0.70866141732283472" top="0.74803149606299213" bottom="0.74803149606299213" header="0.31496062992125984" footer="0.31496062992125984"/>
  <pageSetup paperSize="9" scale="66" fitToHeight="0" orientation="landscape" r:id="rId1"/>
  <headerFooter alignWithMargins="0">
    <oddFooter>&amp;LCE Expense Disclosure Workbook 2018&amp;RWorksheet - Gifts and benefits</oddFooter>
  </headerFooter>
  <legacyDrawing r:id="rId2"/>
  <extLst>
    <ext xmlns:x14="http://schemas.microsoft.com/office/spreadsheetml/2009/9/main" uri="{CCE6A557-97BC-4b89-ADB6-D9C93CAAB3DF}">
      <x14:dataValidations xmlns:xm="http://schemas.microsoft.com/office/excel/2006/main" count="4">
        <x14:dataValidation type="list" allowBlank="1" showInputMessage="1" showErrorMessage="1" error="Use the drop down list (at the right of the cell)" prompt="Do dollar figures on this sheet include or exclude GST?  (be consistent - all inclusive or exclusive)_x000a__x000a_[use drop down list at right of cell]_x000a__x000a_If possible, please include/exclude GST consistently across all sheets" xr:uid="{00000000-0002-0000-0500-000004000000}">
          <x14:formula1>
            <xm:f>'Summary and sign-off'!$A$27:$A$28</xm:f>
          </x14:formula1>
          <xm:sqref>B6</xm:sqref>
        </x14:dataValidation>
        <x14:dataValidation type="list" allowBlank="1" showInputMessage="1" showErrorMessage="1" error="Use the drop down list (at the right of the cell)" prompt="Totals should accurately sum the content of tables but this may be affected by input method - e.g. hidden or inappropriate data._x000a__x000a_It is each agency's responsibility to confirm the accuracy of data and totals._x000a__x000a_[use drop down list to confirm this check]" xr:uid="{00000000-0002-0000-0500-000005000000}">
          <x14:formula1>
            <xm:f>'Summary and sign-off'!$A$29:$A$30</xm:f>
          </x14:formula1>
          <xm:sqref>B7:F7</xm:sqref>
        </x14:dataValidation>
        <x14:dataValidation type="list" allowBlank="1" showInputMessage="1" showErrorMessage="1" error="Use the drop down list (at the right of the cell)" xr:uid="{00000000-0002-0000-0500-000002000000}">
          <x14:formula1>
            <xm:f>'Summary and sign-off'!$A$45:$A$46</xm:f>
          </x14:formula1>
          <xm:sqref>C11:C26</xm:sqref>
        </x14:dataValidation>
        <x14:dataValidation type="list" errorStyle="information" operator="greaterThan" allowBlank="1" showInputMessage="1" prompt="Provide specific $ value if possible" xr:uid="{00000000-0002-0000-0500-000003000000}">
          <x14:formula1>
            <xm:f>'Summary and sign-off'!$A$39:$A$44</xm:f>
          </x14:formula1>
          <xm:sqref>E11:E26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862F0-6D91-4553-884A-42D17AB32F55}">
  <dimension ref="A1"/>
  <sheetViews>
    <sheetView workbookViewId="0"/>
  </sheetViews>
  <sheetFormatPr defaultRowHeight="12.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eDocument" ma:contentTypeID="0x0101001E94C3B72383DE4DAA17349E0BBF252600CF303D3B26ED3B43AB85D38A55146184" ma:contentTypeVersion="132" ma:contentTypeDescription="Create a new document." ma:contentTypeScope="" ma:versionID="307057fcda93a4590c8db97f5625aeb4">
  <xsd:schema xmlns:xsd="http://www.w3.org/2001/XMLSchema" xmlns:xs="http://www.w3.org/2001/XMLSchema" xmlns:p="http://schemas.microsoft.com/office/2006/metadata/properties" xmlns:ns2="cb59e981-3bc6-4f52-8729-00103bb11721" xmlns:ns3="542624b3-cffc-481c-adb1-2d25bc83b1e4" xmlns:ns4="4f9c820c-e7e2-444d-97ee-45f2b3485c1d" xmlns:ns5="acb26242-dc21-4420-965a-f5c1d8109808" xmlns:ns6="c91a514c-9034-4fa3-897a-8352025b26ed" xmlns:ns7="15ffb055-6eb4-45a1-bc20-bf2ac0d420da" xmlns:ns8="725c79e5-42ce-4aa0-ac78-b6418001f0d2" targetNamespace="http://schemas.microsoft.com/office/2006/metadata/properties" ma:root="true" ma:fieldsID="f36469fcc339fc337fea0ddb3116f487" ns2:_="" ns3:_="" ns4:_="" ns5:_="" ns6:_="" ns7:_="" ns8:_="">
    <xsd:import namespace="cb59e981-3bc6-4f52-8729-00103bb11721"/>
    <xsd:import namespace="542624b3-cffc-481c-adb1-2d25bc83b1e4"/>
    <xsd:import namespace="4f9c820c-e7e2-444d-97ee-45f2b3485c1d"/>
    <xsd:import namespace="acb26242-dc21-4420-965a-f5c1d8109808"/>
    <xsd:import namespace="c91a514c-9034-4fa3-897a-8352025b26ed"/>
    <xsd:import namespace="15ffb055-6eb4-45a1-bc20-bf2ac0d420da"/>
    <xsd:import namespace="725c79e5-42ce-4aa0-ac78-b6418001f0d2"/>
    <xsd:element name="properties">
      <xsd:complexType>
        <xsd:sequence>
          <xsd:element name="documentManagement">
            <xsd:complexType>
              <xsd:all>
                <xsd:element ref="ns2:g8fd85cd35464210baa823c6298a2c0b" minOccurs="0"/>
                <xsd:element ref="ns3:TaxCatchAll" minOccurs="0"/>
                <xsd:element ref="ns2:e3343728b5c74b3d8fb6c70eb949629a" minOccurs="0"/>
                <xsd:element ref="ns2:fbbc46e6080f4043b8eb3439e6385fb0" minOccurs="0"/>
                <xsd:element ref="ns4:DocumentType" minOccurs="0"/>
                <xsd:element ref="ns5:FinancialYear" minOccurs="0"/>
                <xsd:element ref="ns6:Year" minOccurs="0"/>
                <xsd:element ref="ns7:KeyWords" minOccurs="0"/>
                <xsd:element ref="ns4:Narrative" minOccurs="0"/>
                <xsd:element ref="ns4:Subactivity" minOccurs="0"/>
                <xsd:element ref="ns4:Case" minOccurs="0"/>
                <xsd:element ref="ns4:CategoryName" minOccurs="0"/>
                <xsd:element ref="ns4:CategoryValue" minOccurs="0"/>
                <xsd:element ref="ns4:FunctionGroup" minOccurs="0"/>
                <xsd:element ref="ns4:Function" minOccurs="0"/>
                <xsd:element ref="ns4:Activity" minOccurs="0"/>
                <xsd:element ref="ns6:Channel" minOccurs="0"/>
                <xsd:element ref="ns6:Team" minOccurs="0"/>
                <xsd:element ref="ns4:PRAType" minOccurs="0"/>
                <xsd:element ref="ns4:PRADate1" minOccurs="0"/>
                <xsd:element ref="ns4:PRADate2" minOccurs="0"/>
                <xsd:element ref="ns4:PRADate3" minOccurs="0"/>
                <xsd:element ref="ns4:PRADateDisposal" minOccurs="0"/>
                <xsd:element ref="ns4:PRADateTrigger" minOccurs="0"/>
                <xsd:element ref="ns4:PRAText1" minOccurs="0"/>
                <xsd:element ref="ns4:PRAText2" minOccurs="0"/>
                <xsd:element ref="ns4:PRAText3" minOccurs="0"/>
                <xsd:element ref="ns4:PRAText4" minOccurs="0"/>
                <xsd:element ref="ns4:PRAText5" minOccurs="0"/>
                <xsd:element ref="ns4:AggregationStatus" minOccurs="0"/>
                <xsd:element ref="ns4:Project" minOccurs="0"/>
                <xsd:element ref="ns4:RelatedPeople" minOccurs="0"/>
                <xsd:element ref="ns8:AggregationNarrative" minOccurs="0"/>
                <xsd:element ref="ns7:SecurityClassification" minOccurs="0"/>
                <xsd:element ref="ns6:Level2" minOccurs="0"/>
                <xsd:element ref="ns6:Level3" minOccurs="0"/>
                <xsd:element ref="ns5:RecordID" minOccurs="0"/>
                <xsd:element ref="ns5:PartnerType" minOccurs="0"/>
                <xsd:element ref="ns4:BusinessValue" minOccurs="0"/>
                <xsd:element ref="ns5:zMigrationID" minOccurs="0"/>
                <xsd:element ref="ns5:zLegacy" minOccurs="0"/>
                <xsd:element ref="ns5:zLegacyJSON" minOccurs="0"/>
                <xsd:element ref="ns2:Administrative" minOccurs="0"/>
                <xsd:element ref="ns2:ILDate" minOccurs="0"/>
                <xsd:element ref="ns2:RDClass" minOccurs="0"/>
                <xsd:element ref="ns2:ReadOnlyStatus" minOccurs="0"/>
                <xsd:element ref="ns2:TargetAudience" minOccurs="0"/>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element ref="ns2:MediaServiceBillingMetadata" minOccurs="0"/>
                <xsd:element ref="ns2:SetLabe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59e981-3bc6-4f52-8729-00103bb11721" elementFormDefault="qualified">
    <xsd:import namespace="http://schemas.microsoft.com/office/2006/documentManagement/types"/>
    <xsd:import namespace="http://schemas.microsoft.com/office/infopath/2007/PartnerControls"/>
    <xsd:element name="g8fd85cd35464210baa823c6298a2c0b" ma:index="8" nillable="true" ma:taxonomy="true" ma:internalName="g8fd85cd35464210baa823c6298a2c0b" ma:taxonomyFieldName="Region" ma:displayName="Region" ma:readOnly="false" ma:default="" ma:fieldId="{08fd85cd-3546-4210-baa8-23c6298a2c0b}" ma:taxonomyMulti="true" ma:sspId="d68587a7-d467-4081-ac26-85ae31d62058" ma:termSetId="3c7aa39d-bcb1-4395-95e9-bdfc8bdf89a6" ma:anchorId="00000000-0000-0000-0000-000000000000" ma:open="false" ma:isKeyword="false">
      <xsd:complexType>
        <xsd:sequence>
          <xsd:element ref="pc:Terms" minOccurs="0" maxOccurs="1"/>
        </xsd:sequence>
      </xsd:complexType>
    </xsd:element>
    <xsd:element name="e3343728b5c74b3d8fb6c70eb949629a" ma:index="10" nillable="true" ma:taxonomy="true" ma:internalName="e3343728b5c74b3d8fb6c70eb949629a" ma:taxonomyFieldName="Sport" ma:displayName="Sporting Organisation" ma:indexed="true" ma:readOnly="false" ma:default="" ma:fieldId="{e3343728-b5c7-4b3d-8fb6-c70eb949629a}" ma:sspId="d68587a7-d467-4081-ac26-85ae31d62058" ma:termSetId="a96e8213-cbf3-4924-bad7-8386f835b475" ma:anchorId="00000000-0000-0000-0000-000000000000" ma:open="false" ma:isKeyword="false">
      <xsd:complexType>
        <xsd:sequence>
          <xsd:element ref="pc:Terms" minOccurs="0" maxOccurs="1"/>
        </xsd:sequence>
      </xsd:complexType>
    </xsd:element>
    <xsd:element name="fbbc46e6080f4043b8eb3439e6385fb0" ma:index="11" nillable="true" ma:taxonomy="true" ma:internalName="fbbc46e6080f4043b8eb3439e6385fb0" ma:taxonomyFieldName="Entity" ma:displayName="Related Entity" ma:readOnly="false" ma:default="" ma:fieldId="{fbbc46e6-080f-4043-b8eb-3439e6385fb0}" ma:sspId="d68587a7-d467-4081-ac26-85ae31d62058" ma:termSetId="9b085499-f376-44aa-942c-39fff5b57f3a" ma:anchorId="00000000-0000-0000-0000-000000000000" ma:open="false" ma:isKeyword="false">
      <xsd:complexType>
        <xsd:sequence>
          <xsd:element ref="pc:Terms" minOccurs="0" maxOccurs="1"/>
        </xsd:sequence>
      </xsd:complexType>
    </xsd:element>
    <xsd:element name="Administrative" ma:index="53" nillable="true" ma:displayName="Administrative" ma:hidden="true" ma:internalName="Administrative" ma:readOnly="false">
      <xsd:simpleType>
        <xsd:restriction base="dms:Text">
          <xsd:maxLength value="255"/>
        </xsd:restriction>
      </xsd:simpleType>
    </xsd:element>
    <xsd:element name="ILDate" ma:index="54" nillable="true" ma:displayName="Date" ma:format="DateTime" ma:hidden="true" ma:internalName="ILDate" ma:readOnly="false">
      <xsd:simpleType>
        <xsd:restriction base="dms:DateTime"/>
      </xsd:simpleType>
    </xsd:element>
    <xsd:element name="RDClass" ma:index="55" nillable="true" ma:displayName="Class" ma:default="TESTCLASS" ma:format="Dropdown" ma:hidden="true" ma:internalName="RDClass" ma:readOnly="false">
      <xsd:simpleType>
        <xsd:restriction base="dms:Choice">
          <xsd:enumeration value="DEFAULT"/>
          <xsd:enumeration value="TESTCLASS"/>
          <xsd:enumeration value="Changing from People Mangement to Policies and Procedures"/>
          <xsd:enumeration value="Events Management"/>
          <xsd:enumeration value="Activity Management"/>
          <xsd:enumeration value="Strategic Support"/>
          <xsd:enumeration value="World Cups Office Administration activity"/>
          <xsd:enumeration value="SportNZ - Business Improvement"/>
          <xsd:enumeration value="Active Events"/>
        </xsd:restriction>
      </xsd:simpleType>
    </xsd:element>
    <xsd:element name="ReadOnlyStatus" ma:index="56" nillable="true" ma:displayName="Read Only Status" ma:default="Open" ma:hidden="true" ma:internalName="ReadOnlyStatus" ma:readOnly="false">
      <xsd:simpleType>
        <xsd:restriction base="dms:Choice">
          <xsd:enumeration value="Open"/>
          <xsd:enumeration value="Document"/>
          <xsd:enumeration value="Document and Metadata"/>
        </xsd:restriction>
      </xsd:simpleType>
    </xsd:element>
    <xsd:element name="TargetAudience" ma:index="57" nillable="true" ma:displayName="Target Audience" ma:default="Internal" ma:format="RadioButtons" ma:hidden="true" ma:internalName="TargetAudience" ma:readOnly="false">
      <xsd:simpleType>
        <xsd:union memberTypes="dms:Text">
          <xsd:simpleType>
            <xsd:restriction base="dms:Choice">
              <xsd:enumeration value="Internal"/>
              <xsd:enumeration value="External"/>
            </xsd:restriction>
          </xsd:simpleType>
        </xsd:union>
      </xsd:simpleType>
    </xsd:element>
    <xsd:element name="MediaServiceMetadata" ma:index="58" nillable="true" ma:displayName="MediaServiceMetadata" ma:hidden="true" ma:internalName="MediaServiceMetadata" ma:readOnly="true">
      <xsd:simpleType>
        <xsd:restriction base="dms:Note"/>
      </xsd:simpleType>
    </xsd:element>
    <xsd:element name="MediaServiceFastMetadata" ma:index="59" nillable="true" ma:displayName="MediaServiceFastMetadata" ma:hidden="true" ma:internalName="MediaServiceFastMetadata" ma:readOnly="true">
      <xsd:simpleType>
        <xsd:restriction base="dms:Note"/>
      </xsd:simpleType>
    </xsd:element>
    <xsd:element name="MediaServiceAutoKeyPoints" ma:index="60" nillable="true" ma:displayName="MediaServiceAutoKeyPoints" ma:hidden="true" ma:internalName="MediaServiceAutoKeyPoints" ma:readOnly="true">
      <xsd:simpleType>
        <xsd:restriction base="dms:Note"/>
      </xsd:simpleType>
    </xsd:element>
    <xsd:element name="MediaServiceKeyPoints" ma:index="61" nillable="true" ma:displayName="KeyPoints" ma:internalName="MediaServiceKeyPoints" ma:readOnly="true">
      <xsd:simpleType>
        <xsd:restriction base="dms:Note">
          <xsd:maxLength value="255"/>
        </xsd:restriction>
      </xsd:simpleType>
    </xsd:element>
    <xsd:element name="MediaServiceAutoTags" ma:index="62" nillable="true" ma:displayName="Tags" ma:internalName="MediaServiceAutoTags" ma:readOnly="true">
      <xsd:simpleType>
        <xsd:restriction base="dms:Text"/>
      </xsd:simpleType>
    </xsd:element>
    <xsd:element name="MediaServiceGenerationTime" ma:index="63" nillable="true" ma:displayName="MediaServiceGenerationTime" ma:hidden="true" ma:internalName="MediaServiceGenerationTime" ma:readOnly="true">
      <xsd:simpleType>
        <xsd:restriction base="dms:Text"/>
      </xsd:simpleType>
    </xsd:element>
    <xsd:element name="MediaServiceEventHashCode" ma:index="64" nillable="true" ma:displayName="MediaServiceEventHashCode" ma:hidden="true" ma:internalName="MediaServiceEventHashCode" ma:readOnly="true">
      <xsd:simpleType>
        <xsd:restriction base="dms:Text"/>
      </xsd:simpleType>
    </xsd:element>
    <xsd:element name="MediaServiceObjectDetectorVersions" ma:index="67" nillable="true" ma:displayName="MediaServiceObjectDetectorVersions" ma:hidden="true" ma:indexed="true" ma:internalName="MediaServiceObjectDetectorVersions" ma:readOnly="true">
      <xsd:simpleType>
        <xsd:restriction base="dms:Text"/>
      </xsd:simpleType>
    </xsd:element>
    <xsd:element name="MediaServiceSearchProperties" ma:index="68" nillable="true" ma:displayName="MediaServiceSearchProperties" ma:hidden="true" ma:internalName="MediaServiceSearchProperties" ma:readOnly="true">
      <xsd:simpleType>
        <xsd:restriction base="dms:Note"/>
      </xsd:simpleType>
    </xsd:element>
    <xsd:element name="MediaServiceBillingMetadata" ma:index="69" nillable="true" ma:displayName="MediaServiceBillingMetadata" ma:hidden="true" ma:internalName="MediaServiceBillingMetadata" ma:readOnly="true">
      <xsd:simpleType>
        <xsd:restriction base="dms:Note"/>
      </xsd:simpleType>
    </xsd:element>
    <xsd:element name="SetLabel" ma:index="70" nillable="true" ma:displayName="Set Label" ma:default="RETAIN" ma:hidden="true" ma:internalName="SetLabel">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42624b3-cffc-481c-adb1-2d25bc83b1e4" elementFormDefault="qualified">
    <xsd:import namespace="http://schemas.microsoft.com/office/2006/documentManagement/types"/>
    <xsd:import namespace="http://schemas.microsoft.com/office/infopath/2007/PartnerControls"/>
    <xsd:element name="TaxCatchAll" ma:index="9" nillable="true" ma:displayName="Taxonomy Catch All Column" ma:hidden="true" ma:list="{29c1fd97-ccf6-4a7b-921e-b4d02c325a92}" ma:internalName="TaxCatchAll" ma:showField="CatchAllData" ma:web="542624b3-cffc-481c-adb1-2d25bc83b1e4">
      <xsd:complexType>
        <xsd:complexContent>
          <xsd:extension base="dms:MultiChoiceLookup">
            <xsd:sequence>
              <xsd:element name="Value" type="dms:Lookup" maxOccurs="unbounded" minOccurs="0" nillable="true"/>
            </xsd:sequence>
          </xsd:extension>
        </xsd:complexContent>
      </xsd:complexType>
    </xsd:element>
    <xsd:element name="SharedWithUsers" ma:index="6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6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f9c820c-e7e2-444d-97ee-45f2b3485c1d" elementFormDefault="qualified">
    <xsd:import namespace="http://schemas.microsoft.com/office/2006/documentManagement/types"/>
    <xsd:import namespace="http://schemas.microsoft.com/office/infopath/2007/PartnerControls"/>
    <xsd:element name="DocumentType" ma:index="12" nillable="true" ma:displayName="Document Type" ma:format="Dropdown" ma:internalName="DocumentType">
      <xsd:simpleType>
        <xsd:restriction base="dms:Choice">
          <xsd:enumeration value="Application, certificate, consent related"/>
          <xsd:enumeration value="Briefing Paper"/>
          <xsd:enumeration value="Contract, Variation, Agreement"/>
          <xsd:enumeration value="Correspondence"/>
          <xsd:enumeration value="Data"/>
          <xsd:enumeration value="Email"/>
          <xsd:enumeration value="Employment related"/>
          <xsd:enumeration value="Filenote"/>
          <xsd:enumeration value="Financial related"/>
          <xsd:enumeration value="Image or Multi-media"/>
          <xsd:enumeration value="Knowledge, reference"/>
          <xsd:enumeration value="Meeting related"/>
          <xsd:enumeration value="Plan, programme, monitoring"/>
          <xsd:enumeration value="Policy, guideline, procedure"/>
          <xsd:enumeration value="Presentation"/>
          <xsd:enumeration value="Publication"/>
          <xsd:enumeration value="Report, or planning related"/>
          <xsd:enumeration value="Template, Checklist or Form"/>
        </xsd:restriction>
      </xsd:simpleType>
    </xsd:element>
    <xsd:element name="Narrative" ma:index="16" nillable="true" ma:displayName="Narrative" ma:description="Enter a description of what this document is about." ma:internalName="Narrative" ma:readOnly="false">
      <xsd:simpleType>
        <xsd:restriction base="dms:Note">
          <xsd:maxLength value="255"/>
        </xsd:restriction>
      </xsd:simpleType>
    </xsd:element>
    <xsd:element name="Subactivity" ma:index="19" nillable="true" ma:displayName="Subactivity" ma:default="" ma:hidden="true" ma:indexed="true" ma:internalName="Subactivity" ma:readOnly="false">
      <xsd:simpleType>
        <xsd:restriction base="dms:Text">
          <xsd:maxLength value="255"/>
        </xsd:restriction>
      </xsd:simpleType>
    </xsd:element>
    <xsd:element name="Case" ma:index="20" nillable="true" ma:displayName="Case" ma:default="NA" ma:hidden="true" ma:indexed="true" ma:internalName="Case" ma:readOnly="false">
      <xsd:simpleType>
        <xsd:restriction base="dms:Text">
          <xsd:maxLength value="255"/>
        </xsd:restriction>
      </xsd:simpleType>
    </xsd:element>
    <xsd:element name="CategoryName" ma:index="21" nillable="true" ma:displayName="Category" ma:format="Dropdown" ma:indexed="true" ma:internalName="CategoryName">
      <xsd:simpleType>
        <xsd:union memberTypes="dms:Text">
          <xsd:simpleType>
            <xsd:restriction base="dms:Choice">
              <xsd:enumeration value="Annual Report"/>
              <xsd:enumeration value="Annual Review Questions"/>
              <xsd:enumeration value="Estimates Questions"/>
              <xsd:enumeration value="Quarterly Performance Report"/>
              <xsd:enumeration value="Statement of Intent"/>
              <xsd:enumeration value="Statement of Performance Expectations"/>
              <xsd:enumeration value="Demonstrating Impact"/>
            </xsd:restriction>
          </xsd:simpleType>
        </xsd:union>
      </xsd:simpleType>
    </xsd:element>
    <xsd:element name="CategoryValue" ma:index="22" nillable="true" ma:displayName="Category 2" ma:default="NA" ma:hidden="true" ma:indexed="true" ma:internalName="CategoryValue" ma:readOnly="false">
      <xsd:simpleType>
        <xsd:restriction base="dms:Text">
          <xsd:maxLength value="255"/>
        </xsd:restriction>
      </xsd:simpleType>
    </xsd:element>
    <xsd:element name="FunctionGroup" ma:index="23" nillable="true" ma:displayName="Function Group" ma:default="Sport New Zealand" ma:hidden="true" ma:indexed="true" ma:internalName="FunctionGroup" ma:readOnly="false">
      <xsd:simpleType>
        <xsd:restriction base="dms:Text">
          <xsd:maxLength value="255"/>
        </xsd:restriction>
      </xsd:simpleType>
    </xsd:element>
    <xsd:element name="Function" ma:index="24" nillable="true" ma:displayName="Function" ma:default="Governance" ma:hidden="true" ma:indexed="true" ma:internalName="Function" ma:readOnly="false">
      <xsd:simpleType>
        <xsd:restriction base="dms:Text">
          <xsd:maxLength value="255"/>
        </xsd:restriction>
      </xsd:simpleType>
    </xsd:element>
    <xsd:element name="Activity" ma:index="25" nillable="true" ma:displayName="Activity" ma:default="Management and Governance" ma:hidden="true" ma:indexed="true" ma:internalName="Activity" ma:readOnly="false">
      <xsd:simpleType>
        <xsd:restriction base="dms:Text">
          <xsd:maxLength value="255"/>
        </xsd:restriction>
      </xsd:simpleType>
    </xsd:element>
    <xsd:element name="PRAType" ma:index="28" nillable="true" ma:displayName="PRA Type" ma:default="Doc" ma:hidden="true" ma:internalName="PRAType" ma:readOnly="false">
      <xsd:simpleType>
        <xsd:restriction base="dms:Text">
          <xsd:maxLength value="255"/>
        </xsd:restriction>
      </xsd:simpleType>
    </xsd:element>
    <xsd:element name="PRADate1" ma:index="29" nillable="true" ma:displayName="PRA Date 1" ma:format="DateOnly" ma:hidden="true" ma:internalName="PRADate1" ma:readOnly="false">
      <xsd:simpleType>
        <xsd:restriction base="dms:DateTime"/>
      </xsd:simpleType>
    </xsd:element>
    <xsd:element name="PRADate2" ma:index="30" nillable="true" ma:displayName="PRA Date 2" ma:format="DateOnly" ma:hidden="true" ma:internalName="PRADate2" ma:readOnly="false">
      <xsd:simpleType>
        <xsd:restriction base="dms:DateTime"/>
      </xsd:simpleType>
    </xsd:element>
    <xsd:element name="PRADate3" ma:index="31" nillable="true" ma:displayName="PRA Date 3" ma:format="DateOnly" ma:hidden="true" ma:internalName="PRADate3" ma:readOnly="false">
      <xsd:simpleType>
        <xsd:restriction base="dms:DateTime"/>
      </xsd:simpleType>
    </xsd:element>
    <xsd:element name="PRADateDisposal" ma:index="32" nillable="true" ma:displayName="PRA Date Disposal" ma:format="DateOnly" ma:hidden="true" ma:internalName="PRADateDisposal" ma:readOnly="false">
      <xsd:simpleType>
        <xsd:restriction base="dms:DateTime"/>
      </xsd:simpleType>
    </xsd:element>
    <xsd:element name="PRADateTrigger" ma:index="33" nillable="true" ma:displayName="PRA Date Trigger" ma:format="DateOnly" ma:hidden="true" ma:internalName="PRADateTrigger" ma:readOnly="false">
      <xsd:simpleType>
        <xsd:restriction base="dms:DateTime"/>
      </xsd:simpleType>
    </xsd:element>
    <xsd:element name="PRAText1" ma:index="34" nillable="true" ma:displayName="PRA Text 1" ma:hidden="true" ma:internalName="PRAText1" ma:readOnly="false">
      <xsd:simpleType>
        <xsd:restriction base="dms:Text">
          <xsd:maxLength value="255"/>
        </xsd:restriction>
      </xsd:simpleType>
    </xsd:element>
    <xsd:element name="PRAText2" ma:index="35" nillable="true" ma:displayName="PRA Text 2" ma:hidden="true" ma:internalName="PRAText2" ma:readOnly="false">
      <xsd:simpleType>
        <xsd:restriction base="dms:Text">
          <xsd:maxLength value="255"/>
        </xsd:restriction>
      </xsd:simpleType>
    </xsd:element>
    <xsd:element name="PRAText3" ma:index="36" nillable="true" ma:displayName="PRA Text 3" ma:hidden="true" ma:internalName="PRAText3" ma:readOnly="false">
      <xsd:simpleType>
        <xsd:restriction base="dms:Text">
          <xsd:maxLength value="255"/>
        </xsd:restriction>
      </xsd:simpleType>
    </xsd:element>
    <xsd:element name="PRAText4" ma:index="37" nillable="true" ma:displayName="PRA Text 4" ma:hidden="true" ma:internalName="PRAText4" ma:readOnly="false">
      <xsd:simpleType>
        <xsd:restriction base="dms:Text">
          <xsd:maxLength value="255"/>
        </xsd:restriction>
      </xsd:simpleType>
    </xsd:element>
    <xsd:element name="PRAText5" ma:index="38" nillable="true" ma:displayName="PRA Text 5" ma:hidden="true" ma:internalName="PRAText5" ma:readOnly="false">
      <xsd:simpleType>
        <xsd:restriction base="dms:Text">
          <xsd:maxLength value="255"/>
        </xsd:restriction>
      </xsd:simpleType>
    </xsd:element>
    <xsd:element name="AggregationStatus" ma:index="39" nillable="true" ma:displayName="Aggregation Status" ma:default="Normal" ma:format="Dropdown" ma:hidden="true" ma:internalName="AggregationStatus" ma:readOnly="false">
      <xsd:simpleType>
        <xsd:restriction base="dms:Choice">
          <xsd:enumeration value="Delete Soon"/>
          <xsd:enumeration value="Transfer Soon"/>
          <xsd:enumeration value="Appraise Soon"/>
          <xsd:enumeration value="Delete"/>
          <xsd:enumeration value="Transfer"/>
          <xsd:enumeration value="Appraise"/>
          <xsd:enumeration value="Hold"/>
          <xsd:enumeration value="Normal"/>
        </xsd:restriction>
      </xsd:simpleType>
    </xsd:element>
    <xsd:element name="Project" ma:index="40" nillable="true" ma:displayName="Project" ma:default="NA" ma:hidden="true" ma:internalName="Project" ma:readOnly="false">
      <xsd:simpleType>
        <xsd:restriction base="dms:Text">
          <xsd:maxLength value="255"/>
        </xsd:restriction>
      </xsd:simpleType>
    </xsd:element>
    <xsd:element name="RelatedPeople" ma:index="41" nillable="true" ma:displayName="Related People" ma:hidden="true" ma:list="UserInfo" ma:SharePointGroup="0" ma:internalName="RelatedPeople" ma:readOnly="fals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BusinessValue" ma:index="48" nillable="true" ma:displayName="Business Value" ma:hidden="true" ma:internalName="BusinessValue"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cb26242-dc21-4420-965a-f5c1d8109808" elementFormDefault="qualified">
    <xsd:import namespace="http://schemas.microsoft.com/office/2006/documentManagement/types"/>
    <xsd:import namespace="http://schemas.microsoft.com/office/infopath/2007/PartnerControls"/>
    <xsd:element name="FinancialYear" ma:index="13" nillable="true" ma:displayName="Financial Year" ma:default="2025-2026" ma:format="Dropdown" ma:internalName="FinancialYear">
      <xsd:simpleType>
        <xsd:union memberTypes="dms:Text">
          <xsd:simpleType>
            <xsd:restriction base="dms:Choice">
              <xsd:enumeration value="2028-2029"/>
              <xsd:enumeration value="2027-2028"/>
              <xsd:enumeration value="2026-2027"/>
              <xsd:enumeration value="2025-2026"/>
              <xsd:enumeration value="2024-2025"/>
              <xsd:enumeration value="2023-2024"/>
              <xsd:enumeration value="2022-2023"/>
              <xsd:enumeration value="2021-2022"/>
              <xsd:enumeration value="2020-2021"/>
              <xsd:enumeration value="2019-2020"/>
              <xsd:enumeration value="2018-2019"/>
              <xsd:enumeration value="2017-2018"/>
            </xsd:restriction>
          </xsd:simpleType>
        </xsd:union>
      </xsd:simpleType>
    </xsd:element>
    <xsd:element name="RecordID" ma:index="46" nillable="true" ma:displayName="RecordID" ma:hidden="true" ma:internalName="RecordID" ma:readOnly="false">
      <xsd:simpleType>
        <xsd:restriction base="dms:Text">
          <xsd:maxLength value="255"/>
        </xsd:restriction>
      </xsd:simpleType>
    </xsd:element>
    <xsd:element name="PartnerType" ma:index="47" nillable="true" ma:displayName="Partner Type" ma:hidden="true" ma:internalName="PartnerType" ma:readOnly="false">
      <xsd:simpleType>
        <xsd:restriction base="dms:Text">
          <xsd:maxLength value="255"/>
        </xsd:restriction>
      </xsd:simpleType>
    </xsd:element>
    <xsd:element name="zMigrationID" ma:index="50" nillable="true" ma:displayName="zMigrationID" ma:indexed="true" ma:internalName="zMigrationID">
      <xsd:simpleType>
        <xsd:restriction base="dms:Text">
          <xsd:maxLength value="255"/>
        </xsd:restriction>
      </xsd:simpleType>
    </xsd:element>
    <xsd:element name="zLegacy" ma:index="51" nillable="true" ma:displayName="zLegacy" ma:hidden="true" ma:internalName="zLegacy" ma:readOnly="false">
      <xsd:simpleType>
        <xsd:restriction base="dms:Note"/>
      </xsd:simpleType>
    </xsd:element>
    <xsd:element name="zLegacyJSON" ma:index="52" nillable="true" ma:displayName="zLegacyJSON" ma:hidden="true" ma:internalName="zLegacyJSON" ma:readOnly="fals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91a514c-9034-4fa3-897a-8352025b26ed" elementFormDefault="qualified">
    <xsd:import namespace="http://schemas.microsoft.com/office/2006/documentManagement/types"/>
    <xsd:import namespace="http://schemas.microsoft.com/office/infopath/2007/PartnerControls"/>
    <xsd:element name="Year" ma:index="14" nillable="true" ma:displayName="Year" ma:default="2025" ma:format="Dropdown" ma:indexed="true" ma:internalName="Year">
      <xsd:simpleType>
        <xsd:restriction base="dms:Choice">
          <xsd:enumeration value="2028"/>
          <xsd:enumeration value="2027"/>
          <xsd:enumeration value="2026"/>
          <xsd:enumeration value="2025"/>
          <xsd:enumeration value="2024"/>
          <xsd:enumeration value="2023"/>
          <xsd:enumeration value="2022"/>
          <xsd:enumeration value="2021"/>
          <xsd:enumeration value="2020"/>
          <xsd:enumeration value="2019"/>
          <xsd:enumeration value="2018"/>
          <xsd:enumeration value="2017"/>
          <xsd:enumeration value="2016"/>
          <xsd:enumeration value="2015"/>
          <xsd:enumeration value="2014"/>
          <xsd:enumeration value="2013"/>
          <xsd:enumeration value="2012"/>
          <xsd:enumeration value="2011"/>
          <xsd:enumeration value="2010"/>
          <xsd:enumeration value="2009"/>
          <xsd:enumeration value="2008"/>
          <xsd:enumeration value="2007"/>
          <xsd:enumeration value="2006"/>
          <xsd:enumeration value="2005"/>
          <xsd:enumeration value="2004"/>
          <xsd:enumeration value="2003"/>
          <xsd:enumeration value="2002"/>
          <xsd:enumeration value="2001"/>
          <xsd:enumeration value="2000"/>
        </xsd:restriction>
      </xsd:simpleType>
    </xsd:element>
    <xsd:element name="Channel" ma:index="26" nillable="true" ma:displayName="Channel" ma:default="NA" ma:hidden="true" ma:indexed="true" ma:internalName="Channel" ma:readOnly="false">
      <xsd:simpleType>
        <xsd:restriction base="dms:Text">
          <xsd:maxLength value="255"/>
        </xsd:restriction>
      </xsd:simpleType>
    </xsd:element>
    <xsd:element name="Team" ma:index="27" nillable="true" ma:displayName="Team" ma:default="NA" ma:hidden="true" ma:indexed="true" ma:internalName="Team" ma:readOnly="false">
      <xsd:simpleType>
        <xsd:restriction base="dms:Text">
          <xsd:maxLength value="255"/>
        </xsd:restriction>
      </xsd:simpleType>
    </xsd:element>
    <xsd:element name="Level2" ma:index="44" nillable="true" ma:displayName="Level2" ma:default="NA" ma:hidden="true" ma:internalName="Level2" ma:readOnly="false">
      <xsd:simpleType>
        <xsd:restriction base="dms:Text">
          <xsd:maxLength value="255"/>
        </xsd:restriction>
      </xsd:simpleType>
    </xsd:element>
    <xsd:element name="Level3" ma:index="45" nillable="true" ma:displayName="Level3" ma:hidden="true" ma:internalName="Level3"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5ffb055-6eb4-45a1-bc20-bf2ac0d420da" elementFormDefault="qualified">
    <xsd:import namespace="http://schemas.microsoft.com/office/2006/documentManagement/types"/>
    <xsd:import namespace="http://schemas.microsoft.com/office/infopath/2007/PartnerControls"/>
    <xsd:element name="KeyWords" ma:index="15" nillable="true" ma:displayName="Key Words" ma:internalName="KeyWords">
      <xsd:simpleType>
        <xsd:restriction base="dms:Text"/>
      </xsd:simpleType>
    </xsd:element>
    <xsd:element name="SecurityClassification" ma:index="43" nillable="true" ma:displayName="Security Classification" ma:format="Dropdown" ma:hidden="true" ma:internalName="SecurityClassification" ma:readOnly="false">
      <xsd:simpleType>
        <xsd:restriction base="dms:Choice">
          <xsd:enumeration value="Confidential"/>
          <xsd:enumeration value="Restricted"/>
          <xsd:enumeration value="Unrestricted"/>
        </xsd:restriction>
      </xsd:simpleType>
    </xsd:element>
  </xsd:schema>
  <xsd:schema xmlns:xsd="http://www.w3.org/2001/XMLSchema" xmlns:xs="http://www.w3.org/2001/XMLSchema" xmlns:dms="http://schemas.microsoft.com/office/2006/documentManagement/types" xmlns:pc="http://schemas.microsoft.com/office/infopath/2007/PartnerControls" targetNamespace="725c79e5-42ce-4aa0-ac78-b6418001f0d2" elementFormDefault="qualified">
    <xsd:import namespace="http://schemas.microsoft.com/office/2006/documentManagement/types"/>
    <xsd:import namespace="http://schemas.microsoft.com/office/infopath/2007/PartnerControls"/>
    <xsd:element name="AggregationNarrative" ma:index="42" nillable="true" ma:displayName="Aggregation Narrative" ma:hidden="true" ma:internalName="AggregationNarrative" ma:readOnly="false">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ubactivity xmlns="4f9c820c-e7e2-444d-97ee-45f2b3485c1d" xsi:nil="true"/>
    <PRADateDisposal xmlns="4f9c820c-e7e2-444d-97ee-45f2b3485c1d" xsi:nil="true"/>
    <BusinessValue xmlns="4f9c820c-e7e2-444d-97ee-45f2b3485c1d" xsi:nil="true"/>
    <zLegacy xmlns="acb26242-dc21-4420-965a-f5c1d8109808" xsi:nil="true"/>
    <KeyWords xmlns="15ffb055-6eb4-45a1-bc20-bf2ac0d420da" xsi:nil="true"/>
    <SecurityClassification xmlns="15ffb055-6eb4-45a1-bc20-bf2ac0d420da" xsi:nil="true"/>
    <PartnerType xmlns="acb26242-dc21-4420-965a-f5c1d8109808" xsi:nil="true"/>
    <Administrative xmlns="cb59e981-3bc6-4f52-8729-00103bb11721" xsi:nil="true"/>
    <ILDate xmlns="cb59e981-3bc6-4f52-8729-00103bb11721" xsi:nil="true"/>
    <PRADate3 xmlns="4f9c820c-e7e2-444d-97ee-45f2b3485c1d" xsi:nil="true"/>
    <PRAText5 xmlns="4f9c820c-e7e2-444d-97ee-45f2b3485c1d" xsi:nil="true"/>
    <Level2 xmlns="c91a514c-9034-4fa3-897a-8352025b26ed">NA</Level2>
    <Activity xmlns="4f9c820c-e7e2-444d-97ee-45f2b3485c1d">Management and Governance</Activity>
    <AggregationStatus xmlns="4f9c820c-e7e2-444d-97ee-45f2b3485c1d">Normal</AggregationStatus>
    <CategoryValue xmlns="4f9c820c-e7e2-444d-97ee-45f2b3485c1d">NA</CategoryValue>
    <PRADate2 xmlns="4f9c820c-e7e2-444d-97ee-45f2b3485c1d" xsi:nil="true"/>
    <fbbc46e6080f4043b8eb3439e6385fb0 xmlns="cb59e981-3bc6-4f52-8729-00103bb11721">
      <Terms xmlns="http://schemas.microsoft.com/office/infopath/2007/PartnerControls"/>
    </fbbc46e6080f4043b8eb3439e6385fb0>
    <Case xmlns="4f9c820c-e7e2-444d-97ee-45f2b3485c1d">Sport NZ</Case>
    <PRAText1 xmlns="4f9c820c-e7e2-444d-97ee-45f2b3485c1d" xsi:nil="true"/>
    <PRAText4 xmlns="4f9c820c-e7e2-444d-97ee-45f2b3485c1d" xsi:nil="true"/>
    <Level3 xmlns="c91a514c-9034-4fa3-897a-8352025b26ed" xsi:nil="true"/>
    <ReadOnlyStatus xmlns="cb59e981-3bc6-4f52-8729-00103bb11721">Open</ReadOnlyStatus>
    <Team xmlns="c91a514c-9034-4fa3-897a-8352025b26ed">NA</Team>
    <zMigrationID xmlns="acb26242-dc21-4420-965a-f5c1d8109808" xsi:nil="true"/>
    <e3343728b5c74b3d8fb6c70eb949629a xmlns="cb59e981-3bc6-4f52-8729-00103bb11721">
      <Terms xmlns="http://schemas.microsoft.com/office/infopath/2007/PartnerControls"/>
    </e3343728b5c74b3d8fb6c70eb949629a>
    <Project xmlns="4f9c820c-e7e2-444d-97ee-45f2b3485c1d">NA</Project>
    <RecordID xmlns="acb26242-dc21-4420-965a-f5c1d8109808" xsi:nil="true"/>
    <zLegacyJSON xmlns="acb26242-dc21-4420-965a-f5c1d8109808" xsi:nil="true"/>
    <FunctionGroup xmlns="4f9c820c-e7e2-444d-97ee-45f2b3485c1d">Sport New Zealand</FunctionGroup>
    <Function xmlns="4f9c820c-e7e2-444d-97ee-45f2b3485c1d">Governance</Function>
    <Channel xmlns="c91a514c-9034-4fa3-897a-8352025b26ed">NA</Channel>
    <RelatedPeople xmlns="4f9c820c-e7e2-444d-97ee-45f2b3485c1d">
      <UserInfo>
        <DisplayName/>
        <AccountId xsi:nil="true"/>
        <AccountType/>
      </UserInfo>
    </RelatedPeople>
    <AggregationNarrative xmlns="725c79e5-42ce-4aa0-ac78-b6418001f0d2" xsi:nil="true"/>
    <PRAType xmlns="4f9c820c-e7e2-444d-97ee-45f2b3485c1d">Doc</PRAType>
    <PRADate1 xmlns="4f9c820c-e7e2-444d-97ee-45f2b3485c1d" xsi:nil="true"/>
    <TaxCatchAll xmlns="542624b3-cffc-481c-adb1-2d25bc83b1e4" xsi:nil="true"/>
    <DocumentType xmlns="4f9c820c-e7e2-444d-97ee-45f2b3485c1d" xsi:nil="true"/>
    <FinancialYear xmlns="acb26242-dc21-4420-965a-f5c1d8109808">2024-2025</FinancialYear>
    <PRAText3 xmlns="4f9c820c-e7e2-444d-97ee-45f2b3485c1d" xsi:nil="true"/>
    <TargetAudience xmlns="cb59e981-3bc6-4f52-8729-00103bb11721">Internal</TargetAudience>
    <Year xmlns="c91a514c-9034-4fa3-897a-8352025b26ed">2023</Year>
    <g8fd85cd35464210baa823c6298a2c0b xmlns="cb59e981-3bc6-4f52-8729-00103bb11721">
      <Terms xmlns="http://schemas.microsoft.com/office/infopath/2007/PartnerControls"/>
    </g8fd85cd35464210baa823c6298a2c0b>
    <Narrative xmlns="4f9c820c-e7e2-444d-97ee-45f2b3485c1d" xsi:nil="true"/>
    <CategoryName xmlns="4f9c820c-e7e2-444d-97ee-45f2b3485c1d" xsi:nil="true"/>
    <PRADateTrigger xmlns="4f9c820c-e7e2-444d-97ee-45f2b3485c1d" xsi:nil="true"/>
    <PRAText2 xmlns="4f9c820c-e7e2-444d-97ee-45f2b3485c1d" xsi:nil="true"/>
    <RDClass xmlns="cb59e981-3bc6-4f52-8729-00103bb11721">TESTCLASS</RDClass>
    <SharedWithUsers xmlns="542624b3-cffc-481c-adb1-2d25bc83b1e4">
      <UserInfo>
        <DisplayName>Ken Smart</DisplayName>
        <AccountId>87</AccountId>
        <AccountType/>
      </UserInfo>
      <UserInfo>
        <DisplayName>Nehalkumar patel</DisplayName>
        <AccountId>157</AccountId>
        <AccountType/>
      </UserInfo>
    </SharedWithUsers>
    <SetLabel xmlns="cb59e981-3bc6-4f52-8729-00103bb11721">RETAIN</SetLabel>
  </documentManagement>
</p:properties>
</file>

<file path=customXml/itemProps1.xml><?xml version="1.0" encoding="utf-8"?>
<ds:datastoreItem xmlns:ds="http://schemas.openxmlformats.org/officeDocument/2006/customXml" ds:itemID="{6C6A401E-B983-48F3-ADF0-8594D7EE483B}">
  <ds:schemaRefs>
    <ds:schemaRef ds:uri="http://schemas.microsoft.com/sharepoint/v3/contenttype/forms"/>
  </ds:schemaRefs>
</ds:datastoreItem>
</file>

<file path=customXml/itemProps2.xml><?xml version="1.0" encoding="utf-8"?>
<ds:datastoreItem xmlns:ds="http://schemas.openxmlformats.org/officeDocument/2006/customXml" ds:itemID="{D2A4BA88-DC3C-43E5-A617-2F6C885F744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b59e981-3bc6-4f52-8729-00103bb11721"/>
    <ds:schemaRef ds:uri="542624b3-cffc-481c-adb1-2d25bc83b1e4"/>
    <ds:schemaRef ds:uri="4f9c820c-e7e2-444d-97ee-45f2b3485c1d"/>
    <ds:schemaRef ds:uri="acb26242-dc21-4420-965a-f5c1d8109808"/>
    <ds:schemaRef ds:uri="c91a514c-9034-4fa3-897a-8352025b26ed"/>
    <ds:schemaRef ds:uri="15ffb055-6eb4-45a1-bc20-bf2ac0d420da"/>
    <ds:schemaRef ds:uri="725c79e5-42ce-4aa0-ac78-b6418001f0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579D7F4-D0D7-4BCB-BBEA-E7C37A64913E}">
  <ds:schemaRefs>
    <ds:schemaRef ds:uri="c91a514c-9034-4fa3-897a-8352025b26ed"/>
    <ds:schemaRef ds:uri="http://schemas.microsoft.com/office/2006/documentManagement/types"/>
    <ds:schemaRef ds:uri="http://purl.org/dc/elements/1.1/"/>
    <ds:schemaRef ds:uri="http://www.w3.org/XML/1998/namespace"/>
    <ds:schemaRef ds:uri="542624b3-cffc-481c-adb1-2d25bc83b1e4"/>
    <ds:schemaRef ds:uri="15ffb055-6eb4-45a1-bc20-bf2ac0d420da"/>
    <ds:schemaRef ds:uri="http://purl.org/dc/dcmitype/"/>
    <ds:schemaRef ds:uri="http://schemas.microsoft.com/office/2006/metadata/properties"/>
    <ds:schemaRef ds:uri="acb26242-dc21-4420-965a-f5c1d8109808"/>
    <ds:schemaRef ds:uri="http://schemas.microsoft.com/office/infopath/2007/PartnerControls"/>
    <ds:schemaRef ds:uri="http://schemas.openxmlformats.org/package/2006/metadata/core-properties"/>
    <ds:schemaRef ds:uri="725c79e5-42ce-4aa0-ac78-b6418001f0d2"/>
    <ds:schemaRef ds:uri="4f9c820c-e7e2-444d-97ee-45f2b3485c1d"/>
    <ds:schemaRef ds:uri="cb59e981-3bc6-4f52-8729-00103bb11721"/>
    <ds:schemaRef ds:uri="http://purl.org/dc/terms/"/>
  </ds:schemaRefs>
</ds:datastoreItem>
</file>

<file path=docMetadata/LabelInfo.xml><?xml version="1.0" encoding="utf-8"?>
<clbl:labelList xmlns:clbl="http://schemas.microsoft.com/office/2020/mipLabelMetadata">
  <clbl:label id="{9d5ca952-e4a5-43e6-b17c-c01d313ad135}" enabled="0" method="" siteId="{9d5ca952-e4a5-43e6-b17c-c01d313ad135}"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Guidance for agencies</vt:lpstr>
      <vt:lpstr>Summary and sign-off</vt:lpstr>
      <vt:lpstr>Travel</vt:lpstr>
      <vt:lpstr>Hospitality</vt:lpstr>
      <vt:lpstr>All other expenses</vt:lpstr>
      <vt:lpstr>Gifts and benefits</vt:lpstr>
      <vt:lpstr>Sheet1</vt:lpstr>
      <vt:lpstr>'All other expenses'!Print_Area</vt:lpstr>
      <vt:lpstr>'Gifts and benefits'!Print_Area</vt:lpstr>
      <vt:lpstr>'Guidance for agencies'!Print_Area</vt:lpstr>
      <vt:lpstr>Hospitality!Print_Area</vt:lpstr>
      <vt:lpstr>'Summary and sign-off'!Print_Area</vt:lpstr>
      <vt:lpstr>Travel!Print_Area</vt:lpstr>
    </vt:vector>
  </TitlesOfParts>
  <Manager/>
  <Company>SSC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CE-Expense-Disclosure-Workbook-2018</dc:title>
  <dc:subject/>
  <dc:creator>mortensenm</dc:creator>
  <cp:keywords/>
  <dc:description>Version 7 - for review by SIT - ready 2/10/18</dc:description>
  <cp:lastModifiedBy>Paula Ryan</cp:lastModifiedBy>
  <cp:revision/>
  <dcterms:created xsi:type="dcterms:W3CDTF">2023-06-26T21:29:34Z</dcterms:created>
  <dcterms:modified xsi:type="dcterms:W3CDTF">2025-07-31T02:40:41Z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0x0101001E94C3B72383DE4DAA17349E0BBF252600CF303D3B26ED3B43AB85D38A55146184</vt:lpwstr>
  </property>
  <property fmtid="{D5CDD505-2E9C-101B-9397-08002B2CF9AE}" pid="3" name="Modified_x0020_By">
    <vt:lpwstr/>
  </property>
  <property fmtid="{D5CDD505-2E9C-101B-9397-08002B2CF9AE}" pid="4" name="Created By">
    <vt:lpwstr/>
  </property>
  <property fmtid="{D5CDD505-2E9C-101B-9397-08002B2CF9AE}" pid="5" name="Modified By">
    <vt:lpwstr/>
  </property>
  <property fmtid="{D5CDD505-2E9C-101B-9397-08002B2CF9AE}" pid="6" name="Created_x0020_By">
    <vt:lpwstr/>
  </property>
  <property fmtid="{D5CDD505-2E9C-101B-9397-08002B2CF9AE}" pid="7" name="AuthorIds_UIVersion_3585">
    <vt:lpwstr>122</vt:lpwstr>
  </property>
  <property fmtid="{D5CDD505-2E9C-101B-9397-08002B2CF9AE}" pid="8" name="AuthorIds_UIVersion_3587">
    <vt:lpwstr>122</vt:lpwstr>
  </property>
  <property fmtid="{D5CDD505-2E9C-101B-9397-08002B2CF9AE}" pid="9" name="_dlc_DocIdItemGuid">
    <vt:lpwstr>7132db39-8620-438b-a768-7a99ec14233a</vt:lpwstr>
  </property>
  <property fmtid="{D5CDD505-2E9C-101B-9397-08002B2CF9AE}" pid="10" name="SharedWithUsers">
    <vt:lpwstr>87;#Ken Smart;#157;#Nehalkumar patel</vt:lpwstr>
  </property>
  <property fmtid="{D5CDD505-2E9C-101B-9397-08002B2CF9AE}" pid="11" name="Entity">
    <vt:lpwstr/>
  </property>
  <property fmtid="{D5CDD505-2E9C-101B-9397-08002B2CF9AE}" pid="12" name="Region">
    <vt:lpwstr/>
  </property>
  <property fmtid="{D5CDD505-2E9C-101B-9397-08002B2CF9AE}" pid="13" name="Sport">
    <vt:lpwstr/>
  </property>
</Properties>
</file>