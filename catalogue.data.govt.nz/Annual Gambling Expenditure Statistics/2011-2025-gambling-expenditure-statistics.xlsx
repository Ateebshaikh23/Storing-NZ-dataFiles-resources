
<file path=[Content_Types].xml><?xml version="1.0" encoding="utf-8"?>
<Types xmlns="http://schemas.openxmlformats.org/package/2006/content-types">
  <Default Extension="7BB6F030" ContentType="image/png"/>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showInkAnnotation="0" codeName="ThisWorkbook"/>
  <xr:revisionPtr revIDLastSave="186" documentId="8_{8E7250B2-8AAB-4046-A53E-28B89261EDED}" xr6:coauthVersionLast="47" xr6:coauthVersionMax="47" xr10:uidLastSave="{6A81C6DC-0043-4527-839A-09C833E65711}"/>
  <bookViews>
    <workbookView xWindow="-120" yWindow="-16320" windowWidth="29040" windowHeight="15720" tabRatio="915" xr2:uid="{00000000-000D-0000-FFFF-FFFF00000000}"/>
  </bookViews>
  <sheets>
    <sheet name="Actual (nominal) statistics" sheetId="1" r:id="rId1"/>
    <sheet name="Inflation adjusted statistics" sheetId="2" r:id="rId2"/>
    <sheet name="Population adjusted statistics" sheetId="3" r:id="rId3"/>
    <sheet name="Charts" sheetId="4" r:id="rId4"/>
    <sheet name="Explanations" sheetId="14" r:id="rId5"/>
  </sheets>
  <definedNames>
    <definedName name="_xlnm.Print_Area" localSheetId="0">'Actual (nominal) statistics'!$A$1:$P$34</definedName>
    <definedName name="_xlnm.Print_Area" localSheetId="3">Charts!$B$1:$AD$62</definedName>
    <definedName name="_xlnm.Print_Area" localSheetId="4">Explanations!$A$1:$G$33</definedName>
    <definedName name="_xlnm.Print_Area" localSheetId="1">'Inflation adjusted statistics'!$A$1:$P$37</definedName>
    <definedName name="_xlnm.Print_Area" localSheetId="2">'Population adjusted statistics'!$A$1:$P$41</definedName>
    <definedName name="_xlnm.Print_Titles" localSheetId="3">Charts!$2:$3</definedName>
    <definedName name="Z_EBB0A14B_91AF_4E6D_9E4F_8AE65D9A1C48_.wvu.PrintArea" localSheetId="4" hidden="1">Explanations!$A$1:$G$32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1" l="1"/>
</calcChain>
</file>

<file path=xl/sharedStrings.xml><?xml version="1.0" encoding="utf-8"?>
<sst xmlns="http://schemas.openxmlformats.org/spreadsheetml/2006/main" count="134" uniqueCount="45">
  <si>
    <t>Gambling operators' key financial statistics (actual)</t>
  </si>
  <si>
    <t>All values are actual (not inflation adjusted), in NZ dollars, GST inclusive and rounded to the nearest million ($'000000).</t>
  </si>
  <si>
    <t>Financial Year</t>
  </si>
  <si>
    <t>2010/11</t>
  </si>
  <si>
    <t>2011/12</t>
  </si>
  <si>
    <t>2012/13</t>
  </si>
  <si>
    <t>2013/14</t>
  </si>
  <si>
    <t>2014/15</t>
  </si>
  <si>
    <t>2015/16</t>
  </si>
  <si>
    <t>2016/17</t>
  </si>
  <si>
    <t>2017/18</t>
  </si>
  <si>
    <t>2018/19</t>
  </si>
  <si>
    <t>2019/20</t>
  </si>
  <si>
    <t>2020/21</t>
  </si>
  <si>
    <t>2021/22</t>
  </si>
  <si>
    <t>2022/23</t>
  </si>
  <si>
    <t>2023/24</t>
  </si>
  <si>
    <t>2024/25</t>
  </si>
  <si>
    <t>TAB New Zealand</t>
  </si>
  <si>
    <t>Expenditure</t>
  </si>
  <si>
    <t>Prizes (dividends)</t>
  </si>
  <si>
    <t>Turnover</t>
  </si>
  <si>
    <t>NZ Lotteries Commission</t>
  </si>
  <si>
    <t>Prizes</t>
  </si>
  <si>
    <t>Gaming Machines (outside casinos)</t>
  </si>
  <si>
    <t>Casinos</t>
  </si>
  <si>
    <t>Total</t>
  </si>
  <si>
    <t xml:space="preserve">Note: </t>
  </si>
  <si>
    <t>This table must be read in conjunction with the explanations included with this data release (tab 4).</t>
  </si>
  <si>
    <t xml:space="preserve">Totals may differ from the sum of column entries due to rounding.  </t>
  </si>
  <si>
    <t>With each new release of this information, gambling operators review their previous years' data and, where necessary, provide revised information.</t>
  </si>
  <si>
    <t>Please disregard previously released gambling expenditure statistics for the above financial years.</t>
  </si>
  <si>
    <t>Disclaimer:</t>
  </si>
  <si>
    <t>The Department has compiled these statistics using information from the Electronic Monitoring System and gambling operators.</t>
  </si>
  <si>
    <t>The Department of Internal Affairs disclaims and excludes all liability for any claim, loss, demand or damages of any kind whatsoever (including for negligence) arising out of, or in connection with, the use of this information.</t>
  </si>
  <si>
    <t>Gambling operators' key financial statistics (inflation adjusted)</t>
  </si>
  <si>
    <t>All values are inflation adjusted to a base year of 2010/11, GST inclusive and rounded to the nearest million ($'000000).</t>
  </si>
  <si>
    <t>Inflation adjustment was done using the Statistics New Zealand Consumers Price Index (CPI) (All Groups) as at June of each year (see Explanations tab for more information).</t>
  </si>
  <si>
    <t>Gambling operators' key financial statistics (inflation adjusted, per capita)</t>
  </si>
  <si>
    <t>All values take inflation adjusted expenditure, in $NZD, GST inclusive and divide by the Statistics NZ medium estimate for the population 18 years and over, as at 30 June each year.</t>
  </si>
  <si>
    <t>Per capita calculations are based upon the Statistics New Zealand medium estimate for the population 18 years and over, as at 30 June of each year.</t>
  </si>
  <si>
    <t>Gambling operators' expenditure statistics</t>
  </si>
  <si>
    <t>(actual, inflation and population adjusted)</t>
  </si>
  <si>
    <t>(inflation adjusted, per capita)</t>
  </si>
  <si>
    <t>Gambling operators' key financial statistics - explanations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</si>
</sst>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_-;\-* #,##0_-;_-* &quot;-&quot;??_-;_-@_-"/>
    <numFmt numFmtId="165" formatCode="_(* #,##0.00_);_(* \(#,##0.00\);_(* &quot;-&quot;??_);_(@_)"/>
    <numFmt numFmtId="166" formatCode="_(&quot;$&quot;* #,##0.00_);_(&quot;$&quot;* \(#,##0.00\);_(&quot;$&quot;* &quot;-&quot;??_);_(@_)"/>
    <numFmt numFmtId="167" formatCode="0.0%"/>
    <numFmt numFmtId="171" formatCode="&quot;$&quot;#,##0.00"/>
  </numFmts>
  <fonts count="32">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u/>
      <sz val="11"/>
      <color theme="10"/>
      <name val="Calibri"/>
      <family val="2"/>
      <scheme val="minor"/>
    </font>
    <font>
      <sz val="10"/>
      <name val="Arial"/>
      <family val="2"/>
    </font>
    <font>
      <sz val="10"/>
      <name val="Arial"/>
      <family val="2"/>
    </font>
    <font>
      <u/>
      <sz val="7.5"/>
      <color indexed="12"/>
      <name val="Arial"/>
      <family val="2"/>
    </font>
    <font>
      <sz val="11"/>
      <color indexed="8"/>
      <name val="Calibri"/>
      <family val="2"/>
    </font>
    <font>
      <sz val="10"/>
      <name val="Arial "/>
    </font>
    <font>
      <b/>
      <sz val="16"/>
      <color theme="1"/>
      <name val="Calibri"/>
      <family val="2"/>
      <scheme val="minor"/>
    </font>
    <font>
      <b/>
      <sz val="14"/>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u/>
      <sz val="11"/>
      <color rgb="FF0000FF"/>
      <name val="Calibri"/>
      <family val="2"/>
      <scheme val="minor"/>
    </font>
    <font>
      <sz val="10"/>
      <name val="Arial"/>
      <family val="2"/>
    </font>
    <font>
      <sz val="9"/>
      <color theme="1"/>
      <name val="Veranda"/>
      <family val="2"/>
    </font>
    <font>
      <sz val="8"/>
      <name val="Calibri"/>
      <family val="2"/>
      <scheme val="minor"/>
    </font>
  </fonts>
  <fills count="3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3">
    <border>
      <left/>
      <right/>
      <top/>
      <bottom/>
      <diagonal/>
    </border>
    <border>
      <left/>
      <right/>
      <top style="thin">
        <color indexed="64"/>
      </top>
      <bottom/>
      <diagonal/>
    </border>
    <border>
      <left/>
      <right/>
      <top/>
      <bottom style="medium">
        <color indexed="64"/>
      </bottom>
      <diagonal/>
    </border>
    <border>
      <left/>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4">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5" fillId="0" borderId="0"/>
    <xf numFmtId="43" fontId="6" fillId="0" borderId="0" applyFont="0" applyFill="0" applyBorder="0" applyAlignment="0" applyProtection="0"/>
    <xf numFmtId="44" fontId="6" fillId="0" borderId="0" applyFont="0" applyFill="0" applyBorder="0" applyAlignment="0" applyProtection="0"/>
    <xf numFmtId="0" fontId="7" fillId="0" borderId="0" applyNumberFormat="0" applyFill="0" applyBorder="0" applyAlignment="0" applyProtection="0">
      <alignment vertical="top"/>
      <protection locked="0"/>
    </xf>
    <xf numFmtId="0" fontId="8" fillId="0" borderId="0"/>
    <xf numFmtId="9" fontId="6" fillId="0" borderId="0" applyFont="0" applyFill="0" applyBorder="0" applyAlignment="0" applyProtection="0"/>
    <xf numFmtId="0" fontId="6" fillId="0" borderId="0"/>
    <xf numFmtId="0" fontId="9" fillId="0" borderId="0"/>
    <xf numFmtId="166" fontId="9" fillId="0" borderId="0" applyFont="0" applyFill="0" applyBorder="0" applyAlignment="0" applyProtection="0"/>
    <xf numFmtId="165" fontId="9" fillId="0" borderId="0" applyFont="0" applyFill="0" applyBorder="0" applyAlignment="0" applyProtection="0"/>
    <xf numFmtId="0" fontId="12" fillId="0" borderId="0" applyNumberFormat="0" applyFill="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7" borderId="7" applyNumberFormat="0" applyAlignment="0" applyProtection="0"/>
    <xf numFmtId="0" fontId="20" fillId="8" borderId="8" applyNumberFormat="0" applyAlignment="0" applyProtection="0"/>
    <xf numFmtId="0" fontId="21" fillId="8" borderId="7" applyNumberFormat="0" applyAlignment="0" applyProtection="0"/>
    <xf numFmtId="0" fontId="22" fillId="0" borderId="9" applyNumberFormat="0" applyFill="0" applyAlignment="0" applyProtection="0"/>
    <xf numFmtId="0" fontId="23" fillId="9" borderId="10" applyNumberFormat="0" applyAlignment="0" applyProtection="0"/>
    <xf numFmtId="0" fontId="24" fillId="0" borderId="0" applyNumberFormat="0" applyFill="0" applyBorder="0" applyAlignment="0" applyProtection="0"/>
    <xf numFmtId="0" fontId="1" fillId="10" borderId="11" applyNumberFormat="0" applyFont="0" applyAlignment="0" applyProtection="0"/>
    <xf numFmtId="0" fontId="25" fillId="0" borderId="0" applyNumberFormat="0" applyFill="0" applyBorder="0" applyAlignment="0" applyProtection="0"/>
    <xf numFmtId="0" fontId="2" fillId="0" borderId="12" applyNumberFormat="0" applyFill="0" applyAlignment="0" applyProtection="0"/>
    <xf numFmtId="0" fontId="26"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6" fillId="34" borderId="0" applyNumberFormat="0" applyBorder="0" applyAlignment="0" applyProtection="0"/>
    <xf numFmtId="0" fontId="28" fillId="0" borderId="0" applyNumberFormat="0" applyFill="0" applyBorder="0" applyAlignment="0" applyProtection="0"/>
    <xf numFmtId="0" fontId="27" fillId="0" borderId="0"/>
    <xf numFmtId="0" fontId="29" fillId="0" borderId="0"/>
    <xf numFmtId="43" fontId="29" fillId="0" borderId="0" applyFont="0" applyFill="0" applyBorder="0" applyAlignment="0" applyProtection="0"/>
    <xf numFmtId="43" fontId="5" fillId="0" borderId="0" applyFont="0" applyFill="0" applyBorder="0" applyAlignment="0" applyProtection="0"/>
    <xf numFmtId="44" fontId="30" fillId="0" borderId="0" applyFont="0" applyFill="0" applyBorder="0" applyAlignment="0" applyProtection="0"/>
    <xf numFmtId="0" fontId="30" fillId="0" borderId="0"/>
    <xf numFmtId="9" fontId="29"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0" fillId="0" borderId="0" xfId="0" applyAlignment="1">
      <alignment vertical="center"/>
    </xf>
    <xf numFmtId="0" fontId="2" fillId="0" borderId="0" xfId="0" applyFont="1" applyAlignment="1">
      <alignment horizontal="right" vertical="center"/>
    </xf>
    <xf numFmtId="0" fontId="0" fillId="0" borderId="1" xfId="0" applyBorder="1" applyAlignment="1">
      <alignment vertical="center"/>
    </xf>
    <xf numFmtId="164" fontId="0" fillId="3" borderId="0" xfId="1" applyNumberFormat="1" applyFont="1" applyFill="1" applyAlignment="1">
      <alignment vertical="center"/>
    </xf>
    <xf numFmtId="164" fontId="0" fillId="2" borderId="0" xfId="1" applyNumberFormat="1" applyFont="1" applyFill="1" applyAlignment="1">
      <alignment vertical="center"/>
    </xf>
    <xf numFmtId="0" fontId="0" fillId="2" borderId="0" xfId="0" applyFill="1" applyAlignment="1">
      <alignment vertical="center"/>
    </xf>
    <xf numFmtId="0" fontId="2" fillId="0" borderId="2" xfId="0" applyFont="1" applyBorder="1" applyAlignment="1">
      <alignment vertical="center"/>
    </xf>
    <xf numFmtId="0" fontId="2" fillId="0" borderId="2" xfId="0" applyFont="1" applyBorder="1" applyAlignment="1">
      <alignment horizontal="center" vertical="center"/>
    </xf>
    <xf numFmtId="164" fontId="0" fillId="3" borderId="3" xfId="1" applyNumberFormat="1" applyFont="1" applyFill="1" applyBorder="1" applyAlignment="1">
      <alignment vertical="center"/>
    </xf>
    <xf numFmtId="164" fontId="0" fillId="2" borderId="3" xfId="1" applyNumberFormat="1" applyFont="1" applyFill="1" applyBorder="1" applyAlignment="1">
      <alignment vertical="center"/>
    </xf>
    <xf numFmtId="43" fontId="0" fillId="0" borderId="0" xfId="0" applyNumberFormat="1" applyAlignment="1">
      <alignment vertical="center"/>
    </xf>
    <xf numFmtId="2" fontId="0" fillId="0" borderId="0" xfId="0" applyNumberFormat="1" applyAlignment="1">
      <alignment vertical="center"/>
    </xf>
    <xf numFmtId="0" fontId="2" fillId="0" borderId="0" xfId="0" applyFont="1" applyAlignment="1">
      <alignment vertical="center"/>
    </xf>
    <xf numFmtId="0" fontId="11" fillId="35" borderId="0" xfId="0" applyFont="1" applyFill="1" applyAlignment="1">
      <alignment vertical="top"/>
    </xf>
    <xf numFmtId="0" fontId="0" fillId="35" borderId="0" xfId="0" applyFill="1"/>
    <xf numFmtId="0" fontId="0" fillId="3" borderId="0" xfId="0" applyFill="1" applyAlignment="1">
      <alignment vertical="center"/>
    </xf>
    <xf numFmtId="0" fontId="2" fillId="3" borderId="0" xfId="0" applyFont="1" applyFill="1" applyAlignment="1">
      <alignment vertical="center"/>
    </xf>
    <xf numFmtId="0" fontId="0" fillId="3" borderId="0" xfId="0" applyFill="1" applyAlignment="1">
      <alignment horizontal="left" vertical="center" indent="1"/>
    </xf>
    <xf numFmtId="0" fontId="0" fillId="3" borderId="3" xfId="0" applyFill="1" applyBorder="1" applyAlignment="1">
      <alignment horizontal="left" vertical="center" inden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2" applyAlignment="1">
      <alignment horizontal="left" vertical="top"/>
    </xf>
    <xf numFmtId="0" fontId="10" fillId="35" borderId="0" xfId="0" applyFont="1" applyFill="1" applyAlignment="1">
      <alignment horizontal="left" vertical="top"/>
    </xf>
    <xf numFmtId="164" fontId="0" fillId="0" borderId="0" xfId="0" applyNumberFormat="1" applyAlignment="1">
      <alignment vertical="center"/>
    </xf>
    <xf numFmtId="164" fontId="0" fillId="0" borderId="0" xfId="0" applyNumberFormat="1" applyAlignment="1">
      <alignment horizontal="left" vertical="center" wrapText="1"/>
    </xf>
    <xf numFmtId="9" fontId="0" fillId="0" borderId="0" xfId="63" applyFont="1" applyAlignment="1">
      <alignment horizontal="left" vertical="center" wrapText="1"/>
    </xf>
    <xf numFmtId="167" fontId="2" fillId="0" borderId="0" xfId="63" applyNumberFormat="1" applyFont="1" applyAlignment="1">
      <alignment horizontal="center" vertical="center" wrapText="1"/>
    </xf>
    <xf numFmtId="43" fontId="0" fillId="3" borderId="0" xfId="1" applyFont="1" applyFill="1" applyAlignment="1">
      <alignment vertical="center"/>
    </xf>
    <xf numFmtId="0" fontId="0" fillId="0" borderId="0" xfId="0" applyAlignment="1">
      <alignment vertical="top"/>
    </xf>
    <xf numFmtId="9" fontId="2" fillId="0" borderId="0" xfId="63" applyFont="1" applyAlignment="1">
      <alignment horizontal="center" vertical="center" wrapText="1"/>
    </xf>
    <xf numFmtId="43" fontId="0" fillId="0" borderId="0" xfId="0" applyNumberFormat="1" applyAlignment="1">
      <alignment horizontal="left" vertical="center" wrapText="1"/>
    </xf>
    <xf numFmtId="164" fontId="0" fillId="0" borderId="0" xfId="0" applyNumberFormat="1" applyAlignment="1">
      <alignment horizontal="left" vertical="center"/>
    </xf>
    <xf numFmtId="171" fontId="0" fillId="0" borderId="0" xfId="0" applyNumberFormat="1" applyAlignment="1">
      <alignment vertical="center"/>
    </xf>
    <xf numFmtId="0" fontId="2"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2" applyAlignment="1">
      <alignment horizontal="left" vertical="top"/>
    </xf>
    <xf numFmtId="0" fontId="2" fillId="0" borderId="0" xfId="0" applyFont="1" applyAlignment="1">
      <alignment horizontal="left" vertical="top" wrapText="1"/>
    </xf>
    <xf numFmtId="0" fontId="11" fillId="35" borderId="0" xfId="0" applyFont="1" applyFill="1" applyAlignment="1">
      <alignment horizontal="left" vertical="top"/>
    </xf>
    <xf numFmtId="0" fontId="10" fillId="35" borderId="0" xfId="0" applyFont="1" applyFill="1" applyAlignment="1">
      <alignment horizontal="left" vertical="top"/>
    </xf>
  </cellXfs>
  <cellStyles count="6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1" builtinId="3"/>
    <cellStyle name="Comma 2" xfId="4" xr:uid="{00000000-0005-0000-0000-00001C000000}"/>
    <cellStyle name="Comma 2 2" xfId="58" xr:uid="{00000000-0005-0000-0000-00001D000000}"/>
    <cellStyle name="Comma 3" xfId="12" xr:uid="{00000000-0005-0000-0000-00001E000000}"/>
    <cellStyle name="Comma 4" xfId="57" xr:uid="{00000000-0005-0000-0000-00001F000000}"/>
    <cellStyle name="Currency 2" xfId="5" xr:uid="{00000000-0005-0000-0000-000021000000}"/>
    <cellStyle name="Currency 2 2" xfId="59" xr:uid="{00000000-0005-0000-0000-000022000000}"/>
    <cellStyle name="Currency 3" xfId="11" xr:uid="{00000000-0005-0000-0000-000023000000}"/>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2" builtinId="8"/>
    <cellStyle name="Hyperlink 2" xfId="6" xr:uid="{00000000-0005-0000-0000-00002B000000}"/>
    <cellStyle name="Hyperlink 3" xfId="54" xr:uid="{00000000-0005-0000-0000-00002C000000}"/>
    <cellStyle name="Input" xfId="21" builtinId="20" customBuiltin="1"/>
    <cellStyle name="Linked Cell" xfId="24" builtinId="24" customBuiltin="1"/>
    <cellStyle name="Neutral" xfId="20" builtinId="28" customBuiltin="1"/>
    <cellStyle name="Normal" xfId="0" builtinId="0"/>
    <cellStyle name="Normal 2" xfId="3" xr:uid="{00000000-0005-0000-0000-000031000000}"/>
    <cellStyle name="Normal 3" xfId="9" xr:uid="{00000000-0005-0000-0000-000032000000}"/>
    <cellStyle name="Normal 3 2" xfId="60" xr:uid="{00000000-0005-0000-0000-000033000000}"/>
    <cellStyle name="Normal 4" xfId="10" xr:uid="{00000000-0005-0000-0000-000034000000}"/>
    <cellStyle name="Normal 5" xfId="55" xr:uid="{00000000-0005-0000-0000-000035000000}"/>
    <cellStyle name="Normal 6" xfId="56" xr:uid="{00000000-0005-0000-0000-000036000000}"/>
    <cellStyle name="Normal 9" xfId="7" xr:uid="{00000000-0005-0000-0000-000037000000}"/>
    <cellStyle name="Note" xfId="27" builtinId="10" customBuiltin="1"/>
    <cellStyle name="Output" xfId="22" builtinId="21" customBuiltin="1"/>
    <cellStyle name="Percent" xfId="63" builtinId="5"/>
    <cellStyle name="Percent 2" xfId="8" xr:uid="{00000000-0005-0000-0000-00003B000000}"/>
    <cellStyle name="Percent 2 2" xfId="62" xr:uid="{00000000-0005-0000-0000-00003C000000}"/>
    <cellStyle name="Percent 3" xfId="61" xr:uid="{00000000-0005-0000-0000-00003D000000}"/>
    <cellStyle name="Title" xfId="13" builtinId="15" customBuiltin="1"/>
    <cellStyle name="Total" xfId="29" builtinId="25" customBuiltin="1"/>
    <cellStyle name="Warning Text" xfId="2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400"/>
            </a:pPr>
            <a:r>
              <a:rPr lang="en-NZ" sz="1400"/>
              <a:t>TAB New Zealand</a:t>
            </a:r>
          </a:p>
        </c:rich>
      </c:tx>
      <c:layout>
        <c:manualLayout>
          <c:xMode val="edge"/>
          <c:yMode val="edge"/>
          <c:x val="0.13685414323209599"/>
          <c:y val="4.0600079731956125E-2"/>
        </c:manualLayout>
      </c:layout>
      <c:overlay val="0"/>
    </c:title>
    <c:autoTitleDeleted val="0"/>
    <c:plotArea>
      <c:layout>
        <c:manualLayout>
          <c:layoutTarget val="inner"/>
          <c:xMode val="edge"/>
          <c:yMode val="edge"/>
          <c:x val="0.13064030109223757"/>
          <c:y val="0.17678888586712932"/>
          <c:w val="0.84900486281710463"/>
          <c:h val="0.7168788276465442"/>
        </c:manualLayout>
      </c:layout>
      <c:lineChart>
        <c:grouping val="standard"/>
        <c:varyColors val="0"/>
        <c:ser>
          <c:idx val="0"/>
          <c:order val="0"/>
          <c:tx>
            <c:v>Actual expenditure</c:v>
          </c:tx>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statistics'!$B$7:$P$7</c:f>
              <c:numCache>
                <c:formatCode>_-* #,##0_-;\-* #,##0_-;_-* "-"??_-;_-@_-</c:formatCode>
                <c:ptCount val="15"/>
                <c:pt idx="0">
                  <c:v>272.79300000000001</c:v>
                </c:pt>
                <c:pt idx="1">
                  <c:v>282.95100000000002</c:v>
                </c:pt>
                <c:pt idx="2">
                  <c:v>294.28500000000003</c:v>
                </c:pt>
                <c:pt idx="3">
                  <c:v>310.17099999999999</c:v>
                </c:pt>
                <c:pt idx="4">
                  <c:v>325.05099999999999</c:v>
                </c:pt>
                <c:pt idx="5">
                  <c:v>342.291</c:v>
                </c:pt>
                <c:pt idx="6">
                  <c:v>337.73500000000001</c:v>
                </c:pt>
                <c:pt idx="7">
                  <c:v>349.86799999999999</c:v>
                </c:pt>
                <c:pt idx="8">
                  <c:v>331.76800000000003</c:v>
                </c:pt>
                <c:pt idx="9">
                  <c:v>315.10499999999979</c:v>
                </c:pt>
                <c:pt idx="10">
                  <c:v>384.86700000000002</c:v>
                </c:pt>
                <c:pt idx="11">
                  <c:v>380.20100000000002</c:v>
                </c:pt>
                <c:pt idx="12">
                  <c:v>375.60633599999994</c:v>
                </c:pt>
                <c:pt idx="13">
                  <c:v>371.33071899999999</c:v>
                </c:pt>
                <c:pt idx="14">
                  <c:v>393.38698099999999</c:v>
                </c:pt>
              </c:numCache>
            </c:numRef>
          </c:val>
          <c:smooth val="0"/>
          <c:extLst>
            <c:ext xmlns:c16="http://schemas.microsoft.com/office/drawing/2014/chart" uri="{C3380CC4-5D6E-409C-BE32-E72D297353CC}">
              <c16:uniqueId val="{00000000-FE07-4DF6-BFF3-7A53660216AF}"/>
            </c:ext>
          </c:extLst>
        </c:ser>
        <c:ser>
          <c:idx val="1"/>
          <c:order val="1"/>
          <c:tx>
            <c:v>Inflation adjusted expenditure</c:v>
          </c:tx>
          <c:spPr>
            <a:ln>
              <a:prstDash val="sysDash"/>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statistics'!$B$7:$P$7</c:f>
              <c:numCache>
                <c:formatCode>_-* #,##0_-;\-* #,##0_-;_-* "-"??_-;_-@_-</c:formatCode>
                <c:ptCount val="15"/>
                <c:pt idx="0">
                  <c:v>272.79300000000001</c:v>
                </c:pt>
                <c:pt idx="1">
                  <c:v>280.28622174657556</c:v>
                </c:pt>
                <c:pt idx="2">
                  <c:v>289.53039540816343</c:v>
                </c:pt>
                <c:pt idx="3">
                  <c:v>300.30782175732219</c:v>
                </c:pt>
                <c:pt idx="4">
                  <c:v>313.40333916666663</c:v>
                </c:pt>
                <c:pt idx="5">
                  <c:v>328.65617178423264</c:v>
                </c:pt>
                <c:pt idx="6">
                  <c:v>318.72707585644383</c:v>
                </c:pt>
                <c:pt idx="7">
                  <c:v>325.29775713401756</c:v>
                </c:pt>
                <c:pt idx="8">
                  <c:v>303.38750205495916</c:v>
                </c:pt>
                <c:pt idx="9">
                  <c:v>284.02168629082382</c:v>
                </c:pt>
                <c:pt idx="10">
                  <c:v>335.680646226401</c:v>
                </c:pt>
                <c:pt idx="11">
                  <c:v>309.04656712936628</c:v>
                </c:pt>
                <c:pt idx="12">
                  <c:v>287.95043933830107</c:v>
                </c:pt>
                <c:pt idx="13">
                  <c:v>275.4968616833134</c:v>
                </c:pt>
                <c:pt idx="14">
                  <c:v>284.26258076719802</c:v>
                </c:pt>
              </c:numCache>
            </c:numRef>
          </c:val>
          <c:smooth val="0"/>
          <c:extLst>
            <c:ext xmlns:c16="http://schemas.microsoft.com/office/drawing/2014/chart" uri="{C3380CC4-5D6E-409C-BE32-E72D297353CC}">
              <c16:uniqueId val="{00000001-FE07-4DF6-BFF3-7A53660216AF}"/>
            </c:ext>
          </c:extLst>
        </c:ser>
        <c:dLbls>
          <c:showLegendKey val="0"/>
          <c:showVal val="0"/>
          <c:showCatName val="0"/>
          <c:showSerName val="0"/>
          <c:showPercent val="0"/>
          <c:showBubbleSize val="0"/>
        </c:dLbls>
        <c:smooth val="0"/>
        <c:axId val="570431040"/>
        <c:axId val="570432216"/>
      </c:lineChart>
      <c:catAx>
        <c:axId val="570431040"/>
        <c:scaling>
          <c:orientation val="minMax"/>
        </c:scaling>
        <c:delete val="0"/>
        <c:axPos val="b"/>
        <c:numFmt formatCode="General" sourceLinked="1"/>
        <c:majorTickMark val="out"/>
        <c:minorTickMark val="none"/>
        <c:tickLblPos val="nextTo"/>
        <c:crossAx val="570432216"/>
        <c:crosses val="autoZero"/>
        <c:auto val="1"/>
        <c:lblAlgn val="ctr"/>
        <c:lblOffset val="100"/>
        <c:tickLblSkip val="2"/>
        <c:noMultiLvlLbl val="0"/>
      </c:catAx>
      <c:valAx>
        <c:axId val="570432216"/>
        <c:scaling>
          <c:orientation val="minMax"/>
          <c:max val="400"/>
          <c:min val="0"/>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570431040"/>
        <c:crosses val="autoZero"/>
        <c:crossBetween val="between"/>
      </c:valAx>
    </c:plotArea>
    <c:legend>
      <c:legendPos val="r"/>
      <c:layout>
        <c:manualLayout>
          <c:xMode val="edge"/>
          <c:yMode val="edge"/>
          <c:x val="0.12397090988626422"/>
          <c:y val="0.77238043161271508"/>
          <c:w val="0.86491797900262468"/>
          <c:h val="9.875765529308834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1"/>
    </mc:Choice>
    <mc:Fallback>
      <c:style val="21"/>
    </mc:Fallback>
  </mc:AlternateContent>
  <c:chart>
    <c:title>
      <c:tx>
        <c:rich>
          <a:bodyPr/>
          <a:lstStyle/>
          <a:p>
            <a:pPr>
              <a:defRPr sz="1400"/>
            </a:pPr>
            <a:r>
              <a:rPr lang="en-NZ" sz="1400"/>
              <a:t>NZ Lotteries Commission</a:t>
            </a:r>
          </a:p>
        </c:rich>
      </c:tx>
      <c:layout>
        <c:manualLayout>
          <c:xMode val="edge"/>
          <c:yMode val="edge"/>
          <c:x val="0.13685401825969076"/>
          <c:y val="6.1184312392605598E-2"/>
        </c:manualLayout>
      </c:layout>
      <c:overlay val="0"/>
    </c:title>
    <c:autoTitleDeleted val="0"/>
    <c:plotArea>
      <c:layout>
        <c:manualLayout>
          <c:layoutTarget val="inner"/>
          <c:xMode val="edge"/>
          <c:yMode val="edge"/>
          <c:x val="0.14606549386522896"/>
          <c:y val="0.16714129483814524"/>
          <c:w val="0.83068333936516225"/>
          <c:h val="0.72461224721010598"/>
        </c:manualLayout>
      </c:layout>
      <c:lineChart>
        <c:grouping val="standard"/>
        <c:varyColors val="0"/>
        <c:ser>
          <c:idx val="0"/>
          <c:order val="0"/>
          <c:tx>
            <c:v>Actual expenditure</c:v>
          </c:tx>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statistics'!$B$12:$P$12</c:f>
              <c:numCache>
                <c:formatCode>_-* #,##0_-;\-* #,##0_-;_-* "-"??_-;_-@_-</c:formatCode>
                <c:ptCount val="15"/>
                <c:pt idx="0">
                  <c:v>404.47699999999998</c:v>
                </c:pt>
                <c:pt idx="1">
                  <c:v>418.73899999999998</c:v>
                </c:pt>
                <c:pt idx="2">
                  <c:v>431.82400000000007</c:v>
                </c:pt>
                <c:pt idx="3">
                  <c:v>463.06</c:v>
                </c:pt>
                <c:pt idx="4">
                  <c:v>420.37700000000001</c:v>
                </c:pt>
                <c:pt idx="5">
                  <c:v>437.262</c:v>
                </c:pt>
                <c:pt idx="6">
                  <c:v>554.65099999999995</c:v>
                </c:pt>
                <c:pt idx="7">
                  <c:v>560.61099999999999</c:v>
                </c:pt>
                <c:pt idx="8">
                  <c:v>530.26700000000005</c:v>
                </c:pt>
                <c:pt idx="9">
                  <c:v>630.8090000000002</c:v>
                </c:pt>
                <c:pt idx="10">
                  <c:v>694.452</c:v>
                </c:pt>
                <c:pt idx="11">
                  <c:v>653.80200000000002</c:v>
                </c:pt>
                <c:pt idx="12">
                  <c:v>710.476</c:v>
                </c:pt>
                <c:pt idx="13">
                  <c:v>791.91700000000003</c:v>
                </c:pt>
                <c:pt idx="14">
                  <c:v>754.26099999999997</c:v>
                </c:pt>
              </c:numCache>
            </c:numRef>
          </c:val>
          <c:smooth val="0"/>
          <c:extLst>
            <c:ext xmlns:c16="http://schemas.microsoft.com/office/drawing/2014/chart" uri="{C3380CC4-5D6E-409C-BE32-E72D297353CC}">
              <c16:uniqueId val="{00000000-AC59-4EB0-9E27-A7B6DA582525}"/>
            </c:ext>
          </c:extLst>
        </c:ser>
        <c:ser>
          <c:idx val="1"/>
          <c:order val="1"/>
          <c:tx>
            <c:v>Inflation adjusted expenditure</c:v>
          </c:tx>
          <c:spPr>
            <a:ln>
              <a:prstDash val="sysDash"/>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statistics'!$B$12:$P$12</c:f>
              <c:numCache>
                <c:formatCode>_-* #,##0_-;\-* #,##0_-;_-* "-"??_-;_-@_-</c:formatCode>
                <c:ptCount val="15"/>
                <c:pt idx="0">
                  <c:v>404.47699999999998</c:v>
                </c:pt>
                <c:pt idx="1">
                  <c:v>414.79539640410985</c:v>
                </c:pt>
                <c:pt idx="2">
                  <c:v>424.8472517006806</c:v>
                </c:pt>
                <c:pt idx="3">
                  <c:v>448.335079497908</c:v>
                </c:pt>
                <c:pt idx="4">
                  <c:v>405.31349083333333</c:v>
                </c:pt>
                <c:pt idx="5">
                  <c:v>419.84409460580946</c:v>
                </c:pt>
                <c:pt idx="6">
                  <c:v>523.43491598694948</c:v>
                </c:pt>
                <c:pt idx="7">
                  <c:v>521.24087062737578</c:v>
                </c:pt>
                <c:pt idx="8">
                  <c:v>484.9062614603489</c:v>
                </c:pt>
                <c:pt idx="9">
                  <c:v>568.58328464298711</c:v>
                </c:pt>
                <c:pt idx="10">
                  <c:v>605.70040074419626</c:v>
                </c:pt>
                <c:pt idx="11">
                  <c:v>531.44327259085037</c:v>
                </c:pt>
                <c:pt idx="12">
                  <c:v>544.67099388685187</c:v>
                </c:pt>
                <c:pt idx="13">
                  <c:v>587.53730044527913</c:v>
                </c:pt>
                <c:pt idx="14">
                  <c:v>545.03120028785895</c:v>
                </c:pt>
              </c:numCache>
            </c:numRef>
          </c:val>
          <c:smooth val="0"/>
          <c:extLst>
            <c:ext xmlns:c16="http://schemas.microsoft.com/office/drawing/2014/chart" uri="{C3380CC4-5D6E-409C-BE32-E72D297353CC}">
              <c16:uniqueId val="{00000001-AC59-4EB0-9E27-A7B6DA582525}"/>
            </c:ext>
          </c:extLst>
        </c:ser>
        <c:dLbls>
          <c:showLegendKey val="0"/>
          <c:showVal val="0"/>
          <c:showCatName val="0"/>
          <c:showSerName val="0"/>
          <c:showPercent val="0"/>
          <c:showBubbleSize val="0"/>
        </c:dLbls>
        <c:smooth val="0"/>
        <c:axId val="570429864"/>
        <c:axId val="570433392"/>
      </c:lineChart>
      <c:catAx>
        <c:axId val="570429864"/>
        <c:scaling>
          <c:orientation val="minMax"/>
        </c:scaling>
        <c:delete val="0"/>
        <c:axPos val="b"/>
        <c:numFmt formatCode="General" sourceLinked="1"/>
        <c:majorTickMark val="out"/>
        <c:minorTickMark val="none"/>
        <c:tickLblPos val="nextTo"/>
        <c:txPr>
          <a:bodyPr/>
          <a:lstStyle/>
          <a:p>
            <a:pPr>
              <a:defRPr sz="1000"/>
            </a:pPr>
            <a:endParaRPr lang="en-US"/>
          </a:p>
        </c:txPr>
        <c:crossAx val="570433392"/>
        <c:crosses val="autoZero"/>
        <c:auto val="1"/>
        <c:lblAlgn val="ctr"/>
        <c:lblOffset val="100"/>
        <c:tickLblSkip val="2"/>
        <c:noMultiLvlLbl val="0"/>
      </c:catAx>
      <c:valAx>
        <c:axId val="570433392"/>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570429864"/>
        <c:crosses val="autoZero"/>
        <c:crossBetween val="between"/>
      </c:valAx>
    </c:plotArea>
    <c:legend>
      <c:legendPos val="r"/>
      <c:layout>
        <c:manualLayout>
          <c:xMode val="edge"/>
          <c:yMode val="edge"/>
          <c:x val="0.1612905638703559"/>
          <c:y val="0.77238043161271508"/>
          <c:w val="0.82759819144744307"/>
          <c:h val="9.875765529308834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r>
              <a:rPr lang="en-NZ" sz="1400"/>
              <a:t>Gaming machines (outside casinos)</a:t>
            </a:r>
          </a:p>
        </c:rich>
      </c:tx>
      <c:layout>
        <c:manualLayout>
          <c:xMode val="edge"/>
          <c:yMode val="edge"/>
          <c:x val="0.13685414323209599"/>
          <c:y val="4.0600079731956125E-2"/>
        </c:manualLayout>
      </c:layout>
      <c:overlay val="0"/>
    </c:title>
    <c:autoTitleDeleted val="0"/>
    <c:plotArea>
      <c:layout>
        <c:manualLayout>
          <c:layoutTarget val="inner"/>
          <c:xMode val="edge"/>
          <c:yMode val="edge"/>
          <c:x val="0.14335601714944002"/>
          <c:y val="0.17533386143927793"/>
          <c:w val="0.83840524459329446"/>
          <c:h val="0.7168788276465442"/>
        </c:manualLayout>
      </c:layout>
      <c:lineChart>
        <c:grouping val="standard"/>
        <c:varyColors val="0"/>
        <c:ser>
          <c:idx val="0"/>
          <c:order val="0"/>
          <c:tx>
            <c:v>Actual expenditure</c:v>
          </c:tx>
          <c:spPr>
            <a:ln>
              <a:solidFill>
                <a:schemeClr val="accent2"/>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statistics'!$B$17:$P$17</c:f>
              <c:numCache>
                <c:formatCode>_-* #,##0_-;\-* #,##0_-;_-* "-"??_-;_-@_-</c:formatCode>
                <c:ptCount val="15"/>
                <c:pt idx="0">
                  <c:v>856.09935633000009</c:v>
                </c:pt>
                <c:pt idx="1">
                  <c:v>853.95445551999978</c:v>
                </c:pt>
                <c:pt idx="2">
                  <c:v>826.77920164999944</c:v>
                </c:pt>
                <c:pt idx="3">
                  <c:v>806.27143064000006</c:v>
                </c:pt>
                <c:pt idx="4">
                  <c:v>818.113112</c:v>
                </c:pt>
                <c:pt idx="5">
                  <c:v>843.48316245000001</c:v>
                </c:pt>
                <c:pt idx="6">
                  <c:v>869.91032559000098</c:v>
                </c:pt>
                <c:pt idx="7">
                  <c:v>894.93599505999998</c:v>
                </c:pt>
                <c:pt idx="8">
                  <c:v>923.87672334000001</c:v>
                </c:pt>
                <c:pt idx="9">
                  <c:v>802.41154139000002</c:v>
                </c:pt>
                <c:pt idx="10">
                  <c:v>986.65222638</c:v>
                </c:pt>
                <c:pt idx="11">
                  <c:v>833.38689453999996</c:v>
                </c:pt>
                <c:pt idx="12">
                  <c:v>1070.47365214</c:v>
                </c:pt>
                <c:pt idx="13">
                  <c:v>1036.5952420799999</c:v>
                </c:pt>
                <c:pt idx="14">
                  <c:v>1015.358561</c:v>
                </c:pt>
              </c:numCache>
            </c:numRef>
          </c:val>
          <c:smooth val="0"/>
          <c:extLst>
            <c:ext xmlns:c16="http://schemas.microsoft.com/office/drawing/2014/chart" uri="{C3380CC4-5D6E-409C-BE32-E72D297353CC}">
              <c16:uniqueId val="{00000000-BE0A-4A94-822C-B2AF4329D984}"/>
            </c:ext>
          </c:extLst>
        </c:ser>
        <c:ser>
          <c:idx val="1"/>
          <c:order val="1"/>
          <c:tx>
            <c:v>Inflation adjusted expenditure</c:v>
          </c:tx>
          <c:spPr>
            <a:ln>
              <a:solidFill>
                <a:schemeClr val="accent2">
                  <a:lumMod val="40000"/>
                  <a:lumOff val="60000"/>
                </a:schemeClr>
              </a:solidFill>
              <a:prstDash val="sysDash"/>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statistics'!$B$17:$P$17</c:f>
              <c:numCache>
                <c:formatCode>_-* #,##0_-;\-* #,##0_-;_-* "-"??_-;_-@_-</c:formatCode>
                <c:ptCount val="15"/>
                <c:pt idx="0">
                  <c:v>856.09935633000009</c:v>
                </c:pt>
                <c:pt idx="1">
                  <c:v>845.91207623000037</c:v>
                </c:pt>
                <c:pt idx="2">
                  <c:v>813.42137441245734</c:v>
                </c:pt>
                <c:pt idx="3">
                  <c:v>780.63267384977416</c:v>
                </c:pt>
                <c:pt idx="4">
                  <c:v>788.79739215333325</c:v>
                </c:pt>
                <c:pt idx="5">
                  <c:v>809.88383315738656</c:v>
                </c:pt>
                <c:pt idx="6">
                  <c:v>820.95126158860637</c:v>
                </c:pt>
                <c:pt idx="7">
                  <c:v>832.08716422055807</c:v>
                </c:pt>
                <c:pt idx="8">
                  <c:v>844.84534765511796</c:v>
                </c:pt>
                <c:pt idx="9">
                  <c:v>723.25821261105705</c:v>
                </c:pt>
                <c:pt idx="10">
                  <c:v>860.55717157344134</c:v>
                </c:pt>
                <c:pt idx="11">
                  <c:v>677.41894116057074</c:v>
                </c:pt>
                <c:pt idx="12">
                  <c:v>820.6553747639357</c:v>
                </c:pt>
                <c:pt idx="13">
                  <c:v>769.06843796269527</c:v>
                </c:pt>
                <c:pt idx="14">
                  <c:v>733.70106001023998</c:v>
                </c:pt>
              </c:numCache>
            </c:numRef>
          </c:val>
          <c:smooth val="0"/>
          <c:extLst>
            <c:ext xmlns:c16="http://schemas.microsoft.com/office/drawing/2014/chart" uri="{C3380CC4-5D6E-409C-BE32-E72D297353CC}">
              <c16:uniqueId val="{00000001-BE0A-4A94-822C-B2AF4329D984}"/>
            </c:ext>
          </c:extLst>
        </c:ser>
        <c:dLbls>
          <c:showLegendKey val="0"/>
          <c:showVal val="0"/>
          <c:showCatName val="0"/>
          <c:showSerName val="0"/>
          <c:showPercent val="0"/>
          <c:showBubbleSize val="0"/>
        </c:dLbls>
        <c:smooth val="0"/>
        <c:axId val="570431432"/>
        <c:axId val="570431824"/>
      </c:lineChart>
      <c:catAx>
        <c:axId val="570431432"/>
        <c:scaling>
          <c:orientation val="minMax"/>
        </c:scaling>
        <c:delete val="0"/>
        <c:axPos val="b"/>
        <c:numFmt formatCode="General" sourceLinked="0"/>
        <c:majorTickMark val="out"/>
        <c:minorTickMark val="none"/>
        <c:tickLblPos val="nextTo"/>
        <c:crossAx val="570431824"/>
        <c:crosses val="autoZero"/>
        <c:auto val="1"/>
        <c:lblAlgn val="ctr"/>
        <c:lblOffset val="100"/>
        <c:tickLblSkip val="2"/>
        <c:noMultiLvlLbl val="0"/>
      </c:catAx>
      <c:valAx>
        <c:axId val="570431824"/>
        <c:scaling>
          <c:orientation val="minMax"/>
          <c:min val="0"/>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570431432"/>
        <c:crosses val="autoZero"/>
        <c:crossBetween val="between"/>
      </c:valAx>
    </c:plotArea>
    <c:legend>
      <c:legendPos val="r"/>
      <c:layout>
        <c:manualLayout>
          <c:xMode val="edge"/>
          <c:yMode val="edge"/>
          <c:x val="0.14207052172777046"/>
          <c:y val="0.77238043161271508"/>
          <c:w val="0.84681844633674186"/>
          <c:h val="0.11301788369701954"/>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chart>
    <c:title>
      <c:tx>
        <c:rich>
          <a:bodyPr/>
          <a:lstStyle/>
          <a:p>
            <a:pPr>
              <a:defRPr sz="1400"/>
            </a:pPr>
            <a:r>
              <a:rPr lang="en-NZ" sz="1400"/>
              <a:t>Casinos</a:t>
            </a:r>
          </a:p>
        </c:rich>
      </c:tx>
      <c:layout>
        <c:manualLayout>
          <c:xMode val="edge"/>
          <c:yMode val="edge"/>
          <c:x val="0.13685411198600175"/>
          <c:y val="3.2407407407407406E-2"/>
        </c:manualLayout>
      </c:layout>
      <c:overlay val="0"/>
    </c:title>
    <c:autoTitleDeleted val="0"/>
    <c:plotArea>
      <c:layout>
        <c:manualLayout>
          <c:layoutTarget val="inner"/>
          <c:xMode val="edge"/>
          <c:yMode val="edge"/>
          <c:x val="0.137787776527934"/>
          <c:y val="0.16714129483814524"/>
          <c:w val="0.83896098514001538"/>
          <c:h val="0.7168788276465442"/>
        </c:manualLayout>
      </c:layout>
      <c:lineChart>
        <c:grouping val="standard"/>
        <c:varyColors val="0"/>
        <c:ser>
          <c:idx val="0"/>
          <c:order val="0"/>
          <c:tx>
            <c:v>Actual expenditure</c:v>
          </c:tx>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statistics'!$B$22:$P$22</c:f>
              <c:numCache>
                <c:formatCode>_-* #,##0_-;\-* #,##0_-;_-* "-"??_-;_-@_-</c:formatCode>
                <c:ptCount val="15"/>
                <c:pt idx="0">
                  <c:v>448.33651662288128</c:v>
                </c:pt>
                <c:pt idx="1">
                  <c:v>482.66229616652538</c:v>
                </c:pt>
                <c:pt idx="2">
                  <c:v>489.57317000508476</c:v>
                </c:pt>
                <c:pt idx="3">
                  <c:v>485.65526634810124</c:v>
                </c:pt>
                <c:pt idx="4">
                  <c:v>527.10388399999999</c:v>
                </c:pt>
                <c:pt idx="5">
                  <c:v>585.62162461876017</c:v>
                </c:pt>
                <c:pt idx="6">
                  <c:v>571.56786199999999</c:v>
                </c:pt>
                <c:pt idx="7">
                  <c:v>577.89926701647846</c:v>
                </c:pt>
                <c:pt idx="8">
                  <c:v>615.97343741085888</c:v>
                </c:pt>
                <c:pt idx="9">
                  <c:v>503.51615512000001</c:v>
                </c:pt>
                <c:pt idx="10">
                  <c:v>558.67029502000003</c:v>
                </c:pt>
                <c:pt idx="11">
                  <c:v>386.955825</c:v>
                </c:pt>
                <c:pt idx="12">
                  <c:v>604.44969300000002</c:v>
                </c:pt>
                <c:pt idx="13">
                  <c:v>592.43146167999998</c:v>
                </c:pt>
                <c:pt idx="14">
                  <c:v>545.12409300000002</c:v>
                </c:pt>
              </c:numCache>
            </c:numRef>
          </c:val>
          <c:smooth val="0"/>
          <c:extLst>
            <c:ext xmlns:c16="http://schemas.microsoft.com/office/drawing/2014/chart" uri="{C3380CC4-5D6E-409C-BE32-E72D297353CC}">
              <c16:uniqueId val="{00000000-8F5F-41D2-AF1E-DD985C25F334}"/>
            </c:ext>
          </c:extLst>
        </c:ser>
        <c:ser>
          <c:idx val="1"/>
          <c:order val="1"/>
          <c:tx>
            <c:v>Inflation adjusted expenditure</c:v>
          </c:tx>
          <c:spPr>
            <a:ln>
              <a:prstDash val="sysDash"/>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statistics'!$B$22:$P$22</c:f>
              <c:numCache>
                <c:formatCode>_-* #,##0_-;\-* #,##0_-;_-* "-"??_-;_-@_-</c:formatCode>
                <c:ptCount val="15"/>
                <c:pt idx="0">
                  <c:v>448.33651662288128</c:v>
                </c:pt>
                <c:pt idx="1">
                  <c:v>478.11667522660127</c:v>
                </c:pt>
                <c:pt idx="2">
                  <c:v>481.66339940126142</c:v>
                </c:pt>
                <c:pt idx="3">
                  <c:v>470.21183528431226</c:v>
                </c:pt>
                <c:pt idx="4">
                  <c:v>508.21599482333329</c:v>
                </c:pt>
                <c:pt idx="5">
                  <c:v>562.29395824390542</c:v>
                </c:pt>
                <c:pt idx="6">
                  <c:v>539.39968705872775</c:v>
                </c:pt>
                <c:pt idx="7">
                  <c:v>537.31503141142707</c:v>
                </c:pt>
                <c:pt idx="8">
                  <c:v>563.28109554956234</c:v>
                </c:pt>
                <c:pt idx="9">
                  <c:v>453.84715397043692</c:v>
                </c:pt>
                <c:pt idx="10">
                  <c:v>487.27172155525852</c:v>
                </c:pt>
                <c:pt idx="11">
                  <c:v>314.53722990460784</c:v>
                </c:pt>
                <c:pt idx="12">
                  <c:v>463.38822851287375</c:v>
                </c:pt>
                <c:pt idx="13">
                  <c:v>439.53543325161348</c:v>
                </c:pt>
                <c:pt idx="14">
                  <c:v>393.90826081902702</c:v>
                </c:pt>
              </c:numCache>
            </c:numRef>
          </c:val>
          <c:smooth val="0"/>
          <c:extLst>
            <c:ext xmlns:c16="http://schemas.microsoft.com/office/drawing/2014/chart" uri="{C3380CC4-5D6E-409C-BE32-E72D297353CC}">
              <c16:uniqueId val="{00000001-8F5F-41D2-AF1E-DD985C25F334}"/>
            </c:ext>
          </c:extLst>
        </c:ser>
        <c:dLbls>
          <c:showLegendKey val="0"/>
          <c:showVal val="0"/>
          <c:showCatName val="0"/>
          <c:showSerName val="0"/>
          <c:showPercent val="0"/>
          <c:showBubbleSize val="0"/>
        </c:dLbls>
        <c:smooth val="0"/>
        <c:axId val="576800416"/>
        <c:axId val="576799240"/>
      </c:lineChart>
      <c:catAx>
        <c:axId val="576800416"/>
        <c:scaling>
          <c:orientation val="minMax"/>
        </c:scaling>
        <c:delete val="0"/>
        <c:axPos val="b"/>
        <c:numFmt formatCode="General" sourceLinked="1"/>
        <c:majorTickMark val="out"/>
        <c:minorTickMark val="none"/>
        <c:tickLblPos val="nextTo"/>
        <c:crossAx val="576799240"/>
        <c:crosses val="autoZero"/>
        <c:auto val="1"/>
        <c:lblAlgn val="ctr"/>
        <c:lblOffset val="100"/>
        <c:tickLblSkip val="2"/>
        <c:noMultiLvlLbl val="0"/>
      </c:catAx>
      <c:valAx>
        <c:axId val="576799240"/>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576800416"/>
        <c:crosses val="autoZero"/>
        <c:crossBetween val="between"/>
      </c:valAx>
    </c:plotArea>
    <c:legend>
      <c:legendPos val="r"/>
      <c:layout>
        <c:manualLayout>
          <c:xMode val="edge"/>
          <c:yMode val="edge"/>
          <c:x val="0.12397090988626422"/>
          <c:y val="0.77238043161271508"/>
          <c:w val="0.86491797900262468"/>
          <c:h val="9.875765529308834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NZ" sz="1200"/>
              <a:t>Total </a:t>
            </a:r>
            <a:r>
              <a:rPr lang="en-NZ" sz="1200" baseline="0"/>
              <a:t>actual gambling expenditure</a:t>
            </a:r>
            <a:endParaRPr lang="en-NZ" sz="1200"/>
          </a:p>
        </c:rich>
      </c:tx>
      <c:layout>
        <c:manualLayout>
          <c:xMode val="edge"/>
          <c:yMode val="edge"/>
          <c:x val="0.17248756657095715"/>
          <c:y val="5.0023089649112056E-2"/>
        </c:manualLayout>
      </c:layout>
      <c:overlay val="0"/>
    </c:title>
    <c:autoTitleDeleted val="0"/>
    <c:plotArea>
      <c:layout>
        <c:manualLayout>
          <c:layoutTarget val="inner"/>
          <c:xMode val="edge"/>
          <c:yMode val="edge"/>
          <c:x val="0.17023375433775476"/>
          <c:y val="3.6581028229150943E-2"/>
          <c:w val="0.80846870651235725"/>
          <c:h val="0.8474386928717994"/>
        </c:manualLayout>
      </c:layout>
      <c:barChart>
        <c:barDir val="col"/>
        <c:grouping val="stacked"/>
        <c:varyColors val="0"/>
        <c:ser>
          <c:idx val="0"/>
          <c:order val="0"/>
          <c:tx>
            <c:v>NZ Racing Board (TAB)</c:v>
          </c:tx>
          <c:spPr>
            <a:solidFill>
              <a:schemeClr val="accent4"/>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statistics'!$B$7:$P$7</c:f>
              <c:numCache>
                <c:formatCode>_-* #,##0_-;\-* #,##0_-;_-* "-"??_-;_-@_-</c:formatCode>
                <c:ptCount val="15"/>
                <c:pt idx="0">
                  <c:v>272.79300000000001</c:v>
                </c:pt>
                <c:pt idx="1">
                  <c:v>282.95100000000002</c:v>
                </c:pt>
                <c:pt idx="2">
                  <c:v>294.28500000000003</c:v>
                </c:pt>
                <c:pt idx="3">
                  <c:v>310.17099999999999</c:v>
                </c:pt>
                <c:pt idx="4">
                  <c:v>325.05099999999999</c:v>
                </c:pt>
                <c:pt idx="5">
                  <c:v>342.291</c:v>
                </c:pt>
                <c:pt idx="6">
                  <c:v>337.73500000000001</c:v>
                </c:pt>
                <c:pt idx="7">
                  <c:v>349.86799999999999</c:v>
                </c:pt>
                <c:pt idx="8">
                  <c:v>331.76800000000003</c:v>
                </c:pt>
                <c:pt idx="9">
                  <c:v>315.10499999999979</c:v>
                </c:pt>
                <c:pt idx="10">
                  <c:v>384.86700000000002</c:v>
                </c:pt>
                <c:pt idx="11">
                  <c:v>380.20100000000002</c:v>
                </c:pt>
                <c:pt idx="12">
                  <c:v>375.60633599999994</c:v>
                </c:pt>
                <c:pt idx="13">
                  <c:v>371.33071899999999</c:v>
                </c:pt>
                <c:pt idx="14">
                  <c:v>393.38698099999999</c:v>
                </c:pt>
              </c:numCache>
            </c:numRef>
          </c:val>
          <c:extLst>
            <c:ext xmlns:c16="http://schemas.microsoft.com/office/drawing/2014/chart" uri="{C3380CC4-5D6E-409C-BE32-E72D297353CC}">
              <c16:uniqueId val="{00000000-B75E-4F6E-BB49-C3A238F62FB4}"/>
            </c:ext>
          </c:extLst>
        </c:ser>
        <c:ser>
          <c:idx val="1"/>
          <c:order val="1"/>
          <c:tx>
            <c:v>NZ Lotteries Commission</c:v>
          </c:tx>
          <c:spPr>
            <a:solidFill>
              <a:schemeClr val="bg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statistics'!$B$12:$P$12</c:f>
              <c:numCache>
                <c:formatCode>_-* #,##0_-;\-* #,##0_-;_-* "-"??_-;_-@_-</c:formatCode>
                <c:ptCount val="15"/>
                <c:pt idx="0">
                  <c:v>404.47699999999998</c:v>
                </c:pt>
                <c:pt idx="1">
                  <c:v>418.73899999999998</c:v>
                </c:pt>
                <c:pt idx="2">
                  <c:v>431.82400000000007</c:v>
                </c:pt>
                <c:pt idx="3">
                  <c:v>463.06</c:v>
                </c:pt>
                <c:pt idx="4">
                  <c:v>420.37700000000001</c:v>
                </c:pt>
                <c:pt idx="5">
                  <c:v>437.262</c:v>
                </c:pt>
                <c:pt idx="6">
                  <c:v>554.65099999999995</c:v>
                </c:pt>
                <c:pt idx="7">
                  <c:v>560.61099999999999</c:v>
                </c:pt>
                <c:pt idx="8">
                  <c:v>530.26700000000005</c:v>
                </c:pt>
                <c:pt idx="9">
                  <c:v>630.8090000000002</c:v>
                </c:pt>
                <c:pt idx="10">
                  <c:v>694.452</c:v>
                </c:pt>
                <c:pt idx="11">
                  <c:v>653.80200000000002</c:v>
                </c:pt>
                <c:pt idx="12">
                  <c:v>710.476</c:v>
                </c:pt>
                <c:pt idx="13">
                  <c:v>791.91700000000003</c:v>
                </c:pt>
                <c:pt idx="14">
                  <c:v>754.26099999999997</c:v>
                </c:pt>
              </c:numCache>
            </c:numRef>
          </c:val>
          <c:extLst>
            <c:ext xmlns:c16="http://schemas.microsoft.com/office/drawing/2014/chart" uri="{C3380CC4-5D6E-409C-BE32-E72D297353CC}">
              <c16:uniqueId val="{00000001-B75E-4F6E-BB49-C3A238F62FB4}"/>
            </c:ext>
          </c:extLst>
        </c:ser>
        <c:ser>
          <c:idx val="2"/>
          <c:order val="2"/>
          <c:tx>
            <c:v>Gaming machines (outside casinos)</c:v>
          </c:tx>
          <c:spPr>
            <a:solidFill>
              <a:schemeClr val="accent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statistics'!$B$17:$P$17</c:f>
              <c:numCache>
                <c:formatCode>_-* #,##0_-;\-* #,##0_-;_-* "-"??_-;_-@_-</c:formatCode>
                <c:ptCount val="15"/>
                <c:pt idx="0">
                  <c:v>856.09935633000009</c:v>
                </c:pt>
                <c:pt idx="1">
                  <c:v>853.95445551999978</c:v>
                </c:pt>
                <c:pt idx="2">
                  <c:v>826.77920164999944</c:v>
                </c:pt>
                <c:pt idx="3">
                  <c:v>806.27143064000006</c:v>
                </c:pt>
                <c:pt idx="4">
                  <c:v>818.113112</c:v>
                </c:pt>
                <c:pt idx="5">
                  <c:v>843.48316245000001</c:v>
                </c:pt>
                <c:pt idx="6">
                  <c:v>869.91032559000098</c:v>
                </c:pt>
                <c:pt idx="7">
                  <c:v>894.93599505999998</c:v>
                </c:pt>
                <c:pt idx="8">
                  <c:v>923.87672334000001</c:v>
                </c:pt>
                <c:pt idx="9">
                  <c:v>802.41154139000002</c:v>
                </c:pt>
                <c:pt idx="10">
                  <c:v>986.65222638</c:v>
                </c:pt>
                <c:pt idx="11">
                  <c:v>833.38689453999996</c:v>
                </c:pt>
                <c:pt idx="12">
                  <c:v>1070.47365214</c:v>
                </c:pt>
                <c:pt idx="13">
                  <c:v>1036.5952420799999</c:v>
                </c:pt>
                <c:pt idx="14">
                  <c:v>1015.358561</c:v>
                </c:pt>
              </c:numCache>
            </c:numRef>
          </c:val>
          <c:extLst>
            <c:ext xmlns:c16="http://schemas.microsoft.com/office/drawing/2014/chart" uri="{C3380CC4-5D6E-409C-BE32-E72D297353CC}">
              <c16:uniqueId val="{00000002-B75E-4F6E-BB49-C3A238F62FB4}"/>
            </c:ext>
          </c:extLst>
        </c:ser>
        <c:ser>
          <c:idx val="3"/>
          <c:order val="3"/>
          <c:tx>
            <c:v>Casinos</c:v>
          </c:tx>
          <c:spPr>
            <a:solidFill>
              <a:schemeClr val="accent1"/>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statistics'!$B$22:$P$22</c:f>
              <c:numCache>
                <c:formatCode>_-* #,##0_-;\-* #,##0_-;_-* "-"??_-;_-@_-</c:formatCode>
                <c:ptCount val="15"/>
                <c:pt idx="0">
                  <c:v>448.33651662288128</c:v>
                </c:pt>
                <c:pt idx="1">
                  <c:v>482.66229616652538</c:v>
                </c:pt>
                <c:pt idx="2">
                  <c:v>489.57317000508476</c:v>
                </c:pt>
                <c:pt idx="3">
                  <c:v>485.65526634810124</c:v>
                </c:pt>
                <c:pt idx="4">
                  <c:v>527.10388399999999</c:v>
                </c:pt>
                <c:pt idx="5">
                  <c:v>585.62162461876017</c:v>
                </c:pt>
                <c:pt idx="6">
                  <c:v>571.56786199999999</c:v>
                </c:pt>
                <c:pt idx="7">
                  <c:v>577.89926701647846</c:v>
                </c:pt>
                <c:pt idx="8">
                  <c:v>615.97343741085888</c:v>
                </c:pt>
                <c:pt idx="9">
                  <c:v>503.51615512000001</c:v>
                </c:pt>
                <c:pt idx="10">
                  <c:v>558.67029502000003</c:v>
                </c:pt>
                <c:pt idx="11">
                  <c:v>386.955825</c:v>
                </c:pt>
                <c:pt idx="12">
                  <c:v>604.44969300000002</c:v>
                </c:pt>
                <c:pt idx="13">
                  <c:v>592.43146167999998</c:v>
                </c:pt>
                <c:pt idx="14">
                  <c:v>545.12409300000002</c:v>
                </c:pt>
              </c:numCache>
            </c:numRef>
          </c:val>
          <c:extLst>
            <c:ext xmlns:c16="http://schemas.microsoft.com/office/drawing/2014/chart" uri="{C3380CC4-5D6E-409C-BE32-E72D297353CC}">
              <c16:uniqueId val="{00000003-B75E-4F6E-BB49-C3A238F62FB4}"/>
            </c:ext>
          </c:extLst>
        </c:ser>
        <c:dLbls>
          <c:showLegendKey val="0"/>
          <c:showVal val="1"/>
          <c:showCatName val="0"/>
          <c:showSerName val="0"/>
          <c:showPercent val="0"/>
          <c:showBubbleSize val="0"/>
        </c:dLbls>
        <c:gapWidth val="25"/>
        <c:overlap val="100"/>
        <c:axId val="417104320"/>
        <c:axId val="496254064"/>
      </c:barChart>
      <c:catAx>
        <c:axId val="417104320"/>
        <c:scaling>
          <c:orientation val="minMax"/>
        </c:scaling>
        <c:delete val="0"/>
        <c:axPos val="b"/>
        <c:numFmt formatCode="General" sourceLinked="1"/>
        <c:majorTickMark val="out"/>
        <c:minorTickMark val="none"/>
        <c:tickLblPos val="nextTo"/>
        <c:crossAx val="496254064"/>
        <c:crosses val="autoZero"/>
        <c:auto val="1"/>
        <c:lblAlgn val="ctr"/>
        <c:lblOffset val="100"/>
        <c:tickLblSkip val="2"/>
        <c:noMultiLvlLbl val="0"/>
      </c:catAx>
      <c:valAx>
        <c:axId val="496254064"/>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41710432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NZ" sz="1200"/>
              <a:t>Total </a:t>
            </a:r>
            <a:r>
              <a:rPr lang="en-NZ" sz="1200" baseline="0"/>
              <a:t>inflation adjusted gambling expenditure</a:t>
            </a:r>
            <a:endParaRPr lang="en-NZ" sz="1200"/>
          </a:p>
        </c:rich>
      </c:tx>
      <c:layout>
        <c:manualLayout>
          <c:xMode val="edge"/>
          <c:yMode val="edge"/>
          <c:x val="0.16530171930755846"/>
          <c:y val="2.2344636293463987E-2"/>
        </c:manualLayout>
      </c:layout>
      <c:overlay val="0"/>
    </c:title>
    <c:autoTitleDeleted val="0"/>
    <c:plotArea>
      <c:layout>
        <c:manualLayout>
          <c:layoutTarget val="inner"/>
          <c:xMode val="edge"/>
          <c:yMode val="edge"/>
          <c:x val="0.15853537408947477"/>
          <c:y val="0.11048642860084847"/>
          <c:w val="0.82728337609484204"/>
          <c:h val="0.64320909774745783"/>
        </c:manualLayout>
      </c:layout>
      <c:barChart>
        <c:barDir val="col"/>
        <c:grouping val="stacked"/>
        <c:varyColors val="0"/>
        <c:ser>
          <c:idx val="0"/>
          <c:order val="0"/>
          <c:tx>
            <c:v>TAB New Zealand</c:v>
          </c:tx>
          <c:spPr>
            <a:solidFill>
              <a:schemeClr val="accent4"/>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statistics'!$B$7:$P$7</c:f>
              <c:numCache>
                <c:formatCode>_-* #,##0_-;\-* #,##0_-;_-* "-"??_-;_-@_-</c:formatCode>
                <c:ptCount val="15"/>
                <c:pt idx="0">
                  <c:v>272.79300000000001</c:v>
                </c:pt>
                <c:pt idx="1">
                  <c:v>280.28622174657556</c:v>
                </c:pt>
                <c:pt idx="2">
                  <c:v>289.53039540816343</c:v>
                </c:pt>
                <c:pt idx="3">
                  <c:v>300.30782175732219</c:v>
                </c:pt>
                <c:pt idx="4">
                  <c:v>313.40333916666663</c:v>
                </c:pt>
                <c:pt idx="5">
                  <c:v>328.65617178423264</c:v>
                </c:pt>
                <c:pt idx="6">
                  <c:v>318.72707585644383</c:v>
                </c:pt>
                <c:pt idx="7">
                  <c:v>325.29775713401756</c:v>
                </c:pt>
                <c:pt idx="8">
                  <c:v>303.38750205495916</c:v>
                </c:pt>
                <c:pt idx="9">
                  <c:v>284.02168629082382</c:v>
                </c:pt>
                <c:pt idx="10">
                  <c:v>335.680646226401</c:v>
                </c:pt>
                <c:pt idx="11">
                  <c:v>309.04656712936628</c:v>
                </c:pt>
                <c:pt idx="12">
                  <c:v>287.95043933830107</c:v>
                </c:pt>
                <c:pt idx="13">
                  <c:v>275.4968616833134</c:v>
                </c:pt>
                <c:pt idx="14">
                  <c:v>284.26258076719802</c:v>
                </c:pt>
              </c:numCache>
            </c:numRef>
          </c:val>
          <c:extLst>
            <c:ext xmlns:c16="http://schemas.microsoft.com/office/drawing/2014/chart" uri="{C3380CC4-5D6E-409C-BE32-E72D297353CC}">
              <c16:uniqueId val="{00000000-068B-4D9B-85D4-0EA4CC93ED51}"/>
            </c:ext>
          </c:extLst>
        </c:ser>
        <c:ser>
          <c:idx val="1"/>
          <c:order val="1"/>
          <c:tx>
            <c:v>NZ Lotteries Commission</c:v>
          </c:tx>
          <c:spPr>
            <a:solidFill>
              <a:schemeClr val="bg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statistics'!$B$12:$P$12</c:f>
              <c:numCache>
                <c:formatCode>_-* #,##0_-;\-* #,##0_-;_-* "-"??_-;_-@_-</c:formatCode>
                <c:ptCount val="15"/>
                <c:pt idx="0">
                  <c:v>404.47699999999998</c:v>
                </c:pt>
                <c:pt idx="1">
                  <c:v>414.79539640410985</c:v>
                </c:pt>
                <c:pt idx="2">
                  <c:v>424.8472517006806</c:v>
                </c:pt>
                <c:pt idx="3">
                  <c:v>448.335079497908</c:v>
                </c:pt>
                <c:pt idx="4">
                  <c:v>405.31349083333333</c:v>
                </c:pt>
                <c:pt idx="5">
                  <c:v>419.84409460580946</c:v>
                </c:pt>
                <c:pt idx="6">
                  <c:v>523.43491598694948</c:v>
                </c:pt>
                <c:pt idx="7">
                  <c:v>521.24087062737578</c:v>
                </c:pt>
                <c:pt idx="8">
                  <c:v>484.9062614603489</c:v>
                </c:pt>
                <c:pt idx="9">
                  <c:v>568.58328464298711</c:v>
                </c:pt>
                <c:pt idx="10">
                  <c:v>605.70040074419626</c:v>
                </c:pt>
                <c:pt idx="11">
                  <c:v>531.44327259085037</c:v>
                </c:pt>
                <c:pt idx="12">
                  <c:v>544.67099388685187</c:v>
                </c:pt>
                <c:pt idx="13">
                  <c:v>587.53730044527913</c:v>
                </c:pt>
                <c:pt idx="14">
                  <c:v>545.03120028785895</c:v>
                </c:pt>
              </c:numCache>
            </c:numRef>
          </c:val>
          <c:extLst>
            <c:ext xmlns:c16="http://schemas.microsoft.com/office/drawing/2014/chart" uri="{C3380CC4-5D6E-409C-BE32-E72D297353CC}">
              <c16:uniqueId val="{00000001-068B-4D9B-85D4-0EA4CC93ED51}"/>
            </c:ext>
          </c:extLst>
        </c:ser>
        <c:ser>
          <c:idx val="2"/>
          <c:order val="2"/>
          <c:tx>
            <c:v>Gaming machines (outside casinos)</c:v>
          </c:tx>
          <c:spPr>
            <a:solidFill>
              <a:schemeClr val="accent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statistics'!$B$17:$P$17</c:f>
              <c:numCache>
                <c:formatCode>_-* #,##0_-;\-* #,##0_-;_-* "-"??_-;_-@_-</c:formatCode>
                <c:ptCount val="15"/>
                <c:pt idx="0">
                  <c:v>856.09935633000009</c:v>
                </c:pt>
                <c:pt idx="1">
                  <c:v>845.91207623000037</c:v>
                </c:pt>
                <c:pt idx="2">
                  <c:v>813.42137441245734</c:v>
                </c:pt>
                <c:pt idx="3">
                  <c:v>780.63267384977416</c:v>
                </c:pt>
                <c:pt idx="4">
                  <c:v>788.79739215333325</c:v>
                </c:pt>
                <c:pt idx="5">
                  <c:v>809.88383315738656</c:v>
                </c:pt>
                <c:pt idx="6">
                  <c:v>820.95126158860637</c:v>
                </c:pt>
                <c:pt idx="7">
                  <c:v>832.08716422055807</c:v>
                </c:pt>
                <c:pt idx="8">
                  <c:v>844.84534765511796</c:v>
                </c:pt>
                <c:pt idx="9">
                  <c:v>723.25821261105705</c:v>
                </c:pt>
                <c:pt idx="10">
                  <c:v>860.55717157344134</c:v>
                </c:pt>
                <c:pt idx="11">
                  <c:v>677.41894116057074</c:v>
                </c:pt>
                <c:pt idx="12">
                  <c:v>820.6553747639357</c:v>
                </c:pt>
                <c:pt idx="13">
                  <c:v>769.06843796269527</c:v>
                </c:pt>
                <c:pt idx="14">
                  <c:v>733.70106001023998</c:v>
                </c:pt>
              </c:numCache>
            </c:numRef>
          </c:val>
          <c:extLst>
            <c:ext xmlns:c16="http://schemas.microsoft.com/office/drawing/2014/chart" uri="{C3380CC4-5D6E-409C-BE32-E72D297353CC}">
              <c16:uniqueId val="{00000002-068B-4D9B-85D4-0EA4CC93ED51}"/>
            </c:ext>
          </c:extLst>
        </c:ser>
        <c:ser>
          <c:idx val="3"/>
          <c:order val="3"/>
          <c:tx>
            <c:v>Casinos</c:v>
          </c:tx>
          <c:spPr>
            <a:solidFill>
              <a:schemeClr val="accent1"/>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statistics'!$B$22:$P$22</c:f>
              <c:numCache>
                <c:formatCode>_-* #,##0_-;\-* #,##0_-;_-* "-"??_-;_-@_-</c:formatCode>
                <c:ptCount val="15"/>
                <c:pt idx="0">
                  <c:v>448.33651662288128</c:v>
                </c:pt>
                <c:pt idx="1">
                  <c:v>478.11667522660127</c:v>
                </c:pt>
                <c:pt idx="2">
                  <c:v>481.66339940126142</c:v>
                </c:pt>
                <c:pt idx="3">
                  <c:v>470.21183528431226</c:v>
                </c:pt>
                <c:pt idx="4">
                  <c:v>508.21599482333329</c:v>
                </c:pt>
                <c:pt idx="5">
                  <c:v>562.29395824390542</c:v>
                </c:pt>
                <c:pt idx="6">
                  <c:v>539.39968705872775</c:v>
                </c:pt>
                <c:pt idx="7">
                  <c:v>537.31503141142707</c:v>
                </c:pt>
                <c:pt idx="8">
                  <c:v>563.28109554956234</c:v>
                </c:pt>
                <c:pt idx="9">
                  <c:v>453.84715397043692</c:v>
                </c:pt>
                <c:pt idx="10">
                  <c:v>487.27172155525852</c:v>
                </c:pt>
                <c:pt idx="11">
                  <c:v>314.53722990460784</c:v>
                </c:pt>
                <c:pt idx="12">
                  <c:v>463.38822851287375</c:v>
                </c:pt>
                <c:pt idx="13">
                  <c:v>439.53543325161348</c:v>
                </c:pt>
                <c:pt idx="14">
                  <c:v>393.90826081902702</c:v>
                </c:pt>
              </c:numCache>
            </c:numRef>
          </c:val>
          <c:extLst>
            <c:ext xmlns:c16="http://schemas.microsoft.com/office/drawing/2014/chart" uri="{C3380CC4-5D6E-409C-BE32-E72D297353CC}">
              <c16:uniqueId val="{00000003-068B-4D9B-85D4-0EA4CC93ED51}"/>
            </c:ext>
          </c:extLst>
        </c:ser>
        <c:dLbls>
          <c:showLegendKey val="0"/>
          <c:showVal val="1"/>
          <c:showCatName val="0"/>
          <c:showSerName val="0"/>
          <c:showPercent val="0"/>
          <c:showBubbleSize val="0"/>
        </c:dLbls>
        <c:gapWidth val="25"/>
        <c:overlap val="100"/>
        <c:axId val="577571512"/>
        <c:axId val="577571904"/>
      </c:barChart>
      <c:catAx>
        <c:axId val="577571512"/>
        <c:scaling>
          <c:orientation val="minMax"/>
        </c:scaling>
        <c:delete val="0"/>
        <c:axPos val="b"/>
        <c:numFmt formatCode="General" sourceLinked="1"/>
        <c:majorTickMark val="out"/>
        <c:minorTickMark val="none"/>
        <c:tickLblPos val="nextTo"/>
        <c:crossAx val="577571904"/>
        <c:crosses val="autoZero"/>
        <c:auto val="1"/>
        <c:lblAlgn val="ctr"/>
        <c:lblOffset val="100"/>
        <c:tickLblSkip val="2"/>
        <c:noMultiLvlLbl val="0"/>
      </c:catAx>
      <c:valAx>
        <c:axId val="577571904"/>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577571512"/>
        <c:crosses val="autoZero"/>
        <c:crossBetween val="between"/>
      </c:valAx>
    </c:plotArea>
    <c:legend>
      <c:legendPos val="b"/>
      <c:layout>
        <c:manualLayout>
          <c:xMode val="edge"/>
          <c:yMode val="edge"/>
          <c:x val="0"/>
          <c:y val="0.85520107822154967"/>
          <c:w val="1"/>
          <c:h val="0.14479892177845036"/>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200"/>
            </a:pPr>
            <a:r>
              <a:rPr lang="en-NZ" sz="1200" b="1" i="0" u="none" strike="noStrike" kern="1200" baseline="0">
                <a:solidFill>
                  <a:sysClr val="windowText" lastClr="000000"/>
                </a:solidFill>
              </a:rPr>
              <a:t>TAB New Zealand</a:t>
            </a:r>
          </a:p>
        </c:rich>
      </c:tx>
      <c:layout>
        <c:manualLayout>
          <c:xMode val="edge"/>
          <c:yMode val="edge"/>
          <c:x val="0.13685414323209599"/>
          <c:y val="4.0600079731956125E-2"/>
        </c:manualLayout>
      </c:layout>
      <c:overlay val="0"/>
    </c:title>
    <c:autoTitleDeleted val="0"/>
    <c:plotArea>
      <c:layout>
        <c:manualLayout>
          <c:layoutTarget val="inner"/>
          <c:xMode val="edge"/>
          <c:yMode val="edge"/>
          <c:x val="0.18062204724409447"/>
          <c:y val="0.15747955418616152"/>
          <c:w val="0.80364543068480065"/>
          <c:h val="0.72654075849214506"/>
        </c:manualLayout>
      </c:layout>
      <c:lineChart>
        <c:grouping val="standard"/>
        <c:varyColors val="0"/>
        <c:ser>
          <c:idx val="0"/>
          <c:order val="0"/>
          <c:tx>
            <c:v>Inflation adjusted expenditure per capita</c:v>
          </c:tx>
          <c:marker>
            <c:symbol val="none"/>
          </c:marker>
          <c:cat>
            <c:strRef>
              <c:f>'Population adjusted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statistics'!$B$7:$P$7</c:f>
              <c:numCache>
                <c:formatCode>_-* #,##0_-;\-* #,##0_-;_-* "-"??_-;_-@_-</c:formatCode>
                <c:ptCount val="15"/>
                <c:pt idx="0">
                  <c:v>83.014211375186392</c:v>
                </c:pt>
                <c:pt idx="1">
                  <c:v>84.640260228469131</c:v>
                </c:pt>
                <c:pt idx="2">
                  <c:v>86.507034990039571</c:v>
                </c:pt>
                <c:pt idx="3">
                  <c:v>87.824712451693927</c:v>
                </c:pt>
                <c:pt idx="4">
                  <c:v>89.385471212899049</c:v>
                </c:pt>
                <c:pt idx="5">
                  <c:v>91.273098140477842</c:v>
                </c:pt>
                <c:pt idx="6">
                  <c:v>86.439149474261342</c:v>
                </c:pt>
                <c:pt idx="7">
                  <c:v>86.382111937441607</c:v>
                </c:pt>
                <c:pt idx="8">
                  <c:v>79.091608763252211</c:v>
                </c:pt>
                <c:pt idx="9">
                  <c:v>72.169149101975307</c:v>
                </c:pt>
                <c:pt idx="10">
                  <c:v>84.727188022514696</c:v>
                </c:pt>
                <c:pt idx="11">
                  <c:v>77.973146746402492</c:v>
                </c:pt>
                <c:pt idx="12">
                  <c:v>70.843487511268279</c:v>
                </c:pt>
                <c:pt idx="13">
                  <c:v>67.047016600911988</c:v>
                </c:pt>
                <c:pt idx="14">
                  <c:v>60.105166345288801</c:v>
                </c:pt>
              </c:numCache>
            </c:numRef>
          </c:val>
          <c:smooth val="0"/>
          <c:extLst>
            <c:ext xmlns:c16="http://schemas.microsoft.com/office/drawing/2014/chart" uri="{C3380CC4-5D6E-409C-BE32-E72D297353CC}">
              <c16:uniqueId val="{00000000-E60A-4FF4-8F0B-E222F1281480}"/>
            </c:ext>
          </c:extLst>
        </c:ser>
        <c:dLbls>
          <c:showLegendKey val="0"/>
          <c:showVal val="0"/>
          <c:showCatName val="0"/>
          <c:showSerName val="0"/>
          <c:showPercent val="0"/>
          <c:showBubbleSize val="0"/>
        </c:dLbls>
        <c:smooth val="0"/>
        <c:axId val="577569160"/>
        <c:axId val="577571120"/>
      </c:lineChart>
      <c:catAx>
        <c:axId val="577569160"/>
        <c:scaling>
          <c:orientation val="minMax"/>
        </c:scaling>
        <c:delete val="0"/>
        <c:axPos val="b"/>
        <c:numFmt formatCode="General" sourceLinked="1"/>
        <c:majorTickMark val="out"/>
        <c:minorTickMark val="none"/>
        <c:tickLblPos val="nextTo"/>
        <c:crossAx val="577571120"/>
        <c:crosses val="autoZero"/>
        <c:auto val="1"/>
        <c:lblAlgn val="ctr"/>
        <c:lblOffset val="100"/>
        <c:tickLblSkip val="2"/>
        <c:noMultiLvlLbl val="0"/>
      </c:catAx>
      <c:valAx>
        <c:axId val="577571120"/>
        <c:scaling>
          <c:orientation val="minMax"/>
          <c:max val="300"/>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57756916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1"/>
    </mc:Choice>
    <mc:Fallback>
      <c:style val="21"/>
    </mc:Fallback>
  </mc:AlternateContent>
  <c:chart>
    <c:title>
      <c:tx>
        <c:rich>
          <a:bodyPr/>
          <a:lstStyle/>
          <a:p>
            <a:pPr>
              <a:defRPr sz="1200"/>
            </a:pPr>
            <a:r>
              <a:rPr lang="en-NZ" sz="1200"/>
              <a:t>NZ Lotteries Commission</a:t>
            </a:r>
          </a:p>
        </c:rich>
      </c:tx>
      <c:layout>
        <c:manualLayout>
          <c:xMode val="edge"/>
          <c:yMode val="edge"/>
          <c:x val="0.19416942791653305"/>
          <c:y val="8.5547567423637269E-2"/>
        </c:manualLayout>
      </c:layout>
      <c:overlay val="0"/>
    </c:title>
    <c:autoTitleDeleted val="0"/>
    <c:plotArea>
      <c:layout>
        <c:manualLayout>
          <c:layoutTarget val="inner"/>
          <c:xMode val="edge"/>
          <c:yMode val="edge"/>
          <c:x val="0.1869830524578093"/>
          <c:y val="0.16714129483814524"/>
          <c:w val="0.78976567974252088"/>
          <c:h val="0.7168788276465442"/>
        </c:manualLayout>
      </c:layout>
      <c:lineChart>
        <c:grouping val="standard"/>
        <c:varyColors val="0"/>
        <c:ser>
          <c:idx val="0"/>
          <c:order val="0"/>
          <c:tx>
            <c:v>Inflation adjusted expenditure per capita</c:v>
          </c:tx>
          <c:marker>
            <c:symbol val="none"/>
          </c:marker>
          <c:cat>
            <c:strRef>
              <c:f>'Population adjusted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statistics'!$B$12:$P$12</c:f>
              <c:numCache>
                <c:formatCode>_-* #,##0_-;\-* #,##0_-;_-* "-"??_-;_-@_-</c:formatCode>
                <c:ptCount val="15"/>
                <c:pt idx="0">
                  <c:v>123.08724627978455</c:v>
                </c:pt>
                <c:pt idx="1">
                  <c:v>125.2590658022376</c:v>
                </c:pt>
                <c:pt idx="2">
                  <c:v>126.93753972352943</c:v>
                </c:pt>
                <c:pt idx="3">
                  <c:v>131.1151311627502</c:v>
                </c:pt>
                <c:pt idx="4">
                  <c:v>115.5990790124161</c:v>
                </c:pt>
                <c:pt idx="5">
                  <c:v>116.59744906848741</c:v>
                </c:pt>
                <c:pt idx="6">
                  <c:v>141.9561511097414</c:v>
                </c:pt>
                <c:pt idx="7">
                  <c:v>138.41437958133088</c:v>
                </c:pt>
                <c:pt idx="8">
                  <c:v>126.41264408883154</c:v>
                </c:pt>
                <c:pt idx="9">
                  <c:v>144.4754884113803</c:v>
                </c:pt>
                <c:pt idx="10">
                  <c:v>152.88129451631698</c:v>
                </c:pt>
                <c:pt idx="11">
                  <c:v>134.08433772949422</c:v>
                </c:pt>
                <c:pt idx="12">
                  <c:v>134.00359048537419</c:v>
                </c:pt>
                <c:pt idx="13">
                  <c:v>142.98755672176003</c:v>
                </c:pt>
                <c:pt idx="14">
                  <c:v>133.54870470628899</c:v>
                </c:pt>
              </c:numCache>
            </c:numRef>
          </c:val>
          <c:smooth val="0"/>
          <c:extLst>
            <c:ext xmlns:c16="http://schemas.microsoft.com/office/drawing/2014/chart" uri="{C3380CC4-5D6E-409C-BE32-E72D297353CC}">
              <c16:uniqueId val="{00000000-9C06-47DC-82CF-912016480913}"/>
            </c:ext>
          </c:extLst>
        </c:ser>
        <c:dLbls>
          <c:showLegendKey val="0"/>
          <c:showVal val="0"/>
          <c:showCatName val="0"/>
          <c:showSerName val="0"/>
          <c:showPercent val="0"/>
          <c:showBubbleSize val="0"/>
        </c:dLbls>
        <c:smooth val="0"/>
        <c:axId val="577569944"/>
        <c:axId val="577570336"/>
      </c:lineChart>
      <c:catAx>
        <c:axId val="577569944"/>
        <c:scaling>
          <c:orientation val="minMax"/>
        </c:scaling>
        <c:delete val="0"/>
        <c:axPos val="b"/>
        <c:numFmt formatCode="General" sourceLinked="1"/>
        <c:majorTickMark val="out"/>
        <c:minorTickMark val="none"/>
        <c:tickLblPos val="nextTo"/>
        <c:crossAx val="577570336"/>
        <c:crosses val="autoZero"/>
        <c:auto val="1"/>
        <c:lblAlgn val="ctr"/>
        <c:lblOffset val="100"/>
        <c:tickLblSkip val="2"/>
        <c:noMultiLvlLbl val="0"/>
      </c:catAx>
      <c:valAx>
        <c:axId val="577570336"/>
        <c:scaling>
          <c:orientation val="minMax"/>
          <c:max val="300"/>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577569944"/>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chart>
    <c:title>
      <c:tx>
        <c:rich>
          <a:bodyPr/>
          <a:lstStyle/>
          <a:p>
            <a:pPr>
              <a:defRPr sz="1200"/>
            </a:pPr>
            <a:r>
              <a:rPr lang="en-NZ" sz="1200"/>
              <a:t>Gaming machines (outside casinos)</a:t>
            </a:r>
          </a:p>
        </c:rich>
      </c:tx>
      <c:layout>
        <c:manualLayout>
          <c:xMode val="edge"/>
          <c:yMode val="edge"/>
          <c:x val="0.13685414323209599"/>
          <c:y val="4.0600079731956125E-2"/>
        </c:manualLayout>
      </c:layout>
      <c:overlay val="0"/>
    </c:title>
    <c:autoTitleDeleted val="0"/>
    <c:plotArea>
      <c:layout>
        <c:manualLayout>
          <c:layoutTarget val="inner"/>
          <c:xMode val="edge"/>
          <c:yMode val="edge"/>
          <c:x val="0.19310873812006377"/>
          <c:y val="0.17533386143927793"/>
          <c:w val="0.78865254856841527"/>
          <c:h val="0.7168788276465442"/>
        </c:manualLayout>
      </c:layout>
      <c:lineChart>
        <c:grouping val="standard"/>
        <c:varyColors val="0"/>
        <c:ser>
          <c:idx val="0"/>
          <c:order val="0"/>
          <c:tx>
            <c:v>Inflation adjusted expenditure per capita</c:v>
          </c:tx>
          <c:marker>
            <c:symbol val="none"/>
          </c:marker>
          <c:cat>
            <c:strRef>
              <c:f>'Population adjusted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statistics'!$B$17:$P$17</c:f>
              <c:numCache>
                <c:formatCode>_-* #,##0_-;\-* #,##0_-;_-* "-"??_-;_-@_-</c:formatCode>
                <c:ptCount val="15"/>
                <c:pt idx="0">
                  <c:v>260.52139506710085</c:v>
                </c:pt>
                <c:pt idx="1">
                  <c:v>255.44679940510355</c:v>
                </c:pt>
                <c:pt idx="2">
                  <c:v>243.03725071333395</c:v>
                </c:pt>
                <c:pt idx="3">
                  <c:v>228.29521958524131</c:v>
                </c:pt>
                <c:pt idx="4">
                  <c:v>224.97216135797538</c:v>
                </c:pt>
                <c:pt idx="5">
                  <c:v>224.9177497104495</c:v>
                </c:pt>
                <c:pt idx="6">
                  <c:v>222.64292614883692</c:v>
                </c:pt>
                <c:pt idx="7">
                  <c:v>220.95893680507675</c:v>
                </c:pt>
                <c:pt idx="8">
                  <c:v>220.24696880917594</c:v>
                </c:pt>
                <c:pt idx="9">
                  <c:v>183.7779729668548</c:v>
                </c:pt>
                <c:pt idx="10">
                  <c:v>217.20820100796118</c:v>
                </c:pt>
                <c:pt idx="11">
                  <c:v>170.91432853805242</c:v>
                </c:pt>
                <c:pt idx="12">
                  <c:v>201.90310848888836</c:v>
                </c:pt>
                <c:pt idx="13">
                  <c:v>187.1663583108085</c:v>
                </c:pt>
                <c:pt idx="14">
                  <c:v>179.513812051272</c:v>
                </c:pt>
              </c:numCache>
            </c:numRef>
          </c:val>
          <c:smooth val="0"/>
          <c:extLst>
            <c:ext xmlns:c16="http://schemas.microsoft.com/office/drawing/2014/chart" uri="{C3380CC4-5D6E-409C-BE32-E72D297353CC}">
              <c16:uniqueId val="{00000000-B61C-4D49-BCED-689FCF4D1DA5}"/>
            </c:ext>
          </c:extLst>
        </c:ser>
        <c:dLbls>
          <c:showLegendKey val="0"/>
          <c:showVal val="0"/>
          <c:showCatName val="0"/>
          <c:showSerName val="0"/>
          <c:showPercent val="0"/>
          <c:showBubbleSize val="0"/>
        </c:dLbls>
        <c:smooth val="0"/>
        <c:axId val="897188176"/>
        <c:axId val="897188568"/>
      </c:lineChart>
      <c:catAx>
        <c:axId val="897188176"/>
        <c:scaling>
          <c:orientation val="minMax"/>
        </c:scaling>
        <c:delete val="0"/>
        <c:axPos val="b"/>
        <c:numFmt formatCode="General" sourceLinked="1"/>
        <c:majorTickMark val="out"/>
        <c:minorTickMark val="none"/>
        <c:tickLblPos val="nextTo"/>
        <c:crossAx val="897188568"/>
        <c:crosses val="autoZero"/>
        <c:auto val="1"/>
        <c:lblAlgn val="ctr"/>
        <c:lblOffset val="100"/>
        <c:tickLblSkip val="2"/>
        <c:noMultiLvlLbl val="0"/>
      </c:catAx>
      <c:valAx>
        <c:axId val="897188568"/>
        <c:scaling>
          <c:orientation val="minMax"/>
          <c:max val="300"/>
          <c:min val="0"/>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89718817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chart>
    <c:title>
      <c:tx>
        <c:rich>
          <a:bodyPr/>
          <a:lstStyle/>
          <a:p>
            <a:pPr>
              <a:defRPr sz="1200"/>
            </a:pPr>
            <a:r>
              <a:rPr lang="en-NZ" sz="1200"/>
              <a:t>Casinos</a:t>
            </a:r>
          </a:p>
        </c:rich>
      </c:tx>
      <c:layout>
        <c:manualLayout>
          <c:xMode val="edge"/>
          <c:yMode val="edge"/>
          <c:x val="0.17956960185468807"/>
          <c:y val="6.139297805165659E-2"/>
        </c:manualLayout>
      </c:layout>
      <c:overlay val="0"/>
    </c:title>
    <c:autoTitleDeleted val="0"/>
    <c:plotArea>
      <c:layout>
        <c:manualLayout>
          <c:layoutTarget val="inner"/>
          <c:xMode val="edge"/>
          <c:yMode val="edge"/>
          <c:x val="0.18922070667939964"/>
          <c:y val="0.16714129483814524"/>
          <c:w val="0.78752794344642851"/>
          <c:h val="0.7168788276465442"/>
        </c:manualLayout>
      </c:layout>
      <c:lineChart>
        <c:grouping val="standard"/>
        <c:varyColors val="0"/>
        <c:ser>
          <c:idx val="0"/>
          <c:order val="0"/>
          <c:tx>
            <c:v>Inflation adjusted expenditure per capita</c:v>
          </c:tx>
          <c:marker>
            <c:symbol val="none"/>
          </c:marker>
          <c:cat>
            <c:strRef>
              <c:f>'Population adjusted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statistics'!$B$22:$P$22</c:f>
              <c:numCache>
                <c:formatCode>_-* #,##0_-;\-* #,##0_-;_-* "-"??_-;_-@_-</c:formatCode>
                <c:ptCount val="15"/>
                <c:pt idx="0">
                  <c:v>136.43422799759026</c:v>
                </c:pt>
                <c:pt idx="1">
                  <c:v>144.38069612761629</c:v>
                </c:pt>
                <c:pt idx="2">
                  <c:v>143.91329271901205</c:v>
                </c:pt>
                <c:pt idx="3">
                  <c:v>137.5129658081278</c:v>
                </c:pt>
                <c:pt idx="4">
                  <c:v>144.94780526590989</c:v>
                </c:pt>
                <c:pt idx="5">
                  <c:v>156.15806438677666</c:v>
                </c:pt>
                <c:pt idx="6">
                  <c:v>146.28581538218418</c:v>
                </c:pt>
                <c:pt idx="7">
                  <c:v>142.68283801886108</c:v>
                </c:pt>
                <c:pt idx="8">
                  <c:v>146.8445724730995</c:v>
                </c:pt>
                <c:pt idx="9">
                  <c:v>115.32134518369634</c:v>
                </c:pt>
                <c:pt idx="10">
                  <c:v>122.98940446635667</c:v>
                </c:pt>
                <c:pt idx="11">
                  <c:v>79.358453363090149</c:v>
                </c:pt>
                <c:pt idx="12">
                  <c:v>114.00586244965649</c:v>
                </c:pt>
                <c:pt idx="13">
                  <c:v>106.96869398020776</c:v>
                </c:pt>
                <c:pt idx="14">
                  <c:v>102.476922971858</c:v>
                </c:pt>
              </c:numCache>
            </c:numRef>
          </c:val>
          <c:smooth val="0"/>
          <c:extLst>
            <c:ext xmlns:c16="http://schemas.microsoft.com/office/drawing/2014/chart" uri="{C3380CC4-5D6E-409C-BE32-E72D297353CC}">
              <c16:uniqueId val="{00000000-3711-4546-9134-16186AC7BE27}"/>
            </c:ext>
          </c:extLst>
        </c:ser>
        <c:dLbls>
          <c:showLegendKey val="0"/>
          <c:showVal val="0"/>
          <c:showCatName val="0"/>
          <c:showSerName val="0"/>
          <c:showPercent val="0"/>
          <c:showBubbleSize val="0"/>
        </c:dLbls>
        <c:smooth val="0"/>
        <c:axId val="897189744"/>
        <c:axId val="897189352"/>
      </c:lineChart>
      <c:catAx>
        <c:axId val="897189744"/>
        <c:scaling>
          <c:orientation val="minMax"/>
        </c:scaling>
        <c:delete val="0"/>
        <c:axPos val="b"/>
        <c:numFmt formatCode="General" sourceLinked="1"/>
        <c:majorTickMark val="out"/>
        <c:minorTickMark val="none"/>
        <c:tickLblPos val="nextTo"/>
        <c:crossAx val="897189352"/>
        <c:crosses val="autoZero"/>
        <c:auto val="1"/>
        <c:lblAlgn val="ctr"/>
        <c:lblOffset val="100"/>
        <c:tickLblSkip val="2"/>
        <c:noMultiLvlLbl val="0"/>
      </c:catAx>
      <c:valAx>
        <c:axId val="897189352"/>
        <c:scaling>
          <c:orientation val="minMax"/>
          <c:max val="300"/>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897189744"/>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NZ" sz="1200"/>
              <a:t>Total </a:t>
            </a:r>
            <a:r>
              <a:rPr lang="en-NZ" sz="1200" baseline="0"/>
              <a:t>inflation adjusted expenditure per capita</a:t>
            </a:r>
            <a:endParaRPr lang="en-NZ" sz="1200"/>
          </a:p>
        </c:rich>
      </c:tx>
      <c:layout>
        <c:manualLayout>
          <c:xMode val="edge"/>
          <c:yMode val="edge"/>
          <c:x val="9.9041119860017499E-2"/>
          <c:y val="1.1221808064897136E-2"/>
        </c:manualLayout>
      </c:layout>
      <c:overlay val="0"/>
    </c:title>
    <c:autoTitleDeleted val="0"/>
    <c:plotArea>
      <c:layout>
        <c:manualLayout>
          <c:layoutTarget val="inner"/>
          <c:xMode val="edge"/>
          <c:yMode val="edge"/>
          <c:x val="0.10039967226318933"/>
          <c:y val="8.5015818409151497E-2"/>
          <c:w val="0.76002504430230511"/>
          <c:h val="0.80866628957597841"/>
        </c:manualLayout>
      </c:layout>
      <c:barChart>
        <c:barDir val="col"/>
        <c:grouping val="stacked"/>
        <c:varyColors val="0"/>
        <c:ser>
          <c:idx val="0"/>
          <c:order val="0"/>
          <c:tx>
            <c:v>TAB New Zealand</c:v>
          </c:tx>
          <c:spPr>
            <a:solidFill>
              <a:schemeClr val="accent4"/>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statistics'!$B$7:$P$7</c:f>
              <c:numCache>
                <c:formatCode>_-* #,##0_-;\-* #,##0_-;_-* "-"??_-;_-@_-</c:formatCode>
                <c:ptCount val="15"/>
                <c:pt idx="0">
                  <c:v>83.014211375186392</c:v>
                </c:pt>
                <c:pt idx="1">
                  <c:v>84.640260228469131</c:v>
                </c:pt>
                <c:pt idx="2">
                  <c:v>86.507034990039571</c:v>
                </c:pt>
                <c:pt idx="3">
                  <c:v>87.824712451693927</c:v>
                </c:pt>
                <c:pt idx="4">
                  <c:v>89.385471212899049</c:v>
                </c:pt>
                <c:pt idx="5">
                  <c:v>91.273098140477842</c:v>
                </c:pt>
                <c:pt idx="6">
                  <c:v>86.439149474261342</c:v>
                </c:pt>
                <c:pt idx="7">
                  <c:v>86.382111937441607</c:v>
                </c:pt>
                <c:pt idx="8">
                  <c:v>79.091608763252211</c:v>
                </c:pt>
                <c:pt idx="9">
                  <c:v>72.169149101975307</c:v>
                </c:pt>
                <c:pt idx="10">
                  <c:v>84.727188022514696</c:v>
                </c:pt>
                <c:pt idx="11">
                  <c:v>77.973146746402492</c:v>
                </c:pt>
                <c:pt idx="12">
                  <c:v>70.843487511268279</c:v>
                </c:pt>
                <c:pt idx="13">
                  <c:v>67.047016600911988</c:v>
                </c:pt>
                <c:pt idx="14">
                  <c:v>60.105166345288801</c:v>
                </c:pt>
              </c:numCache>
            </c:numRef>
          </c:val>
          <c:extLst>
            <c:ext xmlns:c16="http://schemas.microsoft.com/office/drawing/2014/chart" uri="{C3380CC4-5D6E-409C-BE32-E72D297353CC}">
              <c16:uniqueId val="{00000000-8363-4D22-B045-A97122F7DF47}"/>
            </c:ext>
          </c:extLst>
        </c:ser>
        <c:ser>
          <c:idx val="1"/>
          <c:order val="1"/>
          <c:tx>
            <c:v>NZ Lotteries Commission</c:v>
          </c:tx>
          <c:spPr>
            <a:solidFill>
              <a:schemeClr val="bg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statistics'!$B$12:$P$12</c:f>
              <c:numCache>
                <c:formatCode>_-* #,##0_-;\-* #,##0_-;_-* "-"??_-;_-@_-</c:formatCode>
                <c:ptCount val="15"/>
                <c:pt idx="0">
                  <c:v>123.08724627978455</c:v>
                </c:pt>
                <c:pt idx="1">
                  <c:v>125.2590658022376</c:v>
                </c:pt>
                <c:pt idx="2">
                  <c:v>126.93753972352943</c:v>
                </c:pt>
                <c:pt idx="3">
                  <c:v>131.1151311627502</c:v>
                </c:pt>
                <c:pt idx="4">
                  <c:v>115.5990790124161</c:v>
                </c:pt>
                <c:pt idx="5">
                  <c:v>116.59744906848741</c:v>
                </c:pt>
                <c:pt idx="6">
                  <c:v>141.9561511097414</c:v>
                </c:pt>
                <c:pt idx="7">
                  <c:v>138.41437958133088</c:v>
                </c:pt>
                <c:pt idx="8">
                  <c:v>126.41264408883154</c:v>
                </c:pt>
                <c:pt idx="9">
                  <c:v>144.4754884113803</c:v>
                </c:pt>
                <c:pt idx="10">
                  <c:v>152.88129451631698</c:v>
                </c:pt>
                <c:pt idx="11">
                  <c:v>134.08433772949422</c:v>
                </c:pt>
                <c:pt idx="12">
                  <c:v>134.00359048537419</c:v>
                </c:pt>
                <c:pt idx="13">
                  <c:v>142.98755672176003</c:v>
                </c:pt>
                <c:pt idx="14">
                  <c:v>133.54870470628899</c:v>
                </c:pt>
              </c:numCache>
            </c:numRef>
          </c:val>
          <c:extLst>
            <c:ext xmlns:c16="http://schemas.microsoft.com/office/drawing/2014/chart" uri="{C3380CC4-5D6E-409C-BE32-E72D297353CC}">
              <c16:uniqueId val="{00000001-8363-4D22-B045-A97122F7DF47}"/>
            </c:ext>
          </c:extLst>
        </c:ser>
        <c:ser>
          <c:idx val="2"/>
          <c:order val="2"/>
          <c:tx>
            <c:v>Gaming machines (outside casinos)</c:v>
          </c:tx>
          <c:spPr>
            <a:solidFill>
              <a:schemeClr val="accent2"/>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statistics'!$B$17:$P$17</c:f>
              <c:numCache>
                <c:formatCode>_-* #,##0_-;\-* #,##0_-;_-* "-"??_-;_-@_-</c:formatCode>
                <c:ptCount val="15"/>
                <c:pt idx="0">
                  <c:v>260.52139506710085</c:v>
                </c:pt>
                <c:pt idx="1">
                  <c:v>255.44679940510355</c:v>
                </c:pt>
                <c:pt idx="2">
                  <c:v>243.03725071333395</c:v>
                </c:pt>
                <c:pt idx="3">
                  <c:v>228.29521958524131</c:v>
                </c:pt>
                <c:pt idx="4">
                  <c:v>224.97216135797538</c:v>
                </c:pt>
                <c:pt idx="5">
                  <c:v>224.9177497104495</c:v>
                </c:pt>
                <c:pt idx="6">
                  <c:v>222.64292614883692</c:v>
                </c:pt>
                <c:pt idx="7">
                  <c:v>220.95893680507675</c:v>
                </c:pt>
                <c:pt idx="8">
                  <c:v>220.24696880917594</c:v>
                </c:pt>
                <c:pt idx="9">
                  <c:v>183.7779729668548</c:v>
                </c:pt>
                <c:pt idx="10">
                  <c:v>217.20820100796118</c:v>
                </c:pt>
                <c:pt idx="11">
                  <c:v>170.91432853805242</c:v>
                </c:pt>
                <c:pt idx="12">
                  <c:v>201.90310848888836</c:v>
                </c:pt>
                <c:pt idx="13">
                  <c:v>187.1663583108085</c:v>
                </c:pt>
                <c:pt idx="14">
                  <c:v>179.513812051272</c:v>
                </c:pt>
              </c:numCache>
            </c:numRef>
          </c:val>
          <c:extLst>
            <c:ext xmlns:c16="http://schemas.microsoft.com/office/drawing/2014/chart" uri="{C3380CC4-5D6E-409C-BE32-E72D297353CC}">
              <c16:uniqueId val="{00000002-8363-4D22-B045-A97122F7DF47}"/>
            </c:ext>
          </c:extLst>
        </c:ser>
        <c:ser>
          <c:idx val="3"/>
          <c:order val="3"/>
          <c:tx>
            <c:v>Casinos</c:v>
          </c:tx>
          <c:spPr>
            <a:solidFill>
              <a:schemeClr val="accent1"/>
            </a:solidFill>
          </c:spPr>
          <c:invertIfNegative val="0"/>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statistics'!$B$22:$P$22</c:f>
              <c:numCache>
                <c:formatCode>_-* #,##0_-;\-* #,##0_-;_-* "-"??_-;_-@_-</c:formatCode>
                <c:ptCount val="15"/>
                <c:pt idx="0">
                  <c:v>136.43422799759026</c:v>
                </c:pt>
                <c:pt idx="1">
                  <c:v>144.38069612761629</c:v>
                </c:pt>
                <c:pt idx="2">
                  <c:v>143.91329271901205</c:v>
                </c:pt>
                <c:pt idx="3">
                  <c:v>137.5129658081278</c:v>
                </c:pt>
                <c:pt idx="4">
                  <c:v>144.94780526590989</c:v>
                </c:pt>
                <c:pt idx="5">
                  <c:v>156.15806438677666</c:v>
                </c:pt>
                <c:pt idx="6">
                  <c:v>146.28581538218418</c:v>
                </c:pt>
                <c:pt idx="7">
                  <c:v>142.68283801886108</c:v>
                </c:pt>
                <c:pt idx="8">
                  <c:v>146.8445724730995</c:v>
                </c:pt>
                <c:pt idx="9">
                  <c:v>115.32134518369634</c:v>
                </c:pt>
                <c:pt idx="10">
                  <c:v>122.98940446635667</c:v>
                </c:pt>
                <c:pt idx="11">
                  <c:v>79.358453363090149</c:v>
                </c:pt>
                <c:pt idx="12">
                  <c:v>114.00586244965649</c:v>
                </c:pt>
                <c:pt idx="13">
                  <c:v>106.96869398020776</c:v>
                </c:pt>
                <c:pt idx="14">
                  <c:v>102.476922971858</c:v>
                </c:pt>
              </c:numCache>
            </c:numRef>
          </c:val>
          <c:extLst>
            <c:ext xmlns:c16="http://schemas.microsoft.com/office/drawing/2014/chart" uri="{C3380CC4-5D6E-409C-BE32-E72D297353CC}">
              <c16:uniqueId val="{00000003-8363-4D22-B045-A97122F7DF47}"/>
            </c:ext>
          </c:extLst>
        </c:ser>
        <c:dLbls>
          <c:showLegendKey val="0"/>
          <c:showVal val="1"/>
          <c:showCatName val="0"/>
          <c:showSerName val="0"/>
          <c:showPercent val="0"/>
          <c:showBubbleSize val="0"/>
        </c:dLbls>
        <c:gapWidth val="25"/>
        <c:overlap val="100"/>
        <c:axId val="897186608"/>
        <c:axId val="897187000"/>
      </c:barChart>
      <c:catAx>
        <c:axId val="897186608"/>
        <c:scaling>
          <c:orientation val="minMax"/>
        </c:scaling>
        <c:delete val="0"/>
        <c:axPos val="b"/>
        <c:numFmt formatCode="General" sourceLinked="1"/>
        <c:majorTickMark val="out"/>
        <c:minorTickMark val="none"/>
        <c:tickLblPos val="nextTo"/>
        <c:crossAx val="897187000"/>
        <c:crosses val="autoZero"/>
        <c:auto val="1"/>
        <c:lblAlgn val="ctr"/>
        <c:lblOffset val="100"/>
        <c:noMultiLvlLbl val="0"/>
      </c:catAx>
      <c:valAx>
        <c:axId val="897187000"/>
        <c:scaling>
          <c:orientation val="minMax"/>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897186608"/>
        <c:crosses val="autoZero"/>
        <c:crossBetween val="between"/>
      </c:valAx>
    </c:plotArea>
    <c:legend>
      <c:legendPos val="r"/>
      <c:layout>
        <c:manualLayout>
          <c:xMode val="edge"/>
          <c:yMode val="edge"/>
          <c:x val="0.87213035417856599"/>
          <c:y val="3.4913619176881863E-2"/>
          <c:w val="0.11898077560179117"/>
          <c:h val="0.86117745910744781"/>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n-NZ" sz="1200"/>
              <a:t>Actual gambling expenditure by type</a:t>
            </a:r>
          </a:p>
        </c:rich>
      </c:tx>
      <c:layout>
        <c:manualLayout>
          <c:xMode val="edge"/>
          <c:yMode val="edge"/>
          <c:x val="0.13390849843905459"/>
          <c:y val="1.2293888795815416E-2"/>
        </c:manualLayout>
      </c:layout>
      <c:overlay val="0"/>
    </c:title>
    <c:autoTitleDeleted val="0"/>
    <c:plotArea>
      <c:layout>
        <c:manualLayout>
          <c:layoutTarget val="inner"/>
          <c:xMode val="edge"/>
          <c:yMode val="edge"/>
          <c:x val="0.13368231871095876"/>
          <c:y val="0.11740027177453884"/>
          <c:w val="0.85816581628099464"/>
          <c:h val="0.53551832616667605"/>
        </c:manualLayout>
      </c:layout>
      <c:lineChart>
        <c:grouping val="standard"/>
        <c:varyColors val="0"/>
        <c:ser>
          <c:idx val="0"/>
          <c:order val="0"/>
          <c:tx>
            <c:strRef>
              <c:f>'Actual (nominal) statistics'!$A$6</c:f>
              <c:strCache>
                <c:ptCount val="1"/>
                <c:pt idx="0">
                  <c:v>TAB New Zealand</c:v>
                </c:pt>
              </c:strCache>
            </c:strRef>
          </c:tx>
          <c:spPr>
            <a:ln>
              <a:solidFill>
                <a:schemeClr val="accent4"/>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statistics'!$B$7:$P$7</c:f>
              <c:numCache>
                <c:formatCode>_-* #,##0_-;\-* #,##0_-;_-* "-"??_-;_-@_-</c:formatCode>
                <c:ptCount val="15"/>
                <c:pt idx="0">
                  <c:v>272.79300000000001</c:v>
                </c:pt>
                <c:pt idx="1">
                  <c:v>282.95100000000002</c:v>
                </c:pt>
                <c:pt idx="2">
                  <c:v>294.28500000000003</c:v>
                </c:pt>
                <c:pt idx="3">
                  <c:v>310.17099999999999</c:v>
                </c:pt>
                <c:pt idx="4">
                  <c:v>325.05099999999999</c:v>
                </c:pt>
                <c:pt idx="5">
                  <c:v>342.291</c:v>
                </c:pt>
                <c:pt idx="6">
                  <c:v>337.73500000000001</c:v>
                </c:pt>
                <c:pt idx="7">
                  <c:v>349.86799999999999</c:v>
                </c:pt>
                <c:pt idx="8">
                  <c:v>331.76800000000003</c:v>
                </c:pt>
                <c:pt idx="9">
                  <c:v>315.10499999999979</c:v>
                </c:pt>
                <c:pt idx="10">
                  <c:v>384.86700000000002</c:v>
                </c:pt>
                <c:pt idx="11">
                  <c:v>380.20100000000002</c:v>
                </c:pt>
                <c:pt idx="12">
                  <c:v>375.60633599999994</c:v>
                </c:pt>
                <c:pt idx="13">
                  <c:v>371.33071899999999</c:v>
                </c:pt>
                <c:pt idx="14">
                  <c:v>393.38698099999999</c:v>
                </c:pt>
              </c:numCache>
            </c:numRef>
          </c:val>
          <c:smooth val="0"/>
          <c:extLst>
            <c:ext xmlns:c16="http://schemas.microsoft.com/office/drawing/2014/chart" uri="{C3380CC4-5D6E-409C-BE32-E72D297353CC}">
              <c16:uniqueId val="{00000000-8E3F-4F41-B49D-54D5F6E85997}"/>
            </c:ext>
          </c:extLst>
        </c:ser>
        <c:ser>
          <c:idx val="1"/>
          <c:order val="1"/>
          <c:tx>
            <c:strRef>
              <c:f>'Actual (nominal) statistics'!$A$11</c:f>
              <c:strCache>
                <c:ptCount val="1"/>
                <c:pt idx="0">
                  <c:v>NZ Lotteries Commission</c:v>
                </c:pt>
              </c:strCache>
            </c:strRef>
          </c:tx>
          <c:spPr>
            <a:ln>
              <a:solidFill>
                <a:schemeClr val="bg2"/>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statistics'!$B$12:$P$12</c:f>
              <c:numCache>
                <c:formatCode>_-* #,##0_-;\-* #,##0_-;_-* "-"??_-;_-@_-</c:formatCode>
                <c:ptCount val="15"/>
                <c:pt idx="0">
                  <c:v>404.47699999999998</c:v>
                </c:pt>
                <c:pt idx="1">
                  <c:v>418.73899999999998</c:v>
                </c:pt>
                <c:pt idx="2">
                  <c:v>431.82400000000007</c:v>
                </c:pt>
                <c:pt idx="3">
                  <c:v>463.06</c:v>
                </c:pt>
                <c:pt idx="4">
                  <c:v>420.37700000000001</c:v>
                </c:pt>
                <c:pt idx="5">
                  <c:v>437.262</c:v>
                </c:pt>
                <c:pt idx="6">
                  <c:v>554.65099999999995</c:v>
                </c:pt>
                <c:pt idx="7">
                  <c:v>560.61099999999999</c:v>
                </c:pt>
                <c:pt idx="8">
                  <c:v>530.26700000000005</c:v>
                </c:pt>
                <c:pt idx="9">
                  <c:v>630.8090000000002</c:v>
                </c:pt>
                <c:pt idx="10">
                  <c:v>694.452</c:v>
                </c:pt>
                <c:pt idx="11">
                  <c:v>653.80200000000002</c:v>
                </c:pt>
                <c:pt idx="12">
                  <c:v>710.476</c:v>
                </c:pt>
                <c:pt idx="13">
                  <c:v>791.91700000000003</c:v>
                </c:pt>
                <c:pt idx="14">
                  <c:v>754.26099999999997</c:v>
                </c:pt>
              </c:numCache>
            </c:numRef>
          </c:val>
          <c:smooth val="0"/>
          <c:extLst>
            <c:ext xmlns:c16="http://schemas.microsoft.com/office/drawing/2014/chart" uri="{C3380CC4-5D6E-409C-BE32-E72D297353CC}">
              <c16:uniqueId val="{00000001-8E3F-4F41-B49D-54D5F6E85997}"/>
            </c:ext>
          </c:extLst>
        </c:ser>
        <c:ser>
          <c:idx val="2"/>
          <c:order val="2"/>
          <c:tx>
            <c:strRef>
              <c:f>'Actual (nominal) statistics'!$A$16</c:f>
              <c:strCache>
                <c:ptCount val="1"/>
                <c:pt idx="0">
                  <c:v>Gaming Machines (outside casinos)</c:v>
                </c:pt>
              </c:strCache>
            </c:strRef>
          </c:tx>
          <c:spPr>
            <a:ln>
              <a:solidFill>
                <a:schemeClr val="accent2"/>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statistics'!$B$17:$P$17</c:f>
              <c:numCache>
                <c:formatCode>_-* #,##0_-;\-* #,##0_-;_-* "-"??_-;_-@_-</c:formatCode>
                <c:ptCount val="15"/>
                <c:pt idx="0">
                  <c:v>856.09935633000009</c:v>
                </c:pt>
                <c:pt idx="1">
                  <c:v>853.95445551999978</c:v>
                </c:pt>
                <c:pt idx="2">
                  <c:v>826.77920164999944</c:v>
                </c:pt>
                <c:pt idx="3">
                  <c:v>806.27143064000006</c:v>
                </c:pt>
                <c:pt idx="4">
                  <c:v>818.113112</c:v>
                </c:pt>
                <c:pt idx="5">
                  <c:v>843.48316245000001</c:v>
                </c:pt>
                <c:pt idx="6">
                  <c:v>869.91032559000098</c:v>
                </c:pt>
                <c:pt idx="7">
                  <c:v>894.93599505999998</c:v>
                </c:pt>
                <c:pt idx="8">
                  <c:v>923.87672334000001</c:v>
                </c:pt>
                <c:pt idx="9">
                  <c:v>802.41154139000002</c:v>
                </c:pt>
                <c:pt idx="10">
                  <c:v>986.65222638</c:v>
                </c:pt>
                <c:pt idx="11">
                  <c:v>833.38689453999996</c:v>
                </c:pt>
                <c:pt idx="12">
                  <c:v>1070.47365214</c:v>
                </c:pt>
                <c:pt idx="13">
                  <c:v>1036.5952420799999</c:v>
                </c:pt>
                <c:pt idx="14">
                  <c:v>1015.358561</c:v>
                </c:pt>
              </c:numCache>
            </c:numRef>
          </c:val>
          <c:smooth val="0"/>
          <c:extLst>
            <c:ext xmlns:c16="http://schemas.microsoft.com/office/drawing/2014/chart" uri="{C3380CC4-5D6E-409C-BE32-E72D297353CC}">
              <c16:uniqueId val="{00000002-8E3F-4F41-B49D-54D5F6E85997}"/>
            </c:ext>
          </c:extLst>
        </c:ser>
        <c:ser>
          <c:idx val="3"/>
          <c:order val="3"/>
          <c:tx>
            <c:strRef>
              <c:f>'Actual (nominal) statistics'!$A$21</c:f>
              <c:strCache>
                <c:ptCount val="1"/>
                <c:pt idx="0">
                  <c:v>Casinos</c:v>
                </c:pt>
              </c:strCache>
            </c:strRef>
          </c:tx>
          <c:spPr>
            <a:ln>
              <a:solidFill>
                <a:schemeClr val="accent1"/>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'Actual (nominal) statistics'!$B$22:$P$22</c:f>
              <c:numCache>
                <c:formatCode>_-* #,##0_-;\-* #,##0_-;_-* "-"??_-;_-@_-</c:formatCode>
                <c:ptCount val="15"/>
                <c:pt idx="0">
                  <c:v>448.33651662288128</c:v>
                </c:pt>
                <c:pt idx="1">
                  <c:v>482.66229616652538</c:v>
                </c:pt>
                <c:pt idx="2">
                  <c:v>489.57317000508476</c:v>
                </c:pt>
                <c:pt idx="3">
                  <c:v>485.65526634810124</c:v>
                </c:pt>
                <c:pt idx="4">
                  <c:v>527.10388399999999</c:v>
                </c:pt>
                <c:pt idx="5">
                  <c:v>585.62162461876017</c:v>
                </c:pt>
                <c:pt idx="6">
                  <c:v>571.56786199999999</c:v>
                </c:pt>
                <c:pt idx="7">
                  <c:v>577.89926701647846</c:v>
                </c:pt>
                <c:pt idx="8">
                  <c:v>615.97343741085888</c:v>
                </c:pt>
                <c:pt idx="9">
                  <c:v>503.51615512000001</c:v>
                </c:pt>
                <c:pt idx="10">
                  <c:v>558.67029502000003</c:v>
                </c:pt>
                <c:pt idx="11">
                  <c:v>386.955825</c:v>
                </c:pt>
                <c:pt idx="12">
                  <c:v>604.44969300000002</c:v>
                </c:pt>
                <c:pt idx="13">
                  <c:v>592.43146167999998</c:v>
                </c:pt>
                <c:pt idx="14">
                  <c:v>545.12409300000002</c:v>
                </c:pt>
              </c:numCache>
            </c:numRef>
          </c:val>
          <c:smooth val="0"/>
          <c:extLst>
            <c:ext xmlns:c16="http://schemas.microsoft.com/office/drawing/2014/chart" uri="{C3380CC4-5D6E-409C-BE32-E72D297353CC}">
              <c16:uniqueId val="{00000003-8E3F-4F41-B49D-54D5F6E85997}"/>
            </c:ext>
          </c:extLst>
        </c:ser>
        <c:dLbls>
          <c:showLegendKey val="0"/>
          <c:showVal val="0"/>
          <c:showCatName val="0"/>
          <c:showSerName val="0"/>
          <c:showPercent val="0"/>
          <c:showBubbleSize val="0"/>
        </c:dLbls>
        <c:smooth val="0"/>
        <c:axId val="897187784"/>
        <c:axId val="897628528"/>
      </c:lineChart>
      <c:catAx>
        <c:axId val="897187784"/>
        <c:scaling>
          <c:orientation val="minMax"/>
        </c:scaling>
        <c:delete val="0"/>
        <c:axPos val="b"/>
        <c:numFmt formatCode="General" sourceLinked="1"/>
        <c:majorTickMark val="out"/>
        <c:minorTickMark val="none"/>
        <c:tickLblPos val="nextTo"/>
        <c:crossAx val="897628528"/>
        <c:crosses val="autoZero"/>
        <c:auto val="1"/>
        <c:lblAlgn val="ctr"/>
        <c:lblOffset val="100"/>
        <c:tickLblSkip val="2"/>
        <c:noMultiLvlLbl val="0"/>
      </c:catAx>
      <c:valAx>
        <c:axId val="897628528"/>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897187784"/>
        <c:crosses val="autoZero"/>
        <c:crossBetween val="between"/>
      </c:valAx>
    </c:plotArea>
    <c:legend>
      <c:legendPos val="b"/>
      <c:layout>
        <c:manualLayout>
          <c:xMode val="edge"/>
          <c:yMode val="edge"/>
          <c:x val="0"/>
          <c:y val="0.82868106002878672"/>
          <c:w val="1"/>
          <c:h val="0.16271678943357884"/>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n-NZ" sz="1200"/>
              <a:t>Inflation adjusted gambling expenditure by type</a:t>
            </a:r>
          </a:p>
        </c:rich>
      </c:tx>
      <c:layout>
        <c:manualLayout>
          <c:xMode val="edge"/>
          <c:yMode val="edge"/>
          <c:x val="0.13402893024022219"/>
          <c:y val="1.2293552273937289E-2"/>
        </c:manualLayout>
      </c:layout>
      <c:overlay val="0"/>
    </c:title>
    <c:autoTitleDeleted val="0"/>
    <c:plotArea>
      <c:layout>
        <c:manualLayout>
          <c:layoutTarget val="inner"/>
          <c:xMode val="edge"/>
          <c:yMode val="edge"/>
          <c:x val="0.13174660517101286"/>
          <c:y val="9.7780891267595121E-2"/>
          <c:w val="0.86104063272714515"/>
          <c:h val="0.76795397016654066"/>
        </c:manualLayout>
      </c:layout>
      <c:lineChart>
        <c:grouping val="standard"/>
        <c:varyColors val="0"/>
        <c:ser>
          <c:idx val="0"/>
          <c:order val="0"/>
          <c:tx>
            <c:strRef>
              <c:f>'Actual (nominal) statistics'!$A$6</c:f>
              <c:strCache>
                <c:ptCount val="1"/>
                <c:pt idx="0">
                  <c:v>TAB New Zealand</c:v>
                </c:pt>
              </c:strCache>
            </c:strRef>
          </c:tx>
          <c:spPr>
            <a:ln>
              <a:solidFill>
                <a:schemeClr val="accent4"/>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statistics'!$B$7:$P$7</c:f>
              <c:numCache>
                <c:formatCode>_-* #,##0_-;\-* #,##0_-;_-* "-"??_-;_-@_-</c:formatCode>
                <c:ptCount val="15"/>
                <c:pt idx="0">
                  <c:v>272.79300000000001</c:v>
                </c:pt>
                <c:pt idx="1">
                  <c:v>280.28622174657556</c:v>
                </c:pt>
                <c:pt idx="2">
                  <c:v>289.53039540816343</c:v>
                </c:pt>
                <c:pt idx="3">
                  <c:v>300.30782175732219</c:v>
                </c:pt>
                <c:pt idx="4">
                  <c:v>313.40333916666663</c:v>
                </c:pt>
                <c:pt idx="5">
                  <c:v>328.65617178423264</c:v>
                </c:pt>
                <c:pt idx="6">
                  <c:v>318.72707585644383</c:v>
                </c:pt>
                <c:pt idx="7">
                  <c:v>325.29775713401756</c:v>
                </c:pt>
                <c:pt idx="8">
                  <c:v>303.38750205495916</c:v>
                </c:pt>
                <c:pt idx="9">
                  <c:v>284.02168629082382</c:v>
                </c:pt>
                <c:pt idx="10">
                  <c:v>335.680646226401</c:v>
                </c:pt>
                <c:pt idx="11">
                  <c:v>309.04656712936628</c:v>
                </c:pt>
                <c:pt idx="12">
                  <c:v>287.95043933830107</c:v>
                </c:pt>
                <c:pt idx="13">
                  <c:v>275.4968616833134</c:v>
                </c:pt>
                <c:pt idx="14">
                  <c:v>284.26258076719802</c:v>
                </c:pt>
              </c:numCache>
            </c:numRef>
          </c:val>
          <c:smooth val="0"/>
          <c:extLst>
            <c:ext xmlns:c16="http://schemas.microsoft.com/office/drawing/2014/chart" uri="{C3380CC4-5D6E-409C-BE32-E72D297353CC}">
              <c16:uniqueId val="{00000000-823F-458B-80C3-F14E3EA62B8F}"/>
            </c:ext>
          </c:extLst>
        </c:ser>
        <c:ser>
          <c:idx val="1"/>
          <c:order val="1"/>
          <c:tx>
            <c:strRef>
              <c:f>'Actual (nominal) statistics'!$A$11</c:f>
              <c:strCache>
                <c:ptCount val="1"/>
                <c:pt idx="0">
                  <c:v>NZ Lotteries Commission</c:v>
                </c:pt>
              </c:strCache>
            </c:strRef>
          </c:tx>
          <c:spPr>
            <a:ln>
              <a:solidFill>
                <a:schemeClr val="bg2"/>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statistics'!$B$12:$P$12</c:f>
              <c:numCache>
                <c:formatCode>_-* #,##0_-;\-* #,##0_-;_-* "-"??_-;_-@_-</c:formatCode>
                <c:ptCount val="15"/>
                <c:pt idx="0">
                  <c:v>404.47699999999998</c:v>
                </c:pt>
                <c:pt idx="1">
                  <c:v>414.79539640410985</c:v>
                </c:pt>
                <c:pt idx="2">
                  <c:v>424.8472517006806</c:v>
                </c:pt>
                <c:pt idx="3">
                  <c:v>448.335079497908</c:v>
                </c:pt>
                <c:pt idx="4">
                  <c:v>405.31349083333333</c:v>
                </c:pt>
                <c:pt idx="5">
                  <c:v>419.84409460580946</c:v>
                </c:pt>
                <c:pt idx="6">
                  <c:v>523.43491598694948</c:v>
                </c:pt>
                <c:pt idx="7">
                  <c:v>521.24087062737578</c:v>
                </c:pt>
                <c:pt idx="8">
                  <c:v>484.9062614603489</c:v>
                </c:pt>
                <c:pt idx="9">
                  <c:v>568.58328464298711</c:v>
                </c:pt>
                <c:pt idx="10">
                  <c:v>605.70040074419626</c:v>
                </c:pt>
                <c:pt idx="11">
                  <c:v>531.44327259085037</c:v>
                </c:pt>
                <c:pt idx="12">
                  <c:v>544.67099388685187</c:v>
                </c:pt>
                <c:pt idx="13">
                  <c:v>587.53730044527913</c:v>
                </c:pt>
                <c:pt idx="14">
                  <c:v>545.03120028785895</c:v>
                </c:pt>
              </c:numCache>
            </c:numRef>
          </c:val>
          <c:smooth val="0"/>
          <c:extLst>
            <c:ext xmlns:c16="http://schemas.microsoft.com/office/drawing/2014/chart" uri="{C3380CC4-5D6E-409C-BE32-E72D297353CC}">
              <c16:uniqueId val="{00000001-823F-458B-80C3-F14E3EA62B8F}"/>
            </c:ext>
          </c:extLst>
        </c:ser>
        <c:ser>
          <c:idx val="2"/>
          <c:order val="2"/>
          <c:tx>
            <c:strRef>
              <c:f>'Actual (nominal) statistics'!$A$16</c:f>
              <c:strCache>
                <c:ptCount val="1"/>
                <c:pt idx="0">
                  <c:v>Gaming Machines (outside casinos)</c:v>
                </c:pt>
              </c:strCache>
            </c:strRef>
          </c:tx>
          <c:spPr>
            <a:ln>
              <a:solidFill>
                <a:schemeClr val="accent2"/>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statistics'!$B$17:$P$17</c:f>
              <c:numCache>
                <c:formatCode>_-* #,##0_-;\-* #,##0_-;_-* "-"??_-;_-@_-</c:formatCode>
                <c:ptCount val="15"/>
                <c:pt idx="0">
                  <c:v>856.09935633000009</c:v>
                </c:pt>
                <c:pt idx="1">
                  <c:v>845.91207623000037</c:v>
                </c:pt>
                <c:pt idx="2">
                  <c:v>813.42137441245734</c:v>
                </c:pt>
                <c:pt idx="3">
                  <c:v>780.63267384977416</c:v>
                </c:pt>
                <c:pt idx="4">
                  <c:v>788.79739215333325</c:v>
                </c:pt>
                <c:pt idx="5">
                  <c:v>809.88383315738656</c:v>
                </c:pt>
                <c:pt idx="6">
                  <c:v>820.95126158860637</c:v>
                </c:pt>
                <c:pt idx="7">
                  <c:v>832.08716422055807</c:v>
                </c:pt>
                <c:pt idx="8">
                  <c:v>844.84534765511796</c:v>
                </c:pt>
                <c:pt idx="9">
                  <c:v>723.25821261105705</c:v>
                </c:pt>
                <c:pt idx="10">
                  <c:v>860.55717157344134</c:v>
                </c:pt>
                <c:pt idx="11">
                  <c:v>677.41894116057074</c:v>
                </c:pt>
                <c:pt idx="12">
                  <c:v>820.6553747639357</c:v>
                </c:pt>
                <c:pt idx="13">
                  <c:v>769.06843796269527</c:v>
                </c:pt>
                <c:pt idx="14">
                  <c:v>733.70106001023998</c:v>
                </c:pt>
              </c:numCache>
            </c:numRef>
          </c:val>
          <c:smooth val="0"/>
          <c:extLst>
            <c:ext xmlns:c16="http://schemas.microsoft.com/office/drawing/2014/chart" uri="{C3380CC4-5D6E-409C-BE32-E72D297353CC}">
              <c16:uniqueId val="{00000002-823F-458B-80C3-F14E3EA62B8F}"/>
            </c:ext>
          </c:extLst>
        </c:ser>
        <c:ser>
          <c:idx val="3"/>
          <c:order val="3"/>
          <c:tx>
            <c:strRef>
              <c:f>'Actual (nominal) statistics'!$A$21</c:f>
              <c:strCache>
                <c:ptCount val="1"/>
                <c:pt idx="0">
                  <c:v>Casinos</c:v>
                </c:pt>
              </c:strCache>
            </c:strRef>
          </c:tx>
          <c:spPr>
            <a:ln>
              <a:solidFill>
                <a:schemeClr val="accent1"/>
              </a:solidFill>
            </a:ln>
          </c:spPr>
          <c:marker>
            <c:symbol val="none"/>
          </c:marker>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'Inflation adjusted statistics'!$B$22:$P$22</c:f>
              <c:numCache>
                <c:formatCode>_-* #,##0_-;\-* #,##0_-;_-* "-"??_-;_-@_-</c:formatCode>
                <c:ptCount val="15"/>
                <c:pt idx="0">
                  <c:v>448.33651662288128</c:v>
                </c:pt>
                <c:pt idx="1">
                  <c:v>478.11667522660127</c:v>
                </c:pt>
                <c:pt idx="2">
                  <c:v>481.66339940126142</c:v>
                </c:pt>
                <c:pt idx="3">
                  <c:v>470.21183528431226</c:v>
                </c:pt>
                <c:pt idx="4">
                  <c:v>508.21599482333329</c:v>
                </c:pt>
                <c:pt idx="5">
                  <c:v>562.29395824390542</c:v>
                </c:pt>
                <c:pt idx="6">
                  <c:v>539.39968705872775</c:v>
                </c:pt>
                <c:pt idx="7">
                  <c:v>537.31503141142707</c:v>
                </c:pt>
                <c:pt idx="8">
                  <c:v>563.28109554956234</c:v>
                </c:pt>
                <c:pt idx="9">
                  <c:v>453.84715397043692</c:v>
                </c:pt>
                <c:pt idx="10">
                  <c:v>487.27172155525852</c:v>
                </c:pt>
                <c:pt idx="11">
                  <c:v>314.53722990460784</c:v>
                </c:pt>
                <c:pt idx="12">
                  <c:v>463.38822851287375</c:v>
                </c:pt>
                <c:pt idx="13">
                  <c:v>439.53543325161348</c:v>
                </c:pt>
                <c:pt idx="14">
                  <c:v>393.90826081902702</c:v>
                </c:pt>
              </c:numCache>
            </c:numRef>
          </c:val>
          <c:smooth val="0"/>
          <c:extLst>
            <c:ext xmlns:c16="http://schemas.microsoft.com/office/drawing/2014/chart" uri="{C3380CC4-5D6E-409C-BE32-E72D297353CC}">
              <c16:uniqueId val="{00000003-823F-458B-80C3-F14E3EA62B8F}"/>
            </c:ext>
          </c:extLst>
        </c:ser>
        <c:dLbls>
          <c:showLegendKey val="0"/>
          <c:showVal val="0"/>
          <c:showCatName val="0"/>
          <c:showSerName val="0"/>
          <c:showPercent val="0"/>
          <c:showBubbleSize val="0"/>
        </c:dLbls>
        <c:smooth val="0"/>
        <c:axId val="897626960"/>
        <c:axId val="897627352"/>
      </c:lineChart>
      <c:catAx>
        <c:axId val="897626960"/>
        <c:scaling>
          <c:orientation val="minMax"/>
        </c:scaling>
        <c:delete val="0"/>
        <c:axPos val="b"/>
        <c:numFmt formatCode="General" sourceLinked="1"/>
        <c:majorTickMark val="out"/>
        <c:minorTickMark val="none"/>
        <c:tickLblPos val="nextTo"/>
        <c:crossAx val="897627352"/>
        <c:crosses val="autoZero"/>
        <c:auto val="1"/>
        <c:lblAlgn val="ctr"/>
        <c:lblOffset val="100"/>
        <c:tickLblSkip val="2"/>
        <c:noMultiLvlLbl val="0"/>
      </c:catAx>
      <c:valAx>
        <c:axId val="897627352"/>
        <c:scaling>
          <c:orientation val="minMax"/>
        </c:scaling>
        <c:delete val="0"/>
        <c:axPos val="l"/>
        <c:title>
          <c:tx>
            <c:rich>
              <a:bodyPr rot="-5400000" vert="horz"/>
              <a:lstStyle/>
              <a:p>
                <a:pPr>
                  <a:defRPr/>
                </a:pPr>
                <a:r>
                  <a:rPr lang="en-NZ"/>
                  <a:t>$ million</a:t>
                </a:r>
              </a:p>
            </c:rich>
          </c:tx>
          <c:overlay val="0"/>
        </c:title>
        <c:numFmt formatCode="_-* #,##0_-;\-* #,##0_-;_-* &quot;-&quot;??_-;_-@_-" sourceLinked="1"/>
        <c:majorTickMark val="out"/>
        <c:minorTickMark val="none"/>
        <c:tickLblPos val="nextTo"/>
        <c:crossAx val="89762696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NZ" sz="1200" baseline="0"/>
              <a:t>Inflation adjusted expenditure per capita by type</a:t>
            </a:r>
            <a:endParaRPr lang="en-NZ" sz="1200"/>
          </a:p>
        </c:rich>
      </c:tx>
      <c:layout>
        <c:manualLayout>
          <c:xMode val="edge"/>
          <c:yMode val="edge"/>
          <c:x val="0.10052260134149898"/>
          <c:y val="3.0545486912962421E-2"/>
        </c:manualLayout>
      </c:layout>
      <c:overlay val="0"/>
    </c:title>
    <c:autoTitleDeleted val="0"/>
    <c:plotArea>
      <c:layout>
        <c:manualLayout>
          <c:layoutTarget val="inner"/>
          <c:xMode val="edge"/>
          <c:yMode val="edge"/>
          <c:x val="0.10039967226318933"/>
          <c:y val="0.11400133668124945"/>
          <c:w val="0.78411663529338005"/>
          <c:h val="0.77001893187984771"/>
        </c:manualLayout>
      </c:layout>
      <c:lineChart>
        <c:grouping val="standard"/>
        <c:varyColors val="0"/>
        <c:ser>
          <c:idx val="0"/>
          <c:order val="0"/>
          <c:tx>
            <c:v>TAB New Zealand</c:v>
          </c:tx>
          <c:spPr>
            <a:ln>
              <a:solidFill>
                <a:schemeClr val="accent4"/>
              </a:solidFill>
            </a:ln>
          </c:spPr>
          <c:marker>
            <c:symbol val="none"/>
          </c:marker>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statistics'!$B$7:$P$7</c:f>
              <c:numCache>
                <c:formatCode>_-* #,##0_-;\-* #,##0_-;_-* "-"??_-;_-@_-</c:formatCode>
                <c:ptCount val="15"/>
                <c:pt idx="0">
                  <c:v>83.014211375186392</c:v>
                </c:pt>
                <c:pt idx="1">
                  <c:v>84.640260228469131</c:v>
                </c:pt>
                <c:pt idx="2">
                  <c:v>86.507034990039571</c:v>
                </c:pt>
                <c:pt idx="3">
                  <c:v>87.824712451693927</c:v>
                </c:pt>
                <c:pt idx="4">
                  <c:v>89.385471212899049</c:v>
                </c:pt>
                <c:pt idx="5">
                  <c:v>91.273098140477842</c:v>
                </c:pt>
                <c:pt idx="6">
                  <c:v>86.439149474261342</c:v>
                </c:pt>
                <c:pt idx="7">
                  <c:v>86.382111937441607</c:v>
                </c:pt>
                <c:pt idx="8">
                  <c:v>79.091608763252211</c:v>
                </c:pt>
                <c:pt idx="9">
                  <c:v>72.169149101975307</c:v>
                </c:pt>
                <c:pt idx="10">
                  <c:v>84.727188022514696</c:v>
                </c:pt>
                <c:pt idx="11">
                  <c:v>77.973146746402492</c:v>
                </c:pt>
                <c:pt idx="12">
                  <c:v>70.843487511268279</c:v>
                </c:pt>
                <c:pt idx="13">
                  <c:v>67.047016600911988</c:v>
                </c:pt>
                <c:pt idx="14">
                  <c:v>60.105166345288801</c:v>
                </c:pt>
              </c:numCache>
            </c:numRef>
          </c:val>
          <c:smooth val="0"/>
          <c:extLst>
            <c:ext xmlns:c16="http://schemas.microsoft.com/office/drawing/2014/chart" uri="{C3380CC4-5D6E-409C-BE32-E72D297353CC}">
              <c16:uniqueId val="{00000000-F967-4188-A907-2C27437C5EB5}"/>
            </c:ext>
          </c:extLst>
        </c:ser>
        <c:ser>
          <c:idx val="1"/>
          <c:order val="1"/>
          <c:tx>
            <c:v>NZ Lotteries Commission</c:v>
          </c:tx>
          <c:spPr>
            <a:ln>
              <a:solidFill>
                <a:schemeClr val="bg2"/>
              </a:solidFill>
            </a:ln>
          </c:spPr>
          <c:marker>
            <c:symbol val="none"/>
          </c:marker>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statistics'!$B$12:$P$12</c:f>
              <c:numCache>
                <c:formatCode>_-* #,##0_-;\-* #,##0_-;_-* "-"??_-;_-@_-</c:formatCode>
                <c:ptCount val="15"/>
                <c:pt idx="0">
                  <c:v>123.08724627978455</c:v>
                </c:pt>
                <c:pt idx="1">
                  <c:v>125.2590658022376</c:v>
                </c:pt>
                <c:pt idx="2">
                  <c:v>126.93753972352943</c:v>
                </c:pt>
                <c:pt idx="3">
                  <c:v>131.1151311627502</c:v>
                </c:pt>
                <c:pt idx="4">
                  <c:v>115.5990790124161</c:v>
                </c:pt>
                <c:pt idx="5">
                  <c:v>116.59744906848741</c:v>
                </c:pt>
                <c:pt idx="6">
                  <c:v>141.9561511097414</c:v>
                </c:pt>
                <c:pt idx="7">
                  <c:v>138.41437958133088</c:v>
                </c:pt>
                <c:pt idx="8">
                  <c:v>126.41264408883154</c:v>
                </c:pt>
                <c:pt idx="9">
                  <c:v>144.4754884113803</c:v>
                </c:pt>
                <c:pt idx="10">
                  <c:v>152.88129451631698</c:v>
                </c:pt>
                <c:pt idx="11">
                  <c:v>134.08433772949422</c:v>
                </c:pt>
                <c:pt idx="12">
                  <c:v>134.00359048537419</c:v>
                </c:pt>
                <c:pt idx="13">
                  <c:v>142.98755672176003</c:v>
                </c:pt>
                <c:pt idx="14">
                  <c:v>133.54870470628899</c:v>
                </c:pt>
              </c:numCache>
            </c:numRef>
          </c:val>
          <c:smooth val="0"/>
          <c:extLst>
            <c:ext xmlns:c16="http://schemas.microsoft.com/office/drawing/2014/chart" uri="{C3380CC4-5D6E-409C-BE32-E72D297353CC}">
              <c16:uniqueId val="{00000001-F967-4188-A907-2C27437C5EB5}"/>
            </c:ext>
          </c:extLst>
        </c:ser>
        <c:ser>
          <c:idx val="2"/>
          <c:order val="2"/>
          <c:tx>
            <c:v>Gaming machines (outside casinos)</c:v>
          </c:tx>
          <c:spPr>
            <a:ln>
              <a:solidFill>
                <a:schemeClr val="accent2"/>
              </a:solidFill>
            </a:ln>
          </c:spPr>
          <c:marker>
            <c:symbol val="none"/>
          </c:marker>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statistics'!$B$17:$P$17</c:f>
              <c:numCache>
                <c:formatCode>_-* #,##0_-;\-* #,##0_-;_-* "-"??_-;_-@_-</c:formatCode>
                <c:ptCount val="15"/>
                <c:pt idx="0">
                  <c:v>260.52139506710085</c:v>
                </c:pt>
                <c:pt idx="1">
                  <c:v>255.44679940510355</c:v>
                </c:pt>
                <c:pt idx="2">
                  <c:v>243.03725071333395</c:v>
                </c:pt>
                <c:pt idx="3">
                  <c:v>228.29521958524131</c:v>
                </c:pt>
                <c:pt idx="4">
                  <c:v>224.97216135797538</c:v>
                </c:pt>
                <c:pt idx="5">
                  <c:v>224.9177497104495</c:v>
                </c:pt>
                <c:pt idx="6">
                  <c:v>222.64292614883692</c:v>
                </c:pt>
                <c:pt idx="7">
                  <c:v>220.95893680507675</c:v>
                </c:pt>
                <c:pt idx="8">
                  <c:v>220.24696880917594</c:v>
                </c:pt>
                <c:pt idx="9">
                  <c:v>183.7779729668548</c:v>
                </c:pt>
                <c:pt idx="10">
                  <c:v>217.20820100796118</c:v>
                </c:pt>
                <c:pt idx="11">
                  <c:v>170.91432853805242</c:v>
                </c:pt>
                <c:pt idx="12">
                  <c:v>201.90310848888836</c:v>
                </c:pt>
                <c:pt idx="13">
                  <c:v>187.1663583108085</c:v>
                </c:pt>
                <c:pt idx="14">
                  <c:v>179.513812051272</c:v>
                </c:pt>
              </c:numCache>
            </c:numRef>
          </c:val>
          <c:smooth val="0"/>
          <c:extLst>
            <c:ext xmlns:c16="http://schemas.microsoft.com/office/drawing/2014/chart" uri="{C3380CC4-5D6E-409C-BE32-E72D297353CC}">
              <c16:uniqueId val="{00000002-F967-4188-A907-2C27437C5EB5}"/>
            </c:ext>
          </c:extLst>
        </c:ser>
        <c:ser>
          <c:idx val="3"/>
          <c:order val="3"/>
          <c:tx>
            <c:v>Casinos</c:v>
          </c:tx>
          <c:spPr>
            <a:ln>
              <a:solidFill>
                <a:schemeClr val="accent1"/>
              </a:solidFill>
            </a:ln>
          </c:spPr>
          <c:marker>
            <c:symbol val="none"/>
          </c:marker>
          <c:dLbls>
            <c:delete val="1"/>
          </c:dLbls>
          <c:cat>
            <c:strRef>
              <c:f>'Actual (nominal) statistics'!$B$4:$P$4</c:f>
              <c:strCache>
                <c:ptCount val="15"/>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strCache>
            </c:strRef>
          </c:cat>
          <c:val>
            <c:numRef>
              <c:f>'Population adjusted statistics'!$B$22:$P$22</c:f>
              <c:numCache>
                <c:formatCode>_-* #,##0_-;\-* #,##0_-;_-* "-"??_-;_-@_-</c:formatCode>
                <c:ptCount val="15"/>
                <c:pt idx="0">
                  <c:v>136.43422799759026</c:v>
                </c:pt>
                <c:pt idx="1">
                  <c:v>144.38069612761629</c:v>
                </c:pt>
                <c:pt idx="2">
                  <c:v>143.91329271901205</c:v>
                </c:pt>
                <c:pt idx="3">
                  <c:v>137.5129658081278</c:v>
                </c:pt>
                <c:pt idx="4">
                  <c:v>144.94780526590989</c:v>
                </c:pt>
                <c:pt idx="5">
                  <c:v>156.15806438677666</c:v>
                </c:pt>
                <c:pt idx="6">
                  <c:v>146.28581538218418</c:v>
                </c:pt>
                <c:pt idx="7">
                  <c:v>142.68283801886108</c:v>
                </c:pt>
                <c:pt idx="8">
                  <c:v>146.8445724730995</c:v>
                </c:pt>
                <c:pt idx="9">
                  <c:v>115.32134518369634</c:v>
                </c:pt>
                <c:pt idx="10">
                  <c:v>122.98940446635667</c:v>
                </c:pt>
                <c:pt idx="11">
                  <c:v>79.358453363090149</c:v>
                </c:pt>
                <c:pt idx="12">
                  <c:v>114.00586244965649</c:v>
                </c:pt>
                <c:pt idx="13">
                  <c:v>106.96869398020776</c:v>
                </c:pt>
                <c:pt idx="14">
                  <c:v>102.476922971858</c:v>
                </c:pt>
              </c:numCache>
            </c:numRef>
          </c:val>
          <c:smooth val="0"/>
          <c:extLst>
            <c:ext xmlns:c16="http://schemas.microsoft.com/office/drawing/2014/chart" uri="{C3380CC4-5D6E-409C-BE32-E72D297353CC}">
              <c16:uniqueId val="{00000003-F967-4188-A907-2C27437C5EB5}"/>
            </c:ext>
          </c:extLst>
        </c:ser>
        <c:dLbls>
          <c:showLegendKey val="0"/>
          <c:showVal val="1"/>
          <c:showCatName val="0"/>
          <c:showSerName val="0"/>
          <c:showPercent val="0"/>
          <c:showBubbleSize val="0"/>
        </c:dLbls>
        <c:smooth val="0"/>
        <c:axId val="897625784"/>
        <c:axId val="897627744"/>
      </c:lineChart>
      <c:catAx>
        <c:axId val="897625784"/>
        <c:scaling>
          <c:orientation val="minMax"/>
        </c:scaling>
        <c:delete val="0"/>
        <c:axPos val="b"/>
        <c:numFmt formatCode="General" sourceLinked="1"/>
        <c:majorTickMark val="out"/>
        <c:minorTickMark val="none"/>
        <c:tickLblPos val="nextTo"/>
        <c:crossAx val="897627744"/>
        <c:crosses val="autoZero"/>
        <c:auto val="1"/>
        <c:lblAlgn val="ctr"/>
        <c:lblOffset val="100"/>
        <c:noMultiLvlLbl val="0"/>
      </c:catAx>
      <c:valAx>
        <c:axId val="897627744"/>
        <c:scaling>
          <c:orientation val="minMax"/>
        </c:scaling>
        <c:delete val="0"/>
        <c:axPos val="l"/>
        <c:title>
          <c:tx>
            <c:rich>
              <a:bodyPr rot="-5400000" vert="horz"/>
              <a:lstStyle/>
              <a:p>
                <a:pPr>
                  <a:defRPr/>
                </a:pPr>
                <a:r>
                  <a:rPr lang="en-NZ"/>
                  <a:t>$ NZD</a:t>
                </a:r>
              </a:p>
            </c:rich>
          </c:tx>
          <c:overlay val="0"/>
        </c:title>
        <c:numFmt formatCode="_-* #,##0_-;\-* #,##0_-;_-* &quot;-&quot;??_-;_-@_-" sourceLinked="1"/>
        <c:majorTickMark val="out"/>
        <c:minorTickMark val="none"/>
        <c:tickLblPos val="nextTo"/>
        <c:crossAx val="897625784"/>
        <c:crosses val="autoZero"/>
        <c:crossBetween val="between"/>
      </c:valAx>
    </c:plotArea>
    <c:legend>
      <c:legendPos val="t"/>
      <c:layout>
        <c:manualLayout>
          <c:xMode val="edge"/>
          <c:yMode val="edge"/>
          <c:x val="0.85857052354082097"/>
          <c:y val="6.2491474280000715E-2"/>
          <c:w val="0.13920722198916424"/>
          <c:h val="0.81544556930383705"/>
        </c:manualLayout>
      </c:layout>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7BB6F030"/></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BB6F030"/></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7BB6F030"/></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1.7BB6F030"/><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14</xdr:col>
      <xdr:colOff>349250</xdr:colOff>
      <xdr:row>3</xdr:row>
      <xdr:rowOff>19050</xdr:rowOff>
    </xdr:to>
    <xdr:pic>
      <xdr:nvPicPr>
        <xdr:cNvPr id="4" name="Picture 3" descr="Logo-test">
          <a:extLst>
            <a:ext uri="{FF2B5EF4-FFF2-40B4-BE49-F238E27FC236}">
              <a16:creationId xmlns:a16="http://schemas.microsoft.com/office/drawing/2014/main" id="{92974D56-7154-4346-BA77-9CAFF795D35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57350" y="0"/>
          <a:ext cx="2559050" cy="7588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14</xdr:col>
      <xdr:colOff>390525</xdr:colOff>
      <xdr:row>3</xdr:row>
      <xdr:rowOff>19050</xdr:rowOff>
    </xdr:to>
    <xdr:pic>
      <xdr:nvPicPr>
        <xdr:cNvPr id="4" name="Picture 3" descr="Logo-test">
          <a:extLst>
            <a:ext uri="{FF2B5EF4-FFF2-40B4-BE49-F238E27FC236}">
              <a16:creationId xmlns:a16="http://schemas.microsoft.com/office/drawing/2014/main" id="{C7BB8819-D309-436B-9FE3-955241944CF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67556" y="0"/>
          <a:ext cx="2560461" cy="755297"/>
        </a:xfrm>
        <a:prstGeom prst="rect">
          <a:avLst/>
        </a:prstGeom>
        <a:noFill/>
        <a:ln>
          <a:noFill/>
        </a:ln>
      </xdr:spPr>
    </xdr:pic>
    <xdr:clientData/>
  </xdr:twoCellAnchor>
  <xdr:twoCellAnchor editAs="oneCell">
    <xdr:from>
      <xdr:col>1</xdr:col>
      <xdr:colOff>0</xdr:colOff>
      <xdr:row>31</xdr:row>
      <xdr:rowOff>70559</xdr:rowOff>
    </xdr:from>
    <xdr:to>
      <xdr:col>11</xdr:col>
      <xdr:colOff>114444</xdr:colOff>
      <xdr:row>33</xdr:row>
      <xdr:rowOff>68952</xdr:rowOff>
    </xdr:to>
    <xdr:pic>
      <xdr:nvPicPr>
        <xdr:cNvPr id="5" name="Picture 4">
          <a:extLst>
            <a:ext uri="{FF2B5EF4-FFF2-40B4-BE49-F238E27FC236}">
              <a16:creationId xmlns:a16="http://schemas.microsoft.com/office/drawing/2014/main" id="{3C5B6254-2B58-4F8A-9AA6-FCE25F42840D}"/>
            </a:ext>
          </a:extLst>
        </xdr:cNvPr>
        <xdr:cNvPicPr>
          <a:picLocks noChangeAspect="1"/>
        </xdr:cNvPicPr>
      </xdr:nvPicPr>
      <xdr:blipFill>
        <a:blip xmlns:r="http://schemas.openxmlformats.org/officeDocument/2006/relationships" r:embed="rId2"/>
        <a:stretch>
          <a:fillRect/>
        </a:stretch>
      </xdr:blipFill>
      <xdr:spPr>
        <a:xfrm>
          <a:off x="2215444" y="5983115"/>
          <a:ext cx="10980000" cy="3684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14</xdr:col>
      <xdr:colOff>393549</xdr:colOff>
      <xdr:row>3</xdr:row>
      <xdr:rowOff>19050</xdr:rowOff>
    </xdr:to>
    <xdr:pic>
      <xdr:nvPicPr>
        <xdr:cNvPr id="6" name="Picture 5" descr="Logo-test">
          <a:extLst>
            <a:ext uri="{FF2B5EF4-FFF2-40B4-BE49-F238E27FC236}">
              <a16:creationId xmlns:a16="http://schemas.microsoft.com/office/drawing/2014/main" id="{B405D1B6-5BD1-4922-B76A-3DB20606E72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22778" y="0"/>
          <a:ext cx="2594882" cy="755297"/>
        </a:xfrm>
        <a:prstGeom prst="rect">
          <a:avLst/>
        </a:prstGeom>
        <a:noFill/>
        <a:ln>
          <a:noFill/>
        </a:ln>
      </xdr:spPr>
    </xdr:pic>
    <xdr:clientData/>
  </xdr:twoCellAnchor>
  <xdr:twoCellAnchor editAs="oneCell">
    <xdr:from>
      <xdr:col>1</xdr:col>
      <xdr:colOff>0</xdr:colOff>
      <xdr:row>31</xdr:row>
      <xdr:rowOff>84667</xdr:rowOff>
    </xdr:from>
    <xdr:to>
      <xdr:col>10</xdr:col>
      <xdr:colOff>1045425</xdr:colOff>
      <xdr:row>32</xdr:row>
      <xdr:rowOff>40990</xdr:rowOff>
    </xdr:to>
    <xdr:pic>
      <xdr:nvPicPr>
        <xdr:cNvPr id="8" name="Picture 7">
          <a:extLst>
            <a:ext uri="{FF2B5EF4-FFF2-40B4-BE49-F238E27FC236}">
              <a16:creationId xmlns:a16="http://schemas.microsoft.com/office/drawing/2014/main" id="{164A49CC-9A72-435F-94AB-EAD6FADF7AF4}"/>
            </a:ext>
          </a:extLst>
        </xdr:cNvPr>
        <xdr:cNvPicPr>
          <a:picLocks noChangeAspect="1"/>
        </xdr:cNvPicPr>
      </xdr:nvPicPr>
      <xdr:blipFill>
        <a:blip xmlns:r="http://schemas.openxmlformats.org/officeDocument/2006/relationships" r:embed="rId2"/>
        <a:stretch>
          <a:fillRect/>
        </a:stretch>
      </xdr:blipFill>
      <xdr:spPr>
        <a:xfrm>
          <a:off x="2215444" y="5997223"/>
          <a:ext cx="10980000" cy="316156"/>
        </a:xfrm>
        <a:prstGeom prst="rect">
          <a:avLst/>
        </a:prstGeom>
      </xdr:spPr>
    </xdr:pic>
    <xdr:clientData/>
  </xdr:twoCellAnchor>
  <xdr:twoCellAnchor editAs="oneCell">
    <xdr:from>
      <xdr:col>1</xdr:col>
      <xdr:colOff>0</xdr:colOff>
      <xdr:row>33</xdr:row>
      <xdr:rowOff>183444</xdr:rowOff>
    </xdr:from>
    <xdr:to>
      <xdr:col>10</xdr:col>
      <xdr:colOff>1045425</xdr:colOff>
      <xdr:row>36</xdr:row>
      <xdr:rowOff>1566</xdr:rowOff>
    </xdr:to>
    <xdr:pic>
      <xdr:nvPicPr>
        <xdr:cNvPr id="2" name="Picture 1">
          <a:extLst>
            <a:ext uri="{FF2B5EF4-FFF2-40B4-BE49-F238E27FC236}">
              <a16:creationId xmlns:a16="http://schemas.microsoft.com/office/drawing/2014/main" id="{5E8E1254-52DB-41D9-A608-64D13EDE5C08}"/>
            </a:ext>
          </a:extLst>
        </xdr:cNvPr>
        <xdr:cNvPicPr>
          <a:picLocks noChangeAspect="1"/>
        </xdr:cNvPicPr>
      </xdr:nvPicPr>
      <xdr:blipFill>
        <a:blip xmlns:r="http://schemas.openxmlformats.org/officeDocument/2006/relationships" r:embed="rId3"/>
        <a:stretch>
          <a:fillRect/>
        </a:stretch>
      </xdr:blipFill>
      <xdr:spPr>
        <a:xfrm>
          <a:off x="2215444" y="6639277"/>
          <a:ext cx="10980000" cy="3684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587376</xdr:colOff>
      <xdr:row>2</xdr:row>
      <xdr:rowOff>238123</xdr:rowOff>
    </xdr:from>
    <xdr:to>
      <xdr:col>8</xdr:col>
      <xdr:colOff>130969</xdr:colOff>
      <xdr:row>17</xdr:row>
      <xdr:rowOff>45129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126771</xdr:colOff>
      <xdr:row>3</xdr:row>
      <xdr:rowOff>38555</xdr:rowOff>
    </xdr:from>
    <xdr:to>
      <xdr:col>15</xdr:col>
      <xdr:colOff>445176</xdr:colOff>
      <xdr:row>17</xdr:row>
      <xdr:rowOff>78468</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500062</xdr:colOff>
      <xdr:row>17</xdr:row>
      <xdr:rowOff>30616</xdr:rowOff>
    </xdr:from>
    <xdr:to>
      <xdr:col>8</xdr:col>
      <xdr:colOff>178594</xdr:colOff>
      <xdr:row>31</xdr:row>
      <xdr:rowOff>68262</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204900</xdr:colOff>
      <xdr:row>17</xdr:row>
      <xdr:rowOff>55449</xdr:rowOff>
    </xdr:from>
    <xdr:to>
      <xdr:col>15</xdr:col>
      <xdr:colOff>406285</xdr:colOff>
      <xdr:row>31</xdr:row>
      <xdr:rowOff>74953</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28573</xdr:colOff>
      <xdr:row>32</xdr:row>
      <xdr:rowOff>28576</xdr:rowOff>
    </xdr:from>
    <xdr:to>
      <xdr:col>8</xdr:col>
      <xdr:colOff>440531</xdr:colOff>
      <xdr:row>46</xdr:row>
      <xdr:rowOff>38100</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90486</xdr:colOff>
      <xdr:row>46</xdr:row>
      <xdr:rowOff>16669</xdr:rowOff>
    </xdr:from>
    <xdr:to>
      <xdr:col>8</xdr:col>
      <xdr:colOff>404812</xdr:colOff>
      <xdr:row>61</xdr:row>
      <xdr:rowOff>102394</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437355</xdr:colOff>
      <xdr:row>2</xdr:row>
      <xdr:rowOff>200026</xdr:rowOff>
    </xdr:from>
    <xdr:to>
      <xdr:col>22</xdr:col>
      <xdr:colOff>628647</xdr:colOff>
      <xdr:row>17</xdr:row>
      <xdr:rowOff>49213</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37759</xdr:colOff>
      <xdr:row>2</xdr:row>
      <xdr:rowOff>238579</xdr:rowOff>
    </xdr:from>
    <xdr:to>
      <xdr:col>30</xdr:col>
      <xdr:colOff>377823</xdr:colOff>
      <xdr:row>17</xdr:row>
      <xdr:rowOff>87312</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388142</xdr:colOff>
      <xdr:row>17</xdr:row>
      <xdr:rowOff>75406</xdr:rowOff>
    </xdr:from>
    <xdr:to>
      <xdr:col>22</xdr:col>
      <xdr:colOff>551654</xdr:colOff>
      <xdr:row>31</xdr:row>
      <xdr:rowOff>123032</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16101</xdr:colOff>
      <xdr:row>17</xdr:row>
      <xdr:rowOff>11906</xdr:rowOff>
    </xdr:from>
    <xdr:to>
      <xdr:col>30</xdr:col>
      <xdr:colOff>373059</xdr:colOff>
      <xdr:row>32</xdr:row>
      <xdr:rowOff>17461</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38100</xdr:colOff>
      <xdr:row>32</xdr:row>
      <xdr:rowOff>9526</xdr:rowOff>
    </xdr:from>
    <xdr:to>
      <xdr:col>30</xdr:col>
      <xdr:colOff>0</xdr:colOff>
      <xdr:row>47</xdr:row>
      <xdr:rowOff>41672</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440534</xdr:colOff>
      <xdr:row>46</xdr:row>
      <xdr:rowOff>76200</xdr:rowOff>
    </xdr:from>
    <xdr:to>
      <xdr:col>16</xdr:col>
      <xdr:colOff>22227</xdr:colOff>
      <xdr:row>61</xdr:row>
      <xdr:rowOff>171450</xdr:rowOff>
    </xdr:to>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488158</xdr:colOff>
      <xdr:row>32</xdr:row>
      <xdr:rowOff>19049</xdr:rowOff>
    </xdr:from>
    <xdr:to>
      <xdr:col>16</xdr:col>
      <xdr:colOff>22227</xdr:colOff>
      <xdr:row>46</xdr:row>
      <xdr:rowOff>113110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57150</xdr:colOff>
      <xdr:row>47</xdr:row>
      <xdr:rowOff>38100</xdr:rowOff>
    </xdr:from>
    <xdr:to>
      <xdr:col>30</xdr:col>
      <xdr:colOff>0</xdr:colOff>
      <xdr:row>61</xdr:row>
      <xdr:rowOff>171450</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361950</xdr:colOff>
      <xdr:row>0</xdr:row>
      <xdr:rowOff>0</xdr:rowOff>
    </xdr:from>
    <xdr:to>
      <xdr:col>29</xdr:col>
      <xdr:colOff>400050</xdr:colOff>
      <xdr:row>3</xdr:row>
      <xdr:rowOff>47625</xdr:rowOff>
    </xdr:to>
    <xdr:pic>
      <xdr:nvPicPr>
        <xdr:cNvPr id="23" name="Picture 22" descr="Logo-test">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601950" y="0"/>
          <a:ext cx="2476500" cy="771525"/>
        </a:xfrm>
        <a:prstGeom prst="rect">
          <a:avLst/>
        </a:prstGeom>
        <a:noFill/>
        <a:ln>
          <a:noFill/>
        </a:ln>
      </xdr:spPr>
    </xdr:pic>
    <xdr:clientData/>
  </xdr:twoCellAnchor>
  <xdr:twoCellAnchor editAs="oneCell">
    <xdr:from>
      <xdr:col>11</xdr:col>
      <xdr:colOff>171450</xdr:colOff>
      <xdr:row>0</xdr:row>
      <xdr:rowOff>19050</xdr:rowOff>
    </xdr:from>
    <xdr:to>
      <xdr:col>15</xdr:col>
      <xdr:colOff>209550</xdr:colOff>
      <xdr:row>3</xdr:row>
      <xdr:rowOff>66675</xdr:rowOff>
    </xdr:to>
    <xdr:pic>
      <xdr:nvPicPr>
        <xdr:cNvPr id="24" name="Picture 23" descr="Logo-test">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877050" y="19050"/>
          <a:ext cx="2476500" cy="7715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135733</xdr:colOff>
      <xdr:row>2</xdr:row>
      <xdr:rowOff>75406</xdr:rowOff>
    </xdr:from>
    <xdr:to>
      <xdr:col>6</xdr:col>
      <xdr:colOff>1597820</xdr:colOff>
      <xdr:row>31</xdr:row>
      <xdr:rowOff>23812</xdr:rowOff>
    </xdr:to>
    <xdr:sp macro="" textlink="">
      <xdr:nvSpPr>
        <xdr:cNvPr id="2" name="TextBox 1">
          <a:extLst>
            <a:ext uri="{FF2B5EF4-FFF2-40B4-BE49-F238E27FC236}">
              <a16:creationId xmlns:a16="http://schemas.microsoft.com/office/drawing/2014/main" id="{545C73EA-2736-4281-9798-3A85D4EB478C}"/>
            </a:ext>
          </a:extLst>
        </xdr:cNvPr>
        <xdr:cNvSpPr txBox="1"/>
      </xdr:nvSpPr>
      <xdr:spPr>
        <a:xfrm>
          <a:off x="135733" y="437356"/>
          <a:ext cx="11749087" cy="5199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200" b="1"/>
            <a:t>This explanations page must be read in conjunction with the gambling operators' key financial statistics reported</a:t>
          </a:r>
          <a:r>
            <a:rPr lang="en-NZ" sz="1200" b="1" baseline="0"/>
            <a:t> with this release, dated: </a:t>
          </a:r>
          <a:r>
            <a:rPr lang="en-NZ" sz="1200" b="1" baseline="0">
              <a:solidFill>
                <a:sysClr val="windowText" lastClr="000000"/>
              </a:solidFill>
            </a:rPr>
            <a:t>February 2025.</a:t>
          </a:r>
          <a:endParaRPr lang="en-NZ" sz="1200" b="1">
            <a:solidFill>
              <a:sysClr val="windowText" lastClr="000000"/>
            </a:solidFill>
          </a:endParaRPr>
        </a:p>
        <a:p>
          <a:endParaRPr lang="en-NZ" sz="1200" b="1"/>
        </a:p>
        <a:p>
          <a:r>
            <a:rPr lang="en-NZ" sz="1200" b="1"/>
            <a:t>Financial year-end</a:t>
          </a:r>
          <a:r>
            <a:rPr lang="en-NZ" sz="1200" b="1" baseline="0"/>
            <a:t> </a:t>
          </a:r>
          <a:r>
            <a:rPr lang="en-NZ" sz="1200" b="0" baseline="0"/>
            <a:t>r</a:t>
          </a:r>
          <a:r>
            <a:rPr lang="en-NZ" sz="1200" b="0"/>
            <a:t>epresents the gambling operator's </a:t>
          </a:r>
          <a:r>
            <a:rPr lang="en-NZ" sz="1200" b="0" baseline="0"/>
            <a:t>reported balance date.  In most cases this will be </a:t>
          </a:r>
          <a:r>
            <a:rPr lang="en-NZ" sz="1200" b="0"/>
            <a:t>30 June.  In some</a:t>
          </a:r>
          <a:r>
            <a:rPr lang="en-NZ" sz="1200" b="0" baseline="0"/>
            <a:t> cases, however, </a:t>
          </a:r>
          <a:r>
            <a:rPr lang="en-NZ" sz="1200" b="0"/>
            <a:t>the balance date differs (e.g. TAB New</a:t>
          </a:r>
          <a:r>
            <a:rPr lang="en-NZ" sz="1200" b="0" baseline="0"/>
            <a:t> Zealand </a:t>
          </a:r>
          <a:r>
            <a:rPr lang="en-NZ" sz="1200" b="0"/>
            <a:t>at 31 July).</a:t>
          </a:r>
        </a:p>
        <a:p>
          <a:endParaRPr lang="en-NZ" sz="1200" b="1"/>
        </a:p>
        <a:p>
          <a:r>
            <a:rPr lang="en-NZ" sz="1200" b="1"/>
            <a:t>Expenditure</a:t>
          </a:r>
          <a:r>
            <a:rPr lang="en-NZ" sz="1200" b="1" baseline="0"/>
            <a:t>, </a:t>
          </a:r>
          <a:r>
            <a:rPr lang="en-NZ" sz="1200" baseline="0"/>
            <a:t>also known as "gross profit" or "casino win", means the gross amount wagered by gamblers, less the amount paid out or credited as prizes or dividends.  In other words, "expenditure" is the amount lost or spent by players, as well as the gross profit of the gambling operator.</a:t>
          </a:r>
        </a:p>
        <a:p>
          <a:endParaRPr lang="en-NZ" sz="1200" baseline="0"/>
        </a:p>
        <a:p>
          <a:r>
            <a:rPr lang="en-NZ" sz="1200" b="1"/>
            <a:t>Prizes</a:t>
          </a:r>
          <a:r>
            <a:rPr lang="en-NZ" sz="1200" b="0"/>
            <a:t>,</a:t>
          </a:r>
          <a:r>
            <a:rPr lang="en-NZ" sz="1200" b="0" baseline="0"/>
            <a:t> </a:t>
          </a:r>
          <a:r>
            <a:rPr lang="en-NZ" sz="1200" baseline="0"/>
            <a:t>also known as "dividends", means the cash amount, or the cash value of prizes, paid out or credited to players.</a:t>
          </a:r>
        </a:p>
        <a:p>
          <a:endParaRPr lang="en-NZ" sz="1200" baseline="0"/>
        </a:p>
        <a:p>
          <a:r>
            <a:rPr lang="en-NZ" sz="1200" b="1" baseline="0"/>
            <a:t>Turnover</a:t>
          </a:r>
          <a:r>
            <a:rPr lang="en-NZ" sz="1200" baseline="0"/>
            <a:t> is the total (gross) amount wagered by gamblers.  This figure is published by the New Zealand Lotteries Commission and by TAB New Zealand.  It includes a "churn" factor, or re-investment, where the same dollar is counted more than once.  This is particularly relevant for rapid re-investment forms of gambling, like gaming machines or race betting.  For example, if a player has $20 to spend on a gaming machine and plays unti the full $20 is lost, it is likely that this $20 will be recorded on the machine's meters as $120 or more of turnover (gross amount wagered).  Turnover is not an indicator of the amount spent by players or of the profit of the operator.</a:t>
          </a:r>
        </a:p>
        <a:p>
          <a:endParaRPr lang="en-NZ" sz="1200" baseline="0"/>
        </a:p>
        <a:p>
          <a:r>
            <a:rPr lang="en-NZ" sz="1200" b="1" baseline="0">
              <a:solidFill>
                <a:schemeClr val="dk1"/>
              </a:solidFill>
              <a:latin typeface="+mn-lt"/>
              <a:ea typeface="+mn-ea"/>
              <a:cs typeface="+mn-cs"/>
            </a:rPr>
            <a:t>Inflation adjustment </a:t>
          </a:r>
          <a:r>
            <a:rPr lang="en-NZ" sz="1200" b="0" baseline="0">
              <a:solidFill>
                <a:schemeClr val="dk1"/>
              </a:solidFill>
              <a:latin typeface="+mn-lt"/>
              <a:ea typeface="+mn-ea"/>
              <a:cs typeface="+mn-cs"/>
            </a:rPr>
            <a:t>was done to see what the </a:t>
          </a:r>
          <a:r>
            <a:rPr lang="en-NZ" sz="1200" baseline="0"/>
            <a:t>time series looks like with the effects of inflation removed.  The Statistics New Zealand Consumer Price Index (CPI) (All groups) provided the adjustment rates as at June of each year, as follows:</a:t>
          </a:r>
        </a:p>
        <a:p>
          <a:endParaRPr lang="en-NZ" sz="1200" baseline="0"/>
        </a:p>
        <a:p>
          <a:endParaRPr lang="en-NZ" sz="1200" baseline="0"/>
        </a:p>
        <a:p>
          <a:pPr marL="0" marR="0" indent="0" defTabSz="914400" eaLnBrk="1" fontAlgn="auto" latinLnBrk="0" hangingPunct="1">
            <a:lnSpc>
              <a:spcPct val="100000"/>
            </a:lnSpc>
            <a:spcBef>
              <a:spcPts val="0"/>
            </a:spcBef>
            <a:spcAft>
              <a:spcPts val="0"/>
            </a:spcAft>
            <a:buClrTx/>
            <a:buSzTx/>
            <a:buFontTx/>
            <a:buNone/>
            <a:tabLst/>
            <a:defRPr/>
          </a:pPr>
          <a:endParaRPr lang="en-NZ" sz="1100" b="1"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NB: Inflation adjustment methodology was revised in July 2022 to incorporate adjustments from the Consumers Price Index (CPI) and set a base year of 2010/11. Past methodology had applied adjustments incorrectly, resulting in a misleading representation of inflation over time.</a:t>
          </a:r>
        </a:p>
        <a:p>
          <a:pPr marL="0" marR="0" indent="0" defTabSz="914400" eaLnBrk="1" fontAlgn="auto" latinLnBrk="0" hangingPunct="1">
            <a:lnSpc>
              <a:spcPct val="100000"/>
            </a:lnSpc>
            <a:spcBef>
              <a:spcPts val="0"/>
            </a:spcBef>
            <a:spcAft>
              <a:spcPts val="0"/>
            </a:spcAft>
            <a:buClrTx/>
            <a:buSzTx/>
            <a:buFontTx/>
            <a:buNone/>
            <a:tabLst/>
            <a:defRPr/>
          </a:pPr>
          <a:endParaRPr lang="en-NZ" sz="1200" b="1"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NZ" sz="1200" b="1" baseline="0">
              <a:solidFill>
                <a:schemeClr val="dk1"/>
              </a:solidFill>
              <a:effectLst/>
              <a:latin typeface="+mn-lt"/>
              <a:ea typeface="+mn-ea"/>
              <a:cs typeface="+mn-cs"/>
            </a:rPr>
            <a:t>Inflation adjustment, per capita </a:t>
          </a:r>
          <a:r>
            <a:rPr lang="en-NZ" sz="1200" b="0" baseline="0">
              <a:solidFill>
                <a:schemeClr val="dk1"/>
              </a:solidFill>
              <a:effectLst/>
              <a:latin typeface="+mn-lt"/>
              <a:ea typeface="+mn-ea"/>
              <a:cs typeface="+mn-cs"/>
            </a:rPr>
            <a:t>was done to see what the </a:t>
          </a:r>
          <a:r>
            <a:rPr lang="en-NZ" sz="1200" baseline="0">
              <a:solidFill>
                <a:schemeClr val="dk1"/>
              </a:solidFill>
              <a:effectLst/>
              <a:latin typeface="+mn-lt"/>
              <a:ea typeface="+mn-ea"/>
              <a:cs typeface="+mn-cs"/>
            </a:rPr>
            <a:t>time series looks like with the effects of inflation and population change removed.  The Statistics New Zealand median estimates for the population 18 years and older were used to determine the per person gambling expenditure for each year of the time series, using the previously inflation adjusted figures.  The NZ population estimates used are as follows: </a:t>
          </a:r>
          <a:endParaRPr lang="en-NZ" sz="1400" baseline="0"/>
        </a:p>
      </xdr:txBody>
    </xdr:sp>
    <xdr:clientData/>
  </xdr:twoCellAnchor>
  <xdr:twoCellAnchor>
    <xdr:from>
      <xdr:col>5</xdr:col>
      <xdr:colOff>1352550</xdr:colOff>
      <xdr:row>0</xdr:row>
      <xdr:rowOff>0</xdr:rowOff>
    </xdr:from>
    <xdr:to>
      <xdr:col>6</xdr:col>
      <xdr:colOff>1679332</xdr:colOff>
      <xdr:row>2</xdr:row>
      <xdr:rowOff>105448</xdr:rowOff>
    </xdr:to>
    <xdr:pic>
      <xdr:nvPicPr>
        <xdr:cNvPr id="4" name="Picture 2" descr="logo">
          <a:extLst>
            <a:ext uri="{FF2B5EF4-FFF2-40B4-BE49-F238E27FC236}">
              <a16:creationId xmlns:a16="http://schemas.microsoft.com/office/drawing/2014/main" id="{1F61BBC9-71A0-4F32-BC3A-BD9D4A0450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25050" y="0"/>
          <a:ext cx="2041282" cy="464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203200</xdr:colOff>
      <xdr:row>29</xdr:row>
      <xdr:rowOff>88900</xdr:rowOff>
    </xdr:from>
    <xdr:to>
      <xdr:col>6</xdr:col>
      <xdr:colOff>942892</xdr:colOff>
      <xdr:row>31</xdr:row>
      <xdr:rowOff>38100</xdr:rowOff>
    </xdr:to>
    <xdr:pic>
      <xdr:nvPicPr>
        <xdr:cNvPr id="3" name="Picture 2">
          <a:extLst>
            <a:ext uri="{FF2B5EF4-FFF2-40B4-BE49-F238E27FC236}">
              <a16:creationId xmlns:a16="http://schemas.microsoft.com/office/drawing/2014/main" id="{FA559838-B7DB-41DD-B497-98777EBF2CA2}"/>
            </a:ext>
          </a:extLst>
        </xdr:cNvPr>
        <xdr:cNvPicPr>
          <a:picLocks noChangeAspect="1"/>
        </xdr:cNvPicPr>
      </xdr:nvPicPr>
      <xdr:blipFill>
        <a:blip xmlns:r="http://schemas.openxmlformats.org/officeDocument/2006/relationships" r:embed="rId2"/>
        <a:stretch>
          <a:fillRect/>
        </a:stretch>
      </xdr:blipFill>
      <xdr:spPr>
        <a:xfrm>
          <a:off x="203200" y="5607050"/>
          <a:ext cx="11026692" cy="317500"/>
        </a:xfrm>
        <a:prstGeom prst="rect">
          <a:avLst/>
        </a:prstGeom>
      </xdr:spPr>
    </xdr:pic>
    <xdr:clientData/>
  </xdr:twoCellAnchor>
  <xdr:twoCellAnchor editAs="oneCell">
    <xdr:from>
      <xdr:col>0</xdr:col>
      <xdr:colOff>167483</xdr:colOff>
      <xdr:row>20</xdr:row>
      <xdr:rowOff>56356</xdr:rowOff>
    </xdr:from>
    <xdr:to>
      <xdr:col>6</xdr:col>
      <xdr:colOff>860483</xdr:colOff>
      <xdr:row>22</xdr:row>
      <xdr:rowOff>56512</xdr:rowOff>
    </xdr:to>
    <xdr:pic>
      <xdr:nvPicPr>
        <xdr:cNvPr id="5" name="Picture 4">
          <a:extLst>
            <a:ext uri="{FF2B5EF4-FFF2-40B4-BE49-F238E27FC236}">
              <a16:creationId xmlns:a16="http://schemas.microsoft.com/office/drawing/2014/main" id="{A2301380-C345-444B-9A78-CB889984C7A5}"/>
            </a:ext>
          </a:extLst>
        </xdr:cNvPr>
        <xdr:cNvPicPr>
          <a:picLocks noChangeAspect="1"/>
        </xdr:cNvPicPr>
      </xdr:nvPicPr>
      <xdr:blipFill>
        <a:blip xmlns:r="http://schemas.openxmlformats.org/officeDocument/2006/relationships" r:embed="rId3"/>
        <a:stretch>
          <a:fillRect/>
        </a:stretch>
      </xdr:blipFill>
      <xdr:spPr>
        <a:xfrm>
          <a:off x="167483" y="3917156"/>
          <a:ext cx="10980000" cy="3684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DIA">
      <a:dk1>
        <a:sysClr val="windowText" lastClr="000000"/>
      </a:dk1>
      <a:lt1>
        <a:srgbClr val="FFFFFF"/>
      </a:lt1>
      <a:dk2>
        <a:srgbClr val="1F546B"/>
      </a:dk2>
      <a:lt2>
        <a:srgbClr val="FAD53D"/>
      </a:lt2>
      <a:accent1>
        <a:srgbClr val="7BC7CE"/>
      </a:accent1>
      <a:accent2>
        <a:srgbClr val="B84327"/>
      </a:accent2>
      <a:accent3>
        <a:srgbClr val="C68D2C"/>
      </a:accent3>
      <a:accent4>
        <a:srgbClr val="63913D"/>
      </a:accent4>
      <a:accent5>
        <a:srgbClr val="563774"/>
      </a:accent5>
      <a:accent6>
        <a:srgbClr val="48949B"/>
      </a:accent6>
      <a:hlink>
        <a:srgbClr val="52879E"/>
      </a:hlink>
      <a:folHlink>
        <a:srgbClr val="F99D3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S43"/>
  <sheetViews>
    <sheetView showGridLines="0" tabSelected="1" view="pageBreakPreview" topLeftCell="B1" zoomScale="90" zoomScaleNormal="100" zoomScaleSheetLayoutView="90" workbookViewId="0">
      <selection activeCell="L41" sqref="L41"/>
    </sheetView>
  </sheetViews>
  <sheetFormatPr defaultColWidth="9.1796875" defaultRowHeight="14.5"/>
  <cols>
    <col min="1" max="1" width="31.54296875" style="1" customWidth="1"/>
    <col min="2" max="15" width="15.81640625" style="1" customWidth="1"/>
    <col min="16" max="17" width="12" style="1" bestFit="1" customWidth="1"/>
    <col min="18" max="18" width="11" style="1" bestFit="1" customWidth="1"/>
    <col min="19" max="16384" width="9.1796875" style="1"/>
  </cols>
  <sheetData>
    <row r="1" spans="1:16" ht="28.5">
      <c r="A1" s="42" t="s">
        <v>0</v>
      </c>
      <c r="B1" s="42"/>
      <c r="C1" s="42"/>
      <c r="D1" s="42"/>
      <c r="E1" s="42"/>
      <c r="F1" s="42"/>
      <c r="G1" s="42"/>
      <c r="M1" s="27"/>
      <c r="N1" s="27"/>
    </row>
    <row r="2" spans="1:16">
      <c r="A2" s="41" t="s">
        <v>1</v>
      </c>
      <c r="B2" s="41"/>
      <c r="C2" s="41"/>
      <c r="D2" s="41"/>
      <c r="E2" s="41"/>
      <c r="F2" s="41"/>
      <c r="G2" s="41"/>
    </row>
    <row r="3" spans="1:16">
      <c r="A3" s="23"/>
      <c r="B3" s="23"/>
      <c r="C3" s="23"/>
      <c r="D3" s="23"/>
      <c r="E3" s="23"/>
      <c r="F3" s="23"/>
      <c r="G3" s="23"/>
    </row>
    <row r="4" spans="1:16">
      <c r="A4" s="7" t="s">
        <v>2</v>
      </c>
      <c r="B4" s="8" t="s">
        <v>3</v>
      </c>
      <c r="C4" s="8" t="s">
        <v>4</v>
      </c>
      <c r="D4" s="8" t="s">
        <v>5</v>
      </c>
      <c r="E4" s="8" t="s">
        <v>6</v>
      </c>
      <c r="F4" s="8" t="s">
        <v>7</v>
      </c>
      <c r="G4" s="8" t="s">
        <v>8</v>
      </c>
      <c r="H4" s="8" t="s">
        <v>9</v>
      </c>
      <c r="I4" s="8" t="s">
        <v>10</v>
      </c>
      <c r="J4" s="8" t="s">
        <v>11</v>
      </c>
      <c r="K4" s="8" t="s">
        <v>12</v>
      </c>
      <c r="L4" s="8" t="s">
        <v>13</v>
      </c>
      <c r="M4" s="8" t="s">
        <v>14</v>
      </c>
      <c r="N4" s="8" t="s">
        <v>15</v>
      </c>
      <c r="O4" s="8" t="s">
        <v>16</v>
      </c>
      <c r="P4" s="8" t="s">
        <v>17</v>
      </c>
    </row>
    <row r="5" spans="1:16">
      <c r="A5" s="16"/>
      <c r="B5" s="5"/>
      <c r="C5" s="4"/>
      <c r="D5" s="5"/>
      <c r="E5" s="4"/>
      <c r="F5" s="5"/>
      <c r="G5" s="4"/>
      <c r="H5" s="5"/>
      <c r="I5" s="4"/>
      <c r="J5" s="5"/>
      <c r="K5" s="4"/>
      <c r="L5" s="5"/>
      <c r="M5" s="4"/>
      <c r="N5" s="5"/>
      <c r="O5" s="4"/>
      <c r="P5" s="5"/>
    </row>
    <row r="6" spans="1:16">
      <c r="A6" s="17" t="s">
        <v>18</v>
      </c>
      <c r="B6" s="5"/>
      <c r="C6" s="4"/>
      <c r="D6" s="5"/>
      <c r="E6" s="4"/>
      <c r="F6" s="5"/>
      <c r="G6" s="4"/>
      <c r="H6" s="5"/>
      <c r="I6" s="4"/>
      <c r="J6" s="5"/>
      <c r="K6" s="31"/>
      <c r="L6" s="5"/>
      <c r="M6" s="31"/>
      <c r="N6" s="5"/>
      <c r="O6" s="31"/>
      <c r="P6" s="5"/>
    </row>
    <row r="7" spans="1:16">
      <c r="A7" s="18" t="s">
        <v>19</v>
      </c>
      <c r="B7" s="5">
        <v>272.79300000000001</v>
      </c>
      <c r="C7" s="4">
        <v>282.95100000000002</v>
      </c>
      <c r="D7" s="5">
        <v>294.28500000000003</v>
      </c>
      <c r="E7" s="4">
        <v>310.17099999999999</v>
      </c>
      <c r="F7" s="5">
        <v>325.05099999999999</v>
      </c>
      <c r="G7" s="4">
        <v>342.291</v>
      </c>
      <c r="H7" s="5">
        <v>337.73500000000001</v>
      </c>
      <c r="I7" s="4">
        <v>349.86799999999999</v>
      </c>
      <c r="J7" s="5">
        <v>331.76800000000003</v>
      </c>
      <c r="K7" s="4">
        <v>315.10499999999979</v>
      </c>
      <c r="L7" s="5">
        <v>384.86700000000002</v>
      </c>
      <c r="M7" s="4">
        <v>380.20100000000002</v>
      </c>
      <c r="N7" s="5">
        <v>375.60633599999994</v>
      </c>
      <c r="O7" s="4">
        <v>371.33071899999999</v>
      </c>
      <c r="P7" s="5">
        <v>393.38698099999999</v>
      </c>
    </row>
    <row r="8" spans="1:16">
      <c r="A8" s="18" t="s">
        <v>20</v>
      </c>
      <c r="B8" s="5">
        <v>1260.6079999999999</v>
      </c>
      <c r="C8" s="4">
        <v>1336.3879999999999</v>
      </c>
      <c r="D8" s="5">
        <v>1422.2190000000001</v>
      </c>
      <c r="E8" s="4">
        <v>1522.3820000000001</v>
      </c>
      <c r="F8" s="5">
        <v>1747.6120000000001</v>
      </c>
      <c r="G8" s="4">
        <v>1927.819</v>
      </c>
      <c r="H8" s="5">
        <v>1906.866</v>
      </c>
      <c r="I8" s="4">
        <v>1912.5139999999999</v>
      </c>
      <c r="J8" s="5">
        <v>1926.413</v>
      </c>
      <c r="K8" s="4">
        <v>1853.635</v>
      </c>
      <c r="L8" s="5">
        <v>2177.9540000000002</v>
      </c>
      <c r="M8" s="4">
        <v>2157.42</v>
      </c>
      <c r="N8" s="5">
        <v>2220.2401810000001</v>
      </c>
      <c r="O8" s="4">
        <v>2248.2352770000002</v>
      </c>
      <c r="P8" s="5">
        <v>2443.3724090000001</v>
      </c>
    </row>
    <row r="9" spans="1:16">
      <c r="A9" s="18" t="s">
        <v>21</v>
      </c>
      <c r="B9" s="5">
        <v>1533.4010000000001</v>
      </c>
      <c r="C9" s="4">
        <v>1619.3389999999999</v>
      </c>
      <c r="D9" s="5">
        <v>1716.5039999999999</v>
      </c>
      <c r="E9" s="4">
        <v>1832.5530000000001</v>
      </c>
      <c r="F9" s="5">
        <v>2072.663</v>
      </c>
      <c r="G9" s="4">
        <v>2270.11</v>
      </c>
      <c r="H9" s="5">
        <v>2244.6010000000001</v>
      </c>
      <c r="I9" s="4">
        <v>2262.3820000000001</v>
      </c>
      <c r="J9" s="5">
        <v>2258.181</v>
      </c>
      <c r="K9" s="4">
        <v>2168.7399999999998</v>
      </c>
      <c r="L9" s="5">
        <v>2562.6109999999999</v>
      </c>
      <c r="M9" s="4">
        <v>2537.6210000000001</v>
      </c>
      <c r="N9" s="5">
        <v>2595.8465169999999</v>
      </c>
      <c r="O9" s="4">
        <v>2619.5659959999998</v>
      </c>
      <c r="P9" s="5">
        <v>2836.7593900000002</v>
      </c>
    </row>
    <row r="10" spans="1:16">
      <c r="A10" s="16"/>
      <c r="B10" s="5"/>
      <c r="C10" s="4"/>
      <c r="D10" s="5"/>
      <c r="E10" s="4"/>
      <c r="F10" s="5"/>
      <c r="G10" s="4"/>
      <c r="H10" s="5"/>
      <c r="I10" s="4"/>
      <c r="J10" s="5"/>
      <c r="K10" s="4"/>
      <c r="L10" s="5"/>
      <c r="M10" s="4"/>
      <c r="N10" s="5"/>
      <c r="O10" s="4"/>
      <c r="P10" s="5"/>
    </row>
    <row r="11" spans="1:16">
      <c r="A11" s="17" t="s">
        <v>22</v>
      </c>
      <c r="B11" s="5"/>
      <c r="C11" s="4"/>
      <c r="D11" s="5"/>
      <c r="E11" s="4"/>
      <c r="F11" s="5"/>
      <c r="G11" s="4"/>
      <c r="H11" s="5"/>
      <c r="I11" s="4"/>
      <c r="J11" s="5"/>
      <c r="K11" s="4"/>
      <c r="L11" s="5"/>
      <c r="M11" s="4"/>
      <c r="N11" s="5"/>
      <c r="O11" s="4"/>
      <c r="P11" s="5"/>
    </row>
    <row r="12" spans="1:16">
      <c r="A12" s="18" t="s">
        <v>19</v>
      </c>
      <c r="B12" s="5">
        <v>404.47699999999998</v>
      </c>
      <c r="C12" s="4">
        <v>418.73899999999998</v>
      </c>
      <c r="D12" s="5">
        <v>431.82400000000007</v>
      </c>
      <c r="E12" s="4">
        <v>463.06</v>
      </c>
      <c r="F12" s="5">
        <v>420.37700000000001</v>
      </c>
      <c r="G12" s="4">
        <v>437.262</v>
      </c>
      <c r="H12" s="5">
        <v>554.65099999999995</v>
      </c>
      <c r="I12" s="4">
        <v>560.61099999999999</v>
      </c>
      <c r="J12" s="5">
        <v>530.26700000000005</v>
      </c>
      <c r="K12" s="4">
        <v>630.8090000000002</v>
      </c>
      <c r="L12" s="5">
        <v>694.452</v>
      </c>
      <c r="M12" s="4">
        <v>653.80200000000002</v>
      </c>
      <c r="N12" s="5">
        <v>710.476</v>
      </c>
      <c r="O12" s="4">
        <v>791.91700000000003</v>
      </c>
      <c r="P12" s="5">
        <v>754.26099999999997</v>
      </c>
    </row>
    <row r="13" spans="1:16">
      <c r="A13" s="18" t="s">
        <v>23</v>
      </c>
      <c r="B13" s="5">
        <v>521.471</v>
      </c>
      <c r="C13" s="4">
        <v>529.404</v>
      </c>
      <c r="D13" s="5">
        <v>514.93499999999995</v>
      </c>
      <c r="E13" s="4">
        <v>525.70600000000002</v>
      </c>
      <c r="F13" s="5">
        <v>473.29599999999999</v>
      </c>
      <c r="G13" s="4">
        <v>536.95500000000004</v>
      </c>
      <c r="H13" s="5">
        <v>652.00599999999997</v>
      </c>
      <c r="I13" s="4">
        <v>685.87900000000002</v>
      </c>
      <c r="J13" s="5">
        <v>645.03599999999994</v>
      </c>
      <c r="K13" s="4">
        <v>753.59099999999989</v>
      </c>
      <c r="L13" s="5">
        <v>813.68200000000002</v>
      </c>
      <c r="M13" s="4">
        <v>803.00099999999998</v>
      </c>
      <c r="N13" s="5">
        <v>809.88199999999995</v>
      </c>
      <c r="O13" s="4">
        <v>918.94799999999998</v>
      </c>
      <c r="P13" s="5">
        <v>872.673</v>
      </c>
    </row>
    <row r="14" spans="1:16">
      <c r="A14" s="18" t="s">
        <v>21</v>
      </c>
      <c r="B14" s="5">
        <v>925.94799999999998</v>
      </c>
      <c r="C14" s="4">
        <v>948.14300000000003</v>
      </c>
      <c r="D14" s="5">
        <v>946.75900000000001</v>
      </c>
      <c r="E14" s="4">
        <v>988.76599999999996</v>
      </c>
      <c r="F14" s="5">
        <v>893.673</v>
      </c>
      <c r="G14" s="4">
        <v>974.21699999999998</v>
      </c>
      <c r="H14" s="5">
        <v>1206.6569999999999</v>
      </c>
      <c r="I14" s="4">
        <v>1246.49</v>
      </c>
      <c r="J14" s="5">
        <v>1175.3030000000001</v>
      </c>
      <c r="K14" s="4">
        <v>1384.4</v>
      </c>
      <c r="L14" s="5">
        <v>1508.134</v>
      </c>
      <c r="M14" s="4">
        <v>1456.8030000000001</v>
      </c>
      <c r="N14" s="5">
        <v>1520.3579999999999</v>
      </c>
      <c r="O14" s="4">
        <v>1710.865</v>
      </c>
      <c r="P14" s="5">
        <v>1626.934</v>
      </c>
    </row>
    <row r="15" spans="1:16">
      <c r="A15" s="16"/>
      <c r="B15" s="5"/>
      <c r="C15" s="4"/>
      <c r="D15" s="5"/>
      <c r="E15" s="4"/>
      <c r="F15" s="5"/>
      <c r="G15" s="4"/>
      <c r="H15" s="5"/>
      <c r="I15" s="4"/>
      <c r="J15" s="5"/>
      <c r="K15" s="4"/>
      <c r="L15" s="5"/>
      <c r="M15" s="4"/>
      <c r="N15" s="5"/>
      <c r="O15" s="4"/>
      <c r="P15" s="5"/>
    </row>
    <row r="16" spans="1:16">
      <c r="A16" s="17" t="s">
        <v>24</v>
      </c>
      <c r="B16" s="5"/>
      <c r="C16" s="4"/>
      <c r="D16" s="5"/>
      <c r="E16" s="4"/>
      <c r="F16" s="5"/>
      <c r="G16" s="4"/>
      <c r="H16" s="5"/>
      <c r="I16" s="4"/>
      <c r="J16" s="5"/>
      <c r="K16" s="4"/>
      <c r="L16" s="5"/>
      <c r="M16" s="4"/>
      <c r="N16" s="5"/>
      <c r="O16" s="4"/>
      <c r="P16" s="5"/>
    </row>
    <row r="17" spans="1:45">
      <c r="A17" s="18" t="s">
        <v>19</v>
      </c>
      <c r="B17" s="5">
        <v>856.09935633000009</v>
      </c>
      <c r="C17" s="4">
        <v>853.95445551999978</v>
      </c>
      <c r="D17" s="5">
        <v>826.77920164999944</v>
      </c>
      <c r="E17" s="4">
        <v>806.27143064000006</v>
      </c>
      <c r="F17" s="5">
        <v>818.113112</v>
      </c>
      <c r="G17" s="4">
        <v>843.48316245000001</v>
      </c>
      <c r="H17" s="5">
        <v>869.91032559000098</v>
      </c>
      <c r="I17" s="4">
        <v>894.93599505999998</v>
      </c>
      <c r="J17" s="5">
        <v>923.87672334000001</v>
      </c>
      <c r="K17" s="4">
        <v>802.41154139000002</v>
      </c>
      <c r="L17" s="5">
        <v>986.65222638</v>
      </c>
      <c r="M17" s="4">
        <v>833.38689453999996</v>
      </c>
      <c r="N17" s="5">
        <v>1070.47365214</v>
      </c>
      <c r="O17" s="4">
        <v>1036.5952420799999</v>
      </c>
      <c r="P17" s="5">
        <v>1015.358561</v>
      </c>
      <c r="Q17" s="11"/>
      <c r="R17" s="11"/>
      <c r="S17" s="11"/>
      <c r="T17" s="11"/>
    </row>
    <row r="18" spans="1:45">
      <c r="A18" s="18" t="s">
        <v>23</v>
      </c>
      <c r="B18" s="5">
        <v>8364.9811452200011</v>
      </c>
      <c r="C18" s="4">
        <v>8394.9173188799996</v>
      </c>
      <c r="D18" s="5">
        <v>8166.1198886100001</v>
      </c>
      <c r="E18" s="4">
        <v>7975.6290964700011</v>
      </c>
      <c r="F18" s="5">
        <v>8140.7151670000003</v>
      </c>
      <c r="G18" s="4">
        <v>8550</v>
      </c>
      <c r="H18" s="5">
        <v>8930.7670752800022</v>
      </c>
      <c r="I18" s="4">
        <v>9153.79283106</v>
      </c>
      <c r="J18" s="5">
        <v>9439.9363635000191</v>
      </c>
      <c r="K18" s="4">
        <v>8208.7823628400001</v>
      </c>
      <c r="L18" s="5">
        <v>10076.877542050001</v>
      </c>
      <c r="M18" s="4">
        <v>8509.8612308400006</v>
      </c>
      <c r="N18" s="5">
        <v>10852.731564010001</v>
      </c>
      <c r="O18" s="4">
        <v>10514.538359530001</v>
      </c>
      <c r="P18" s="5">
        <v>10312.10122086</v>
      </c>
      <c r="Q18" s="11"/>
      <c r="R18" s="11"/>
      <c r="S18" s="11"/>
      <c r="T18" s="11"/>
    </row>
    <row r="19" spans="1:45">
      <c r="A19" s="18" t="s">
        <v>21</v>
      </c>
      <c r="B19" s="5">
        <v>9221.5513823900001</v>
      </c>
      <c r="C19" s="4">
        <v>9245.4286830000001</v>
      </c>
      <c r="D19" s="5">
        <v>8995.2003408199998</v>
      </c>
      <c r="E19" s="4">
        <v>8783.4294386500005</v>
      </c>
      <c r="F19" s="5">
        <v>8949.249538</v>
      </c>
      <c r="G19" s="4">
        <v>9393</v>
      </c>
      <c r="H19" s="5">
        <v>9800.7664389799993</v>
      </c>
      <c r="I19" s="4">
        <v>10049.075845809999</v>
      </c>
      <c r="J19" s="5">
        <v>10364.294296459999</v>
      </c>
      <c r="K19" s="4">
        <v>9011.3437428100005</v>
      </c>
      <c r="L19" s="5">
        <v>11063.568114969999</v>
      </c>
      <c r="M19" s="4">
        <v>9344.9259496600007</v>
      </c>
      <c r="N19" s="5">
        <v>11923.20521615</v>
      </c>
      <c r="O19" s="4">
        <v>11551.05930698</v>
      </c>
      <c r="P19" s="5">
        <v>11327.445320000001</v>
      </c>
      <c r="Q19" s="11"/>
      <c r="R19" s="11"/>
      <c r="S19" s="11"/>
      <c r="T19" s="11"/>
    </row>
    <row r="20" spans="1:45">
      <c r="A20" s="16"/>
      <c r="B20" s="5"/>
      <c r="C20" s="4"/>
      <c r="D20" s="5"/>
      <c r="E20" s="4"/>
      <c r="F20" s="5"/>
      <c r="G20" s="4"/>
      <c r="H20" s="5"/>
      <c r="I20" s="4"/>
      <c r="J20" s="5"/>
      <c r="K20" s="4"/>
      <c r="L20" s="5"/>
      <c r="M20" s="4"/>
      <c r="N20" s="5"/>
      <c r="O20" s="4"/>
      <c r="P20" s="5"/>
    </row>
    <row r="21" spans="1:45">
      <c r="A21" s="17" t="s">
        <v>25</v>
      </c>
      <c r="B21" s="5"/>
      <c r="C21" s="4"/>
      <c r="D21" s="5"/>
      <c r="E21" s="4"/>
      <c r="F21" s="5"/>
      <c r="G21" s="4"/>
      <c r="H21" s="5"/>
      <c r="I21" s="4"/>
      <c r="J21" s="5"/>
      <c r="K21" s="4"/>
      <c r="L21" s="5"/>
      <c r="M21" s="4"/>
      <c r="N21" s="5"/>
      <c r="O21" s="4"/>
      <c r="P21" s="5"/>
    </row>
    <row r="22" spans="1:45">
      <c r="A22" s="18" t="s">
        <v>19</v>
      </c>
      <c r="B22" s="5">
        <v>448.33651662288128</v>
      </c>
      <c r="C22" s="4">
        <v>482.66229616652538</v>
      </c>
      <c r="D22" s="5">
        <v>489.57317000508476</v>
      </c>
      <c r="E22" s="4">
        <v>485.65526634810124</v>
      </c>
      <c r="F22" s="5">
        <v>527.10388399999999</v>
      </c>
      <c r="G22" s="4">
        <v>585.62162461876017</v>
      </c>
      <c r="H22" s="5">
        <v>571.56786199999999</v>
      </c>
      <c r="I22" s="4">
        <v>577.89926701647846</v>
      </c>
      <c r="J22" s="5">
        <v>615.97343741085888</v>
      </c>
      <c r="K22" s="4">
        <v>503.51615512000001</v>
      </c>
      <c r="L22" s="5">
        <v>558.67029502000003</v>
      </c>
      <c r="M22" s="4">
        <v>386.955825</v>
      </c>
      <c r="N22" s="5">
        <v>604.44969300000002</v>
      </c>
      <c r="O22" s="4">
        <v>592.43146167999998</v>
      </c>
      <c r="P22" s="5">
        <v>545.12409300000002</v>
      </c>
    </row>
    <row r="23" spans="1:45">
      <c r="A23" s="16"/>
      <c r="B23" s="5"/>
      <c r="C23" s="4"/>
      <c r="D23" s="5"/>
      <c r="E23" s="4"/>
      <c r="F23" s="5"/>
      <c r="G23" s="4"/>
      <c r="H23" s="5"/>
      <c r="I23" s="4"/>
      <c r="J23" s="5"/>
      <c r="K23" s="4"/>
      <c r="L23" s="5"/>
      <c r="M23" s="4"/>
      <c r="N23" s="5"/>
      <c r="O23" s="4"/>
      <c r="P23" s="5"/>
    </row>
    <row r="24" spans="1:45" s="3" customFormat="1">
      <c r="A24" s="17" t="s">
        <v>26</v>
      </c>
      <c r="B24" s="5"/>
      <c r="C24" s="4"/>
      <c r="D24" s="5"/>
      <c r="E24" s="4"/>
      <c r="F24" s="5"/>
      <c r="G24" s="4"/>
      <c r="H24" s="5"/>
      <c r="I24" s="4"/>
      <c r="J24" s="5"/>
      <c r="K24" s="4"/>
      <c r="L24" s="5"/>
      <c r="M24" s="4"/>
      <c r="N24" s="5"/>
      <c r="O24" s="4"/>
      <c r="P24" s="5"/>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c r="A25" s="19" t="s">
        <v>19</v>
      </c>
      <c r="B25" s="10">
        <v>1981.7058729528812</v>
      </c>
      <c r="C25" s="9">
        <v>2038.3067516865253</v>
      </c>
      <c r="D25" s="10">
        <v>2042.4613716550843</v>
      </c>
      <c r="E25" s="9">
        <v>2065.1576969881012</v>
      </c>
      <c r="F25" s="10">
        <v>2090.644996</v>
      </c>
      <c r="G25" s="9">
        <v>2208.6577870687602</v>
      </c>
      <c r="H25" s="10">
        <v>2333.8641875900007</v>
      </c>
      <c r="I25" s="9">
        <v>2383.3142620764784</v>
      </c>
      <c r="J25" s="10">
        <v>2402.1171607508591</v>
      </c>
      <c r="K25" s="9">
        <v>2251.8413615199997</v>
      </c>
      <c r="L25" s="10">
        <v>2624.6415213999999</v>
      </c>
      <c r="M25" s="9">
        <v>2254.3457195400001</v>
      </c>
      <c r="N25" s="10">
        <v>2761.00568114</v>
      </c>
      <c r="O25" s="9">
        <v>2792.2744227600001</v>
      </c>
      <c r="P25" s="10">
        <f>SUM(P17,P12,P7,P22)</f>
        <v>2708.130635</v>
      </c>
    </row>
    <row r="26" spans="1:45">
      <c r="I26" s="2"/>
      <c r="J26" s="2"/>
      <c r="K26" s="33"/>
      <c r="L26" s="30"/>
    </row>
    <row r="27" spans="1:45" ht="15" customHeight="1">
      <c r="A27" s="2" t="s">
        <v>27</v>
      </c>
      <c r="B27" s="39" t="s">
        <v>28</v>
      </c>
      <c r="C27" s="39"/>
      <c r="D27" s="39"/>
      <c r="E27" s="39"/>
      <c r="F27" s="39"/>
      <c r="G27" s="39"/>
      <c r="H27" s="39"/>
      <c r="I27" s="39"/>
      <c r="J27" s="21"/>
      <c r="M27" s="27"/>
      <c r="N27" s="27"/>
    </row>
    <row r="28" spans="1:45" ht="15" customHeight="1">
      <c r="A28" s="2"/>
      <c r="B28" s="39" t="s">
        <v>29</v>
      </c>
      <c r="C28" s="39"/>
      <c r="D28" s="39"/>
      <c r="E28" s="39"/>
      <c r="F28" s="39"/>
      <c r="G28" s="39"/>
      <c r="H28" s="39"/>
      <c r="I28" s="39"/>
      <c r="J28" s="21"/>
      <c r="K28" s="28"/>
      <c r="L28" s="28"/>
    </row>
    <row r="29" spans="1:45" ht="15" customHeight="1">
      <c r="A29" s="2"/>
      <c r="B29" s="38" t="s">
        <v>30</v>
      </c>
      <c r="C29" s="38"/>
      <c r="D29" s="38"/>
      <c r="E29" s="38"/>
      <c r="F29" s="38"/>
      <c r="G29" s="38"/>
      <c r="H29" s="38"/>
      <c r="I29" s="38"/>
      <c r="J29" s="20"/>
      <c r="K29" s="28"/>
      <c r="L29" s="28"/>
      <c r="M29" s="12"/>
      <c r="N29" s="12"/>
      <c r="O29" s="12"/>
      <c r="P29" s="12"/>
      <c r="Q29" s="12"/>
      <c r="R29" s="12"/>
      <c r="S29" s="12"/>
    </row>
    <row r="30" spans="1:45" ht="15" customHeight="1">
      <c r="A30" s="2"/>
      <c r="B30" s="38" t="s">
        <v>31</v>
      </c>
      <c r="C30" s="38"/>
      <c r="D30" s="38"/>
      <c r="E30" s="38"/>
      <c r="F30" s="38"/>
      <c r="G30" s="38"/>
      <c r="H30" s="38"/>
      <c r="I30" s="38"/>
      <c r="J30" s="20"/>
      <c r="K30" s="28"/>
      <c r="L30" s="28"/>
      <c r="M30" s="12"/>
      <c r="N30" s="12"/>
      <c r="O30" s="12"/>
      <c r="P30" s="12"/>
      <c r="Q30" s="12"/>
      <c r="R30" s="12"/>
      <c r="S30" s="12"/>
    </row>
    <row r="31" spans="1:45">
      <c r="A31" s="2"/>
      <c r="B31" s="20"/>
      <c r="C31" s="20"/>
      <c r="D31" s="20"/>
      <c r="E31" s="20"/>
      <c r="F31" s="20"/>
      <c r="G31" s="20"/>
    </row>
    <row r="32" spans="1:45">
      <c r="A32" s="2" t="s">
        <v>32</v>
      </c>
      <c r="B32" s="40" t="s">
        <v>33</v>
      </c>
      <c r="C32" s="40"/>
      <c r="D32" s="40"/>
      <c r="E32" s="40"/>
      <c r="F32" s="40"/>
      <c r="G32" s="40"/>
      <c r="H32" s="40"/>
      <c r="I32" s="40"/>
      <c r="J32" s="22"/>
      <c r="K32" s="22"/>
      <c r="L32" s="35"/>
    </row>
    <row r="33" spans="1:14" ht="15" customHeight="1">
      <c r="A33" s="2"/>
      <c r="B33" s="39" t="s">
        <v>34</v>
      </c>
      <c r="C33" s="39"/>
      <c r="D33" s="39"/>
      <c r="E33" s="39"/>
      <c r="F33" s="39"/>
      <c r="G33" s="39"/>
      <c r="H33" s="39"/>
      <c r="I33" s="39"/>
      <c r="J33" s="21"/>
      <c r="K33" s="34"/>
      <c r="L33" s="21"/>
    </row>
    <row r="34" spans="1:14">
      <c r="B34" s="39"/>
      <c r="C34" s="39"/>
      <c r="D34" s="39"/>
      <c r="E34" s="39"/>
      <c r="F34" s="39"/>
      <c r="G34" s="39"/>
      <c r="H34" s="39"/>
      <c r="I34" s="39"/>
      <c r="J34" s="21"/>
      <c r="K34" s="21"/>
      <c r="L34" s="21"/>
      <c r="M34" s="21"/>
      <c r="N34" s="21"/>
    </row>
    <row r="38" spans="1:14">
      <c r="C38" s="36"/>
    </row>
    <row r="39" spans="1:14">
      <c r="C39" s="36"/>
    </row>
    <row r="40" spans="1:14">
      <c r="C40" s="36"/>
    </row>
    <row r="41" spans="1:14">
      <c r="C41" s="36"/>
    </row>
    <row r="42" spans="1:14">
      <c r="C42" s="36"/>
    </row>
    <row r="43" spans="1:14">
      <c r="C43" s="36"/>
    </row>
  </sheetData>
  <mergeCells count="8">
    <mergeCell ref="B30:I30"/>
    <mergeCell ref="B33:I34"/>
    <mergeCell ref="B32:I32"/>
    <mergeCell ref="A2:G2"/>
    <mergeCell ref="A1:G1"/>
    <mergeCell ref="B29:I29"/>
    <mergeCell ref="B27:I27"/>
    <mergeCell ref="B28:I28"/>
  </mergeCells>
  <phoneticPr fontId="31" type="noConversion"/>
  <printOptions horizontalCentered="1" verticalCentered="1"/>
  <pageMargins left="0.70866141732283472" right="0.70866141732283472" top="0.74803149606299213" bottom="0.74803149606299213" header="0.31496062992125984" footer="0.31496062992125984"/>
  <pageSetup paperSize="9" scale="49" orientation="landscape" r:id="rId1"/>
  <rowBreaks count="1" manualBreakCount="1">
    <brk id="33" max="16383" man="1"/>
  </rowBreaks>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5"/>
  <sheetViews>
    <sheetView showGridLines="0" view="pageBreakPreview" topLeftCell="B1" zoomScale="90" zoomScaleNormal="100" zoomScaleSheetLayoutView="90" workbookViewId="0">
      <selection activeCell="P4" sqref="P4"/>
    </sheetView>
  </sheetViews>
  <sheetFormatPr defaultColWidth="9.1796875" defaultRowHeight="14.5"/>
  <cols>
    <col min="1" max="1" width="31.7265625" style="1" customWidth="1"/>
    <col min="2" max="15" width="15.54296875" style="1" customWidth="1"/>
    <col min="16" max="16" width="12.81640625" style="1" customWidth="1"/>
    <col min="17" max="16384" width="9.1796875" style="1"/>
  </cols>
  <sheetData>
    <row r="1" spans="1:16" ht="28.5">
      <c r="A1" s="42" t="s">
        <v>35</v>
      </c>
      <c r="B1" s="42"/>
      <c r="C1" s="42"/>
      <c r="D1" s="42"/>
      <c r="E1" s="42"/>
      <c r="F1" s="42"/>
      <c r="G1" s="42"/>
      <c r="H1" s="24"/>
    </row>
    <row r="2" spans="1:16">
      <c r="A2" s="41" t="s">
        <v>36</v>
      </c>
      <c r="B2" s="41"/>
      <c r="C2" s="41"/>
      <c r="D2" s="41"/>
      <c r="E2" s="41"/>
      <c r="F2" s="41"/>
      <c r="G2" s="41"/>
      <c r="H2" s="23"/>
    </row>
    <row r="3" spans="1:16">
      <c r="A3" s="23"/>
      <c r="B3" s="23"/>
      <c r="C3" s="23"/>
      <c r="D3" s="23"/>
      <c r="E3" s="23"/>
      <c r="F3" s="23"/>
      <c r="G3" s="23"/>
      <c r="H3" s="23"/>
    </row>
    <row r="4" spans="1:16">
      <c r="A4" s="7" t="s">
        <v>2</v>
      </c>
      <c r="B4" s="8" t="s">
        <v>3</v>
      </c>
      <c r="C4" s="8" t="s">
        <v>4</v>
      </c>
      <c r="D4" s="8" t="s">
        <v>5</v>
      </c>
      <c r="E4" s="8" t="s">
        <v>6</v>
      </c>
      <c r="F4" s="8" t="s">
        <v>7</v>
      </c>
      <c r="G4" s="8" t="s">
        <v>8</v>
      </c>
      <c r="H4" s="8" t="s">
        <v>9</v>
      </c>
      <c r="I4" s="8" t="s">
        <v>10</v>
      </c>
      <c r="J4" s="8" t="s">
        <v>11</v>
      </c>
      <c r="K4" s="8" t="s">
        <v>12</v>
      </c>
      <c r="L4" s="8" t="s">
        <v>13</v>
      </c>
      <c r="M4" s="8" t="s">
        <v>14</v>
      </c>
      <c r="N4" s="8" t="s">
        <v>15</v>
      </c>
      <c r="O4" s="8" t="s">
        <v>16</v>
      </c>
      <c r="P4" s="8" t="s">
        <v>17</v>
      </c>
    </row>
    <row r="5" spans="1:16">
      <c r="A5" s="16"/>
      <c r="B5" s="5"/>
      <c r="C5" s="4"/>
      <c r="D5" s="5"/>
      <c r="E5" s="4"/>
      <c r="F5" s="5"/>
      <c r="G5" s="4"/>
      <c r="H5" s="5"/>
      <c r="I5" s="4"/>
      <c r="J5" s="6"/>
      <c r="K5" s="4"/>
      <c r="L5" s="6"/>
      <c r="M5" s="4"/>
      <c r="N5" s="6"/>
      <c r="O5" s="4"/>
      <c r="P5" s="6"/>
    </row>
    <row r="6" spans="1:16">
      <c r="A6" s="17" t="s">
        <v>18</v>
      </c>
      <c r="B6" s="5"/>
      <c r="C6" s="4"/>
      <c r="D6" s="5"/>
      <c r="E6" s="4"/>
      <c r="F6" s="5"/>
      <c r="G6" s="4"/>
      <c r="H6" s="5"/>
      <c r="I6" s="4"/>
      <c r="J6" s="6"/>
      <c r="K6" s="4"/>
      <c r="L6" s="6"/>
      <c r="M6" s="4"/>
      <c r="N6" s="6"/>
      <c r="O6" s="4"/>
      <c r="P6" s="6"/>
    </row>
    <row r="7" spans="1:16">
      <c r="A7" s="18" t="s">
        <v>19</v>
      </c>
      <c r="B7" s="5">
        <v>272.79300000000001</v>
      </c>
      <c r="C7" s="4">
        <v>280.28622174657556</v>
      </c>
      <c r="D7" s="5">
        <v>289.53039540816343</v>
      </c>
      <c r="E7" s="4">
        <v>300.30782175732219</v>
      </c>
      <c r="F7" s="5">
        <v>313.40333916666663</v>
      </c>
      <c r="G7" s="4">
        <v>328.65617178423264</v>
      </c>
      <c r="H7" s="5">
        <v>318.72707585644383</v>
      </c>
      <c r="I7" s="4">
        <v>325.29775713401756</v>
      </c>
      <c r="J7" s="5">
        <v>303.38750205495916</v>
      </c>
      <c r="K7" s="4">
        <v>284.02168629082382</v>
      </c>
      <c r="L7" s="5">
        <v>335.680646226401</v>
      </c>
      <c r="M7" s="4">
        <v>309.04656712936628</v>
      </c>
      <c r="N7" s="5">
        <v>287.95043933830107</v>
      </c>
      <c r="O7" s="4">
        <v>275.4968616833134</v>
      </c>
      <c r="P7" s="5">
        <v>284.26258076719802</v>
      </c>
    </row>
    <row r="8" spans="1:16">
      <c r="A8" s="18" t="s">
        <v>20</v>
      </c>
      <c r="B8" s="5">
        <v>1260.6079999999999</v>
      </c>
      <c r="C8" s="4">
        <v>1323.80215410959</v>
      </c>
      <c r="D8" s="5">
        <v>1399.2409719387763</v>
      </c>
      <c r="E8" s="4">
        <v>1473.9715263598328</v>
      </c>
      <c r="F8" s="5">
        <v>1684.9892366666666</v>
      </c>
      <c r="G8" s="4">
        <v>1851.0262099585077</v>
      </c>
      <c r="H8" s="5">
        <v>1799.5464616639483</v>
      </c>
      <c r="I8" s="4">
        <v>1778.2035358689805</v>
      </c>
      <c r="J8" s="5">
        <v>1761.6214583570447</v>
      </c>
      <c r="K8" s="4">
        <v>1670.7844638063236</v>
      </c>
      <c r="L8" s="5">
        <v>1899.6094915162248</v>
      </c>
      <c r="M8" s="4">
        <v>1753.6598926784447</v>
      </c>
      <c r="N8" s="5">
        <v>1702.098911226831</v>
      </c>
      <c r="O8" s="4">
        <v>1668.0057195570046</v>
      </c>
      <c r="P8" s="5">
        <v>1765.5880349474601</v>
      </c>
    </row>
    <row r="9" spans="1:16">
      <c r="A9" s="18" t="s">
        <v>21</v>
      </c>
      <c r="B9" s="5">
        <v>1533.4010000000001</v>
      </c>
      <c r="C9" s="4">
        <v>1604.0883758561654</v>
      </c>
      <c r="D9" s="5">
        <v>1688.7713673469395</v>
      </c>
      <c r="E9" s="4">
        <v>1774.279348117155</v>
      </c>
      <c r="F9" s="5">
        <v>1998.3925758333332</v>
      </c>
      <c r="G9" s="4">
        <v>2179.6823817427407</v>
      </c>
      <c r="H9" s="5">
        <v>2118.273537520392</v>
      </c>
      <c r="I9" s="4">
        <v>2103.501293002998</v>
      </c>
      <c r="J9" s="5">
        <v>2065.0089604120039</v>
      </c>
      <c r="K9" s="4">
        <v>1954.8061500971473</v>
      </c>
      <c r="L9" s="5">
        <v>2235.1069759342408</v>
      </c>
      <c r="M9" s="4">
        <v>2062.7064598078109</v>
      </c>
      <c r="N9" s="5">
        <v>1990.049350565132</v>
      </c>
      <c r="O9" s="4">
        <v>1943.5025812403176</v>
      </c>
      <c r="P9" s="5">
        <v>2049.8506157146599</v>
      </c>
    </row>
    <row r="10" spans="1:16">
      <c r="A10" s="16"/>
      <c r="B10" s="5"/>
      <c r="C10" s="4"/>
      <c r="D10" s="5"/>
      <c r="E10" s="4"/>
      <c r="F10" s="5"/>
      <c r="G10" s="4"/>
      <c r="H10" s="5"/>
      <c r="I10" s="4"/>
      <c r="J10" s="5"/>
      <c r="K10" s="4"/>
      <c r="L10" s="5"/>
      <c r="M10" s="4"/>
      <c r="N10" s="5"/>
      <c r="O10" s="4"/>
      <c r="P10" s="5"/>
    </row>
    <row r="11" spans="1:16">
      <c r="A11" s="17" t="s">
        <v>22</v>
      </c>
      <c r="B11" s="5"/>
      <c r="C11" s="4"/>
      <c r="D11" s="5"/>
      <c r="E11" s="4"/>
      <c r="F11" s="5"/>
      <c r="G11" s="4"/>
      <c r="H11" s="5"/>
      <c r="I11" s="4"/>
      <c r="J11" s="5"/>
      <c r="K11" s="4"/>
      <c r="L11" s="5"/>
      <c r="M11" s="4"/>
      <c r="N11" s="5"/>
      <c r="O11" s="4"/>
      <c r="P11" s="5"/>
    </row>
    <row r="12" spans="1:16">
      <c r="A12" s="18" t="s">
        <v>19</v>
      </c>
      <c r="B12" s="5">
        <v>404.47699999999998</v>
      </c>
      <c r="C12" s="4">
        <v>414.79539640410985</v>
      </c>
      <c r="D12" s="5">
        <v>424.8472517006806</v>
      </c>
      <c r="E12" s="4">
        <v>448.335079497908</v>
      </c>
      <c r="F12" s="5">
        <v>405.31349083333333</v>
      </c>
      <c r="G12" s="4">
        <v>419.84409460580946</v>
      </c>
      <c r="H12" s="5">
        <v>523.43491598694948</v>
      </c>
      <c r="I12" s="4">
        <v>521.24087062737578</v>
      </c>
      <c r="J12" s="5">
        <v>484.9062614603489</v>
      </c>
      <c r="K12" s="4">
        <v>568.58328464298711</v>
      </c>
      <c r="L12" s="5">
        <v>605.70040074419626</v>
      </c>
      <c r="M12" s="4">
        <v>531.44327259085037</v>
      </c>
      <c r="N12" s="5">
        <v>544.67099388685187</v>
      </c>
      <c r="O12" s="4">
        <v>587.53730044527913</v>
      </c>
      <c r="P12" s="5">
        <v>545.03120028785895</v>
      </c>
    </row>
    <row r="13" spans="1:16">
      <c r="A13" s="18" t="s">
        <v>23</v>
      </c>
      <c r="B13" s="5">
        <v>521.471</v>
      </c>
      <c r="C13" s="4">
        <v>524.41817465753456</v>
      </c>
      <c r="D13" s="5">
        <v>506.61547193877573</v>
      </c>
      <c r="E13" s="4">
        <v>508.98898912133893</v>
      </c>
      <c r="F13" s="5">
        <v>456.33622666666662</v>
      </c>
      <c r="G13" s="4">
        <v>515.56592116182617</v>
      </c>
      <c r="H13" s="5">
        <v>615.31071941272444</v>
      </c>
      <c r="I13" s="4">
        <v>637.7116522955024</v>
      </c>
      <c r="J13" s="5">
        <v>589.85755339732168</v>
      </c>
      <c r="K13" s="4">
        <v>679.25353959343181</v>
      </c>
      <c r="L13" s="5">
        <v>709.69269795225466</v>
      </c>
      <c r="M13" s="4">
        <v>652.71975205601302</v>
      </c>
      <c r="N13" s="5">
        <v>620.87844469210972</v>
      </c>
      <c r="O13" s="4">
        <v>681.78385761334619</v>
      </c>
      <c r="P13" s="5">
        <v>630.59605713248698</v>
      </c>
    </row>
    <row r="14" spans="1:16">
      <c r="A14" s="18" t="s">
        <v>21</v>
      </c>
      <c r="B14" s="5">
        <v>925.94799999999998</v>
      </c>
      <c r="C14" s="4">
        <v>939.21357106164453</v>
      </c>
      <c r="D14" s="5">
        <v>931.46272363945639</v>
      </c>
      <c r="E14" s="4">
        <v>957.32406861924687</v>
      </c>
      <c r="F14" s="5">
        <v>861.64971749999995</v>
      </c>
      <c r="G14" s="4">
        <v>935.41001576763563</v>
      </c>
      <c r="H14" s="5">
        <v>1138.745635399674</v>
      </c>
      <c r="I14" s="4">
        <v>1158.9525229228782</v>
      </c>
      <c r="J14" s="5">
        <v>1074.7638148576707</v>
      </c>
      <c r="K14" s="4">
        <v>1247.836824236419</v>
      </c>
      <c r="L14" s="5">
        <v>1315.393098696451</v>
      </c>
      <c r="M14" s="4">
        <v>1184.1630246468635</v>
      </c>
      <c r="N14" s="5">
        <v>1165.5494385789616</v>
      </c>
      <c r="O14" s="4">
        <v>1269.3211580586253</v>
      </c>
      <c r="P14" s="5">
        <v>1175.6272574203499</v>
      </c>
    </row>
    <row r="15" spans="1:16">
      <c r="A15" s="16"/>
      <c r="B15" s="5"/>
      <c r="C15" s="4"/>
      <c r="D15" s="5"/>
      <c r="E15" s="4"/>
      <c r="F15" s="5"/>
      <c r="G15" s="4"/>
      <c r="H15" s="5"/>
      <c r="I15" s="4"/>
      <c r="J15" s="5"/>
      <c r="K15" s="4"/>
      <c r="L15" s="5"/>
      <c r="M15" s="4"/>
      <c r="N15" s="5"/>
      <c r="O15" s="4"/>
      <c r="P15" s="5"/>
    </row>
    <row r="16" spans="1:16">
      <c r="A16" s="17" t="s">
        <v>24</v>
      </c>
      <c r="B16" s="5"/>
      <c r="C16" s="4"/>
      <c r="D16" s="5"/>
      <c r="E16" s="4"/>
      <c r="F16" s="5"/>
      <c r="G16" s="4"/>
      <c r="H16" s="5"/>
      <c r="I16" s="4"/>
      <c r="J16" s="5"/>
      <c r="K16" s="4"/>
      <c r="L16" s="5"/>
      <c r="M16" s="4"/>
      <c r="N16" s="5"/>
      <c r="O16" s="4"/>
      <c r="P16" s="5"/>
    </row>
    <row r="17" spans="1:16">
      <c r="A17" s="18" t="s">
        <v>19</v>
      </c>
      <c r="B17" s="5">
        <v>856.09935633000009</v>
      </c>
      <c r="C17" s="4">
        <v>845.91207623000037</v>
      </c>
      <c r="D17" s="5">
        <v>813.42137441245734</v>
      </c>
      <c r="E17" s="4">
        <v>780.63267384977416</v>
      </c>
      <c r="F17" s="5">
        <v>788.79739215333325</v>
      </c>
      <c r="G17" s="4">
        <v>809.88383315738656</v>
      </c>
      <c r="H17" s="5">
        <v>820.95126158860637</v>
      </c>
      <c r="I17" s="4">
        <v>832.08716422055807</v>
      </c>
      <c r="J17" s="5">
        <v>844.84534765511796</v>
      </c>
      <c r="K17" s="4">
        <v>723.25821261105705</v>
      </c>
      <c r="L17" s="5">
        <v>860.55717157344134</v>
      </c>
      <c r="M17" s="4">
        <v>677.41894116057074</v>
      </c>
      <c r="N17" s="5">
        <v>820.6553747639357</v>
      </c>
      <c r="O17" s="4">
        <v>769.06843796269527</v>
      </c>
      <c r="P17" s="5">
        <v>733.70106001023998</v>
      </c>
    </row>
    <row r="18" spans="1:16">
      <c r="A18" s="18" t="s">
        <v>23</v>
      </c>
      <c r="B18" s="5">
        <v>8364.9811452200011</v>
      </c>
      <c r="C18" s="4">
        <v>8315.855597554937</v>
      </c>
      <c r="D18" s="5">
        <v>8034.1842781647747</v>
      </c>
      <c r="E18" s="4">
        <v>7722.0107653688638</v>
      </c>
      <c r="F18" s="5">
        <v>7849.0062068491661</v>
      </c>
      <c r="G18" s="4">
        <v>8209.4190871369356</v>
      </c>
      <c r="H18" s="5">
        <v>8428.1382594608203</v>
      </c>
      <c r="I18" s="4">
        <v>8510.9477780570596</v>
      </c>
      <c r="J18" s="5">
        <v>8632.4139545708022</v>
      </c>
      <c r="K18" s="4">
        <v>7399.0327322263747</v>
      </c>
      <c r="L18" s="5">
        <v>8789.0433974844582</v>
      </c>
      <c r="M18" s="4">
        <v>6917.2448261271948</v>
      </c>
      <c r="N18" s="5">
        <v>8320.0109326093152</v>
      </c>
      <c r="O18" s="4">
        <v>7800.9229290273979</v>
      </c>
      <c r="P18" s="5">
        <v>7451.5544432168999</v>
      </c>
    </row>
    <row r="19" spans="1:16">
      <c r="A19" s="18" t="s">
        <v>21</v>
      </c>
      <c r="B19" s="5">
        <v>9221.5513823900001</v>
      </c>
      <c r="C19" s="4">
        <v>9158.3570087594253</v>
      </c>
      <c r="D19" s="5">
        <v>8849.8697230686612</v>
      </c>
      <c r="E19" s="4">
        <v>8504.1237326510891</v>
      </c>
      <c r="F19" s="5">
        <v>8628.5680962216666</v>
      </c>
      <c r="G19" s="4">
        <v>9018.8390041493858</v>
      </c>
      <c r="H19" s="5">
        <v>9249.1735480423013</v>
      </c>
      <c r="I19" s="4">
        <v>9343.3575917535272</v>
      </c>
      <c r="J19" s="5">
        <v>9477.6993476328626</v>
      </c>
      <c r="K19" s="4">
        <v>8122.4260026948541</v>
      </c>
      <c r="L19" s="5">
        <v>9649.6340148750969</v>
      </c>
      <c r="M19" s="4">
        <v>7596.0275875669868</v>
      </c>
      <c r="N19" s="5">
        <v>9140.6663073732489</v>
      </c>
      <c r="O19" s="4">
        <v>8569.9362464833375</v>
      </c>
      <c r="P19" s="5">
        <v>8185.2450530448896</v>
      </c>
    </row>
    <row r="20" spans="1:16">
      <c r="A20" s="16"/>
      <c r="B20" s="5"/>
      <c r="C20" s="4"/>
      <c r="D20" s="5"/>
      <c r="E20" s="4"/>
      <c r="F20" s="5"/>
      <c r="G20" s="4"/>
      <c r="H20" s="5"/>
      <c r="I20" s="4"/>
      <c r="J20" s="5"/>
      <c r="K20" s="4"/>
      <c r="L20" s="5"/>
      <c r="M20" s="4"/>
      <c r="N20" s="5"/>
      <c r="O20" s="4"/>
      <c r="P20" s="5"/>
    </row>
    <row r="21" spans="1:16">
      <c r="A21" s="17" t="s">
        <v>25</v>
      </c>
      <c r="B21" s="5"/>
      <c r="C21" s="4"/>
      <c r="D21" s="5"/>
      <c r="E21" s="4"/>
      <c r="F21" s="5"/>
      <c r="G21" s="4"/>
      <c r="H21" s="5"/>
      <c r="I21" s="4"/>
      <c r="J21" s="5"/>
      <c r="K21" s="4"/>
      <c r="L21" s="5"/>
      <c r="M21" s="4"/>
      <c r="N21" s="5"/>
      <c r="O21" s="4"/>
      <c r="P21" s="5"/>
    </row>
    <row r="22" spans="1:16">
      <c r="A22" s="18" t="s">
        <v>19</v>
      </c>
      <c r="B22" s="5">
        <v>448.33651662288128</v>
      </c>
      <c r="C22" s="4">
        <v>478.11667522660127</v>
      </c>
      <c r="D22" s="5">
        <v>481.66339940126142</v>
      </c>
      <c r="E22" s="4">
        <v>470.21183528431226</v>
      </c>
      <c r="F22" s="5">
        <v>508.21599482333329</v>
      </c>
      <c r="G22" s="4">
        <v>562.29395824390542</v>
      </c>
      <c r="H22" s="5">
        <v>539.39968705872775</v>
      </c>
      <c r="I22" s="4">
        <v>537.31503141142707</v>
      </c>
      <c r="J22" s="5">
        <v>563.28109554956234</v>
      </c>
      <c r="K22" s="4">
        <v>453.84715397043692</v>
      </c>
      <c r="L22" s="5">
        <v>487.27172155525852</v>
      </c>
      <c r="M22" s="4">
        <v>314.53722990460784</v>
      </c>
      <c r="N22" s="5">
        <v>463.38822851287375</v>
      </c>
      <c r="O22" s="4">
        <v>439.53543325161348</v>
      </c>
      <c r="P22" s="5">
        <v>393.90826081902702</v>
      </c>
    </row>
    <row r="23" spans="1:16">
      <c r="A23" s="16"/>
      <c r="B23" s="5"/>
      <c r="C23" s="4"/>
      <c r="D23" s="5"/>
      <c r="E23" s="4"/>
      <c r="F23" s="5"/>
      <c r="G23" s="4"/>
      <c r="H23" s="5"/>
      <c r="I23" s="4"/>
      <c r="J23" s="5"/>
      <c r="K23" s="4"/>
      <c r="L23" s="5"/>
      <c r="M23" s="4"/>
      <c r="N23" s="5"/>
      <c r="O23" s="4"/>
      <c r="P23" s="5"/>
    </row>
    <row r="24" spans="1:16">
      <c r="A24" s="17" t="s">
        <v>26</v>
      </c>
      <c r="B24" s="5"/>
      <c r="C24" s="4"/>
      <c r="D24" s="5"/>
      <c r="E24" s="4"/>
      <c r="F24" s="5"/>
      <c r="G24" s="4"/>
      <c r="H24" s="5"/>
      <c r="I24" s="4"/>
      <c r="J24" s="5"/>
      <c r="K24" s="4"/>
      <c r="L24" s="5"/>
      <c r="M24" s="4"/>
      <c r="N24" s="5"/>
      <c r="O24" s="4"/>
      <c r="P24" s="5"/>
    </row>
    <row r="25" spans="1:16">
      <c r="A25" s="19" t="s">
        <v>19</v>
      </c>
      <c r="B25" s="10">
        <v>1981.7058729528812</v>
      </c>
      <c r="C25" s="9">
        <v>2019.1103696072873</v>
      </c>
      <c r="D25" s="10">
        <v>2009.4624209225628</v>
      </c>
      <c r="E25" s="9">
        <v>1999.4874103893164</v>
      </c>
      <c r="F25" s="10">
        <v>2015.7302169766665</v>
      </c>
      <c r="G25" s="9">
        <v>2120.6780577913341</v>
      </c>
      <c r="H25" s="10">
        <v>2202.512940490727</v>
      </c>
      <c r="I25" s="9">
        <v>2215.9408233933787</v>
      </c>
      <c r="J25" s="10">
        <v>2196.6323606964925</v>
      </c>
      <c r="K25" s="9">
        <v>2029.7100355701605</v>
      </c>
      <c r="L25" s="10">
        <v>2289.209940099297</v>
      </c>
      <c r="M25" s="9">
        <v>1832.4460107853954</v>
      </c>
      <c r="N25" s="10">
        <v>2116.6650365019623</v>
      </c>
      <c r="O25" s="9">
        <v>2071.6380333429015</v>
      </c>
      <c r="P25" s="10">
        <v>1956.9031018843234</v>
      </c>
    </row>
    <row r="26" spans="1:16">
      <c r="L26" s="27"/>
    </row>
    <row r="27" spans="1:16" ht="15" customHeight="1">
      <c r="A27" s="2" t="s">
        <v>27</v>
      </c>
      <c r="B27" s="39" t="s">
        <v>28</v>
      </c>
      <c r="C27" s="39"/>
      <c r="D27" s="39"/>
      <c r="E27" s="39"/>
      <c r="F27" s="39"/>
      <c r="G27" s="39"/>
      <c r="H27" s="39"/>
      <c r="I27" s="39"/>
      <c r="J27" s="21"/>
      <c r="K27" s="21"/>
      <c r="L27" s="29"/>
    </row>
    <row r="28" spans="1:16" ht="15" customHeight="1">
      <c r="A28" s="2"/>
      <c r="B28" s="39" t="s">
        <v>29</v>
      </c>
      <c r="C28" s="39"/>
      <c r="D28" s="39"/>
      <c r="E28" s="39"/>
      <c r="F28" s="39"/>
      <c r="G28" s="39"/>
      <c r="H28" s="39"/>
      <c r="I28" s="39"/>
      <c r="J28" s="21"/>
      <c r="K28" s="21"/>
      <c r="L28" s="21"/>
    </row>
    <row r="29" spans="1:16" ht="15" customHeight="1">
      <c r="A29" s="2"/>
      <c r="B29" s="38" t="s">
        <v>30</v>
      </c>
      <c r="C29" s="38"/>
      <c r="D29" s="38"/>
      <c r="E29" s="38"/>
      <c r="F29" s="38"/>
      <c r="G29" s="38"/>
      <c r="H29" s="38"/>
      <c r="I29" s="38"/>
      <c r="J29" s="20"/>
      <c r="K29" s="20"/>
      <c r="L29" s="20"/>
    </row>
    <row r="30" spans="1:16" ht="15" customHeight="1">
      <c r="A30" s="2"/>
      <c r="B30" s="38" t="s">
        <v>31</v>
      </c>
      <c r="C30" s="38"/>
      <c r="D30" s="38"/>
      <c r="E30" s="38"/>
      <c r="F30" s="38"/>
      <c r="G30" s="38"/>
      <c r="H30" s="38"/>
      <c r="I30" s="38"/>
      <c r="J30" s="20"/>
      <c r="K30" s="20"/>
      <c r="L30" s="20"/>
    </row>
    <row r="31" spans="1:16" ht="14.5" customHeight="1">
      <c r="A31" s="2"/>
      <c r="B31" s="32" t="s">
        <v>37</v>
      </c>
      <c r="C31" s="32"/>
      <c r="D31" s="32"/>
      <c r="E31" s="32"/>
      <c r="F31" s="32"/>
      <c r="G31" s="32"/>
      <c r="H31" s="20"/>
    </row>
    <row r="32" spans="1:16">
      <c r="B32" s="43"/>
      <c r="C32" s="43"/>
      <c r="D32" s="43"/>
      <c r="E32" s="43"/>
      <c r="F32" s="43"/>
      <c r="G32" s="43"/>
      <c r="H32" s="25"/>
    </row>
    <row r="33" spans="1:12">
      <c r="A33" s="2"/>
      <c r="B33" s="20"/>
      <c r="C33" s="20"/>
      <c r="D33" s="20"/>
      <c r="E33" s="20"/>
      <c r="F33" s="20"/>
      <c r="G33" s="20"/>
      <c r="H33" s="20"/>
    </row>
    <row r="34" spans="1:12">
      <c r="A34" s="2"/>
      <c r="B34" s="20"/>
      <c r="C34" s="20"/>
      <c r="D34" s="20"/>
      <c r="E34" s="20"/>
      <c r="F34" s="20"/>
      <c r="G34" s="20"/>
      <c r="H34" s="20"/>
    </row>
    <row r="35" spans="1:12">
      <c r="A35" s="2" t="s">
        <v>32</v>
      </c>
      <c r="B35" s="40" t="s">
        <v>33</v>
      </c>
      <c r="C35" s="40"/>
      <c r="D35" s="40"/>
      <c r="E35" s="40"/>
      <c r="F35" s="40"/>
      <c r="G35" s="40"/>
      <c r="H35" s="40"/>
      <c r="I35" s="40"/>
      <c r="J35" s="22"/>
      <c r="K35" s="22"/>
      <c r="L35" s="22"/>
    </row>
    <row r="36" spans="1:12" ht="15" customHeight="1">
      <c r="A36" s="2"/>
      <c r="B36" s="39" t="s">
        <v>34</v>
      </c>
      <c r="C36" s="39"/>
      <c r="D36" s="39"/>
      <c r="E36" s="39"/>
      <c r="F36" s="39"/>
      <c r="G36" s="39"/>
      <c r="H36" s="39"/>
      <c r="I36" s="39"/>
      <c r="J36" s="21"/>
      <c r="K36" s="21"/>
      <c r="L36" s="21"/>
    </row>
    <row r="37" spans="1:12">
      <c r="B37" s="39"/>
      <c r="C37" s="39"/>
      <c r="D37" s="39"/>
      <c r="E37" s="39"/>
      <c r="F37" s="39"/>
      <c r="G37" s="39"/>
      <c r="H37" s="39"/>
      <c r="I37" s="39"/>
      <c r="J37" s="21"/>
      <c r="K37" s="21"/>
      <c r="L37" s="21"/>
    </row>
    <row r="45" spans="1:12">
      <c r="A45" s="13"/>
    </row>
  </sheetData>
  <mergeCells count="9">
    <mergeCell ref="B35:I35"/>
    <mergeCell ref="B36:I37"/>
    <mergeCell ref="B32:G32"/>
    <mergeCell ref="A1:G1"/>
    <mergeCell ref="A2:G2"/>
    <mergeCell ref="B27:I27"/>
    <mergeCell ref="B28:I28"/>
    <mergeCell ref="B29:I29"/>
    <mergeCell ref="B30:I30"/>
  </mergeCells>
  <phoneticPr fontId="31" type="noConversion"/>
  <pageMargins left="0.7" right="0.7" top="0.75" bottom="0.75" header="0.3" footer="0.3"/>
  <pageSetup paperSize="9" scale="4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40"/>
  <sheetViews>
    <sheetView showGridLines="0" view="pageBreakPreview" topLeftCell="B1" zoomScale="90" zoomScaleNormal="100" zoomScaleSheetLayoutView="90" workbookViewId="0">
      <selection activeCell="O39" sqref="O39"/>
    </sheetView>
  </sheetViews>
  <sheetFormatPr defaultColWidth="9.1796875" defaultRowHeight="14.5"/>
  <cols>
    <col min="1" max="1" width="31.7265625" style="1" customWidth="1"/>
    <col min="2" max="15" width="15.7265625" style="1" customWidth="1"/>
    <col min="16" max="16" width="16.26953125" style="1" customWidth="1"/>
    <col min="17" max="16384" width="9.1796875" style="1"/>
  </cols>
  <sheetData>
    <row r="1" spans="1:16" ht="28.5">
      <c r="A1" s="42" t="s">
        <v>38</v>
      </c>
      <c r="B1" s="42"/>
      <c r="C1" s="42"/>
      <c r="D1" s="42"/>
      <c r="E1" s="42"/>
      <c r="F1" s="42"/>
      <c r="G1" s="42"/>
      <c r="H1" s="24"/>
    </row>
    <row r="2" spans="1:16" ht="14.5" customHeight="1">
      <c r="A2" s="44" t="s">
        <v>39</v>
      </c>
      <c r="B2" s="44"/>
      <c r="C2" s="44"/>
      <c r="D2" s="44"/>
      <c r="E2" s="44"/>
      <c r="F2" s="44"/>
      <c r="G2" s="44"/>
      <c r="H2" s="44"/>
      <c r="I2" s="44"/>
      <c r="J2" s="44"/>
      <c r="K2" s="44"/>
    </row>
    <row r="3" spans="1:16">
      <c r="A3" s="37"/>
      <c r="B3" s="37"/>
      <c r="C3" s="37"/>
      <c r="D3" s="37"/>
      <c r="E3" s="37"/>
      <c r="F3" s="37"/>
      <c r="G3" s="23"/>
      <c r="H3" s="23"/>
    </row>
    <row r="4" spans="1:16">
      <c r="A4" s="7" t="s">
        <v>2</v>
      </c>
      <c r="B4" s="8" t="s">
        <v>3</v>
      </c>
      <c r="C4" s="8" t="s">
        <v>4</v>
      </c>
      <c r="D4" s="8" t="s">
        <v>5</v>
      </c>
      <c r="E4" s="8" t="s">
        <v>6</v>
      </c>
      <c r="F4" s="8" t="s">
        <v>7</v>
      </c>
      <c r="G4" s="8" t="s">
        <v>8</v>
      </c>
      <c r="H4" s="8" t="s">
        <v>9</v>
      </c>
      <c r="I4" s="8" t="s">
        <v>10</v>
      </c>
      <c r="J4" s="8" t="s">
        <v>11</v>
      </c>
      <c r="K4" s="8" t="s">
        <v>12</v>
      </c>
      <c r="L4" s="8" t="s">
        <v>13</v>
      </c>
      <c r="M4" s="8" t="s">
        <v>14</v>
      </c>
      <c r="N4" s="8" t="s">
        <v>15</v>
      </c>
      <c r="O4" s="8" t="s">
        <v>16</v>
      </c>
      <c r="P4" s="8" t="s">
        <v>17</v>
      </c>
    </row>
    <row r="5" spans="1:16">
      <c r="A5" s="16"/>
      <c r="B5" s="5"/>
      <c r="C5" s="4"/>
      <c r="D5" s="5"/>
      <c r="E5" s="4"/>
      <c r="F5" s="5"/>
      <c r="G5" s="4"/>
      <c r="H5" s="5"/>
      <c r="I5" s="4"/>
      <c r="J5" s="5"/>
      <c r="K5" s="4"/>
      <c r="L5" s="5"/>
      <c r="M5" s="4"/>
      <c r="N5" s="5"/>
      <c r="O5" s="4"/>
      <c r="P5" s="5"/>
    </row>
    <row r="6" spans="1:16">
      <c r="A6" s="17" t="s">
        <v>18</v>
      </c>
      <c r="B6" s="5"/>
      <c r="C6" s="4"/>
      <c r="D6" s="5"/>
      <c r="E6" s="4"/>
      <c r="F6" s="5"/>
      <c r="G6" s="4"/>
      <c r="H6" s="5"/>
      <c r="I6" s="4"/>
      <c r="J6" s="5"/>
      <c r="K6" s="4"/>
      <c r="L6" s="5"/>
      <c r="M6" s="4"/>
      <c r="N6" s="5"/>
      <c r="O6" s="4"/>
      <c r="P6" s="5"/>
    </row>
    <row r="7" spans="1:16">
      <c r="A7" s="18" t="s">
        <v>19</v>
      </c>
      <c r="B7" s="5">
        <v>83.014211375186392</v>
      </c>
      <c r="C7" s="4">
        <v>84.640260228469131</v>
      </c>
      <c r="D7" s="5">
        <v>86.507034990039571</v>
      </c>
      <c r="E7" s="4">
        <v>87.824712451693927</v>
      </c>
      <c r="F7" s="5">
        <v>89.385471212899049</v>
      </c>
      <c r="G7" s="4">
        <v>91.273098140477842</v>
      </c>
      <c r="H7" s="5">
        <v>86.439149474261342</v>
      </c>
      <c r="I7" s="4">
        <v>86.382111937441607</v>
      </c>
      <c r="J7" s="5">
        <v>79.091608763252211</v>
      </c>
      <c r="K7" s="4">
        <v>72.169149101975307</v>
      </c>
      <c r="L7" s="5">
        <v>84.727188022514696</v>
      </c>
      <c r="M7" s="4">
        <v>77.973146746402492</v>
      </c>
      <c r="N7" s="5">
        <v>70.843487511268279</v>
      </c>
      <c r="O7" s="4">
        <v>67.047016600911988</v>
      </c>
      <c r="P7" s="5">
        <v>60.105166345288801</v>
      </c>
    </row>
    <row r="8" spans="1:16">
      <c r="A8" s="18" t="s">
        <v>20</v>
      </c>
      <c r="B8" s="5">
        <v>383.61827089863363</v>
      </c>
      <c r="C8" s="4">
        <v>399.7590681291228</v>
      </c>
      <c r="D8" s="5">
        <v>418.0707436549572</v>
      </c>
      <c r="E8" s="4">
        <v>431.0614512370102</v>
      </c>
      <c r="F8" s="5">
        <v>480.57419333371359</v>
      </c>
      <c r="G8" s="4">
        <v>514.05971171920339</v>
      </c>
      <c r="H8" s="5">
        <v>488.03906968891823</v>
      </c>
      <c r="I8" s="4">
        <v>472.19808164771905</v>
      </c>
      <c r="J8" s="5">
        <v>459.24592881906324</v>
      </c>
      <c r="K8" s="4">
        <v>424.54185333663412</v>
      </c>
      <c r="L8" s="5">
        <v>479.46931813428529</v>
      </c>
      <c r="M8" s="4">
        <v>442.45235087131192</v>
      </c>
      <c r="N8" s="5">
        <v>418.76172593289152</v>
      </c>
      <c r="O8" s="4">
        <v>405.93858850599156</v>
      </c>
      <c r="P8" s="5">
        <v>375.58479240529499</v>
      </c>
    </row>
    <row r="9" spans="1:16">
      <c r="A9" s="18" t="s">
        <v>21</v>
      </c>
      <c r="B9" s="5">
        <v>466.63248227382002</v>
      </c>
      <c r="C9" s="4">
        <v>484.39932835759186</v>
      </c>
      <c r="D9" s="5">
        <v>504.57777864499673</v>
      </c>
      <c r="E9" s="4">
        <v>518.88616368870419</v>
      </c>
      <c r="F9" s="5">
        <v>569.95966454661266</v>
      </c>
      <c r="G9" s="4">
        <v>605.33280985968133</v>
      </c>
      <c r="H9" s="5">
        <v>574.47821916317957</v>
      </c>
      <c r="I9" s="4">
        <v>558.5801935851606</v>
      </c>
      <c r="J9" s="5">
        <v>538.33753758231546</v>
      </c>
      <c r="K9" s="4">
        <v>496.7110024386094</v>
      </c>
      <c r="L9" s="5">
        <v>564.15027535632919</v>
      </c>
      <c r="M9" s="4">
        <v>520.42549761771443</v>
      </c>
      <c r="N9" s="5">
        <v>489.60521344415986</v>
      </c>
      <c r="O9" s="4">
        <v>472.98560510690351</v>
      </c>
      <c r="P9" s="5">
        <v>435.71307415081799</v>
      </c>
    </row>
    <row r="10" spans="1:16">
      <c r="A10" s="16"/>
      <c r="B10" s="5"/>
      <c r="C10" s="4"/>
      <c r="D10" s="5"/>
      <c r="E10" s="4"/>
      <c r="F10" s="5"/>
      <c r="G10" s="4"/>
      <c r="H10" s="5"/>
      <c r="I10" s="4"/>
      <c r="J10" s="5"/>
      <c r="K10" s="4"/>
      <c r="L10" s="5"/>
      <c r="M10" s="4"/>
      <c r="N10" s="5"/>
      <c r="O10" s="4"/>
      <c r="P10" s="5"/>
    </row>
    <row r="11" spans="1:16">
      <c r="A11" s="17" t="s">
        <v>22</v>
      </c>
      <c r="B11" s="5"/>
      <c r="C11" s="4"/>
      <c r="D11" s="5"/>
      <c r="E11" s="4"/>
      <c r="F11" s="5"/>
      <c r="G11" s="4"/>
      <c r="H11" s="5"/>
      <c r="I11" s="4"/>
      <c r="J11" s="5"/>
      <c r="K11" s="4"/>
      <c r="L11" s="5"/>
      <c r="M11" s="4"/>
      <c r="N11" s="5"/>
      <c r="O11" s="4"/>
      <c r="P11" s="5"/>
    </row>
    <row r="12" spans="1:16">
      <c r="A12" s="18" t="s">
        <v>19</v>
      </c>
      <c r="B12" s="5">
        <v>123.08724627978455</v>
      </c>
      <c r="C12" s="4">
        <v>125.2590658022376</v>
      </c>
      <c r="D12" s="5">
        <v>126.93753972352943</v>
      </c>
      <c r="E12" s="4">
        <v>131.1151311627502</v>
      </c>
      <c r="F12" s="5">
        <v>115.5990790124161</v>
      </c>
      <c r="G12" s="4">
        <v>116.59744906848741</v>
      </c>
      <c r="H12" s="5">
        <v>141.9561511097414</v>
      </c>
      <c r="I12" s="4">
        <v>138.41437958133088</v>
      </c>
      <c r="J12" s="5">
        <v>126.41264408883154</v>
      </c>
      <c r="K12" s="4">
        <v>144.4754884113803</v>
      </c>
      <c r="L12" s="5">
        <v>152.88129451631698</v>
      </c>
      <c r="M12" s="4">
        <v>134.08433772949422</v>
      </c>
      <c r="N12" s="5">
        <v>134.00359048537419</v>
      </c>
      <c r="O12" s="4">
        <v>142.98755672176003</v>
      </c>
      <c r="P12" s="5">
        <v>133.54870470628899</v>
      </c>
    </row>
    <row r="13" spans="1:16">
      <c r="A13" s="18" t="s">
        <v>23</v>
      </c>
      <c r="B13" s="5">
        <v>158.68993639877058</v>
      </c>
      <c r="C13" s="4">
        <v>158.36272826741191</v>
      </c>
      <c r="D13" s="5">
        <v>151.36857149564543</v>
      </c>
      <c r="E13" s="4">
        <v>148.85330441637097</v>
      </c>
      <c r="F13" s="5">
        <v>130.15122544825357</v>
      </c>
      <c r="G13" s="4">
        <v>143.1809378920868</v>
      </c>
      <c r="H13" s="5">
        <v>166.87297464614338</v>
      </c>
      <c r="I13" s="4">
        <v>169.34294234837284</v>
      </c>
      <c r="J13" s="5">
        <v>153.77292249467445</v>
      </c>
      <c r="K13" s="4">
        <v>172.59650351757892</v>
      </c>
      <c r="L13" s="5">
        <v>179.12938185018669</v>
      </c>
      <c r="M13" s="4">
        <v>164.6826673536049</v>
      </c>
      <c r="N13" s="5">
        <v>152.75265578214578</v>
      </c>
      <c r="O13" s="4">
        <v>165.92411739405506</v>
      </c>
      <c r="P13" s="5">
        <v>152.735754360035</v>
      </c>
    </row>
    <row r="14" spans="1:16">
      <c r="A14" s="18" t="s">
        <v>21</v>
      </c>
      <c r="B14" s="5">
        <v>281.77718267855511</v>
      </c>
      <c r="C14" s="4">
        <v>283.62179406964958</v>
      </c>
      <c r="D14" s="5">
        <v>278.30611121917485</v>
      </c>
      <c r="E14" s="4">
        <v>279.96843557912115</v>
      </c>
      <c r="F14" s="5">
        <v>245.75030446066967</v>
      </c>
      <c r="G14" s="4">
        <v>259.77838696057421</v>
      </c>
      <c r="H14" s="5">
        <v>308.82912575588477</v>
      </c>
      <c r="I14" s="4">
        <v>307.75732192970372</v>
      </c>
      <c r="J14" s="5">
        <v>280.18556658350604</v>
      </c>
      <c r="K14" s="4">
        <v>317.07199192895922</v>
      </c>
      <c r="L14" s="5">
        <v>332.01067636650367</v>
      </c>
      <c r="M14" s="4">
        <v>298.76700508309915</v>
      </c>
      <c r="N14" s="5">
        <v>286.75624626751994</v>
      </c>
      <c r="O14" s="4">
        <v>308.91167411581506</v>
      </c>
      <c r="P14" s="5">
        <v>286.284459066323</v>
      </c>
    </row>
    <row r="15" spans="1:16">
      <c r="A15" s="16"/>
      <c r="B15" s="5"/>
      <c r="C15" s="4"/>
      <c r="D15" s="5"/>
      <c r="E15" s="4"/>
      <c r="F15" s="5"/>
      <c r="G15" s="4"/>
      <c r="H15" s="5"/>
      <c r="I15" s="4"/>
      <c r="J15" s="5"/>
      <c r="K15" s="4"/>
      <c r="L15" s="5"/>
      <c r="M15" s="4"/>
      <c r="N15" s="5"/>
      <c r="O15" s="4"/>
      <c r="P15" s="5"/>
    </row>
    <row r="16" spans="1:16">
      <c r="A16" s="17" t="s">
        <v>24</v>
      </c>
      <c r="B16" s="5"/>
      <c r="C16" s="4"/>
      <c r="D16" s="5"/>
      <c r="E16" s="4"/>
      <c r="F16" s="5"/>
      <c r="G16" s="4"/>
      <c r="H16" s="5"/>
      <c r="I16" s="4"/>
      <c r="J16" s="5"/>
      <c r="K16" s="4"/>
      <c r="L16" s="5"/>
      <c r="M16" s="4"/>
      <c r="N16" s="5"/>
      <c r="O16" s="4"/>
      <c r="P16" s="5"/>
    </row>
    <row r="17" spans="1:16">
      <c r="A17" s="18" t="s">
        <v>19</v>
      </c>
      <c r="B17" s="5">
        <v>260.52139506710085</v>
      </c>
      <c r="C17" s="4">
        <v>255.44679940510355</v>
      </c>
      <c r="D17" s="5">
        <v>243.03725071333395</v>
      </c>
      <c r="E17" s="4">
        <v>228.29521958524131</v>
      </c>
      <c r="F17" s="5">
        <v>224.97216135797538</v>
      </c>
      <c r="G17" s="4">
        <v>224.9177497104495</v>
      </c>
      <c r="H17" s="5">
        <v>222.64292614883692</v>
      </c>
      <c r="I17" s="4">
        <v>220.95893680507675</v>
      </c>
      <c r="J17" s="5">
        <v>220.24696880917594</v>
      </c>
      <c r="K17" s="4">
        <v>183.7779729668548</v>
      </c>
      <c r="L17" s="5">
        <v>217.20820100796118</v>
      </c>
      <c r="M17" s="4">
        <v>170.91432853805242</v>
      </c>
      <c r="N17" s="5">
        <v>201.90310848888836</v>
      </c>
      <c r="O17" s="4">
        <v>187.1663583108085</v>
      </c>
      <c r="P17" s="5">
        <v>179.513812051272</v>
      </c>
    </row>
    <row r="18" spans="1:16">
      <c r="A18" s="18" t="s">
        <v>23</v>
      </c>
      <c r="B18" s="5">
        <v>2545.5649996104808</v>
      </c>
      <c r="C18" s="4">
        <v>2511.2050724912992</v>
      </c>
      <c r="D18" s="5">
        <v>2400.4853082448758</v>
      </c>
      <c r="E18" s="4">
        <v>2258.2940765540338</v>
      </c>
      <c r="F18" s="5">
        <v>2238.6076683729298</v>
      </c>
      <c r="G18" s="4">
        <v>2279.8875491937724</v>
      </c>
      <c r="H18" s="5">
        <v>2285.720787421913</v>
      </c>
      <c r="I18" s="4">
        <v>2260.0636725415739</v>
      </c>
      <c r="J18" s="5">
        <v>2250.4272672829852</v>
      </c>
      <c r="K18" s="4">
        <v>1880.0743824739866</v>
      </c>
      <c r="L18" s="5">
        <v>2218.3910238735098</v>
      </c>
      <c r="M18" s="4">
        <v>1745.2364894984721</v>
      </c>
      <c r="N18" s="5">
        <v>2046.94457821417</v>
      </c>
      <c r="O18" s="4">
        <v>1898.4920769303064</v>
      </c>
      <c r="P18" s="5">
        <v>1812.7688541006401</v>
      </c>
    </row>
    <row r="19" spans="1:16">
      <c r="A19" s="18" t="s">
        <v>21</v>
      </c>
      <c r="B19" s="5">
        <v>2806.2296894160249</v>
      </c>
      <c r="C19" s="4">
        <v>2765.6219262447307</v>
      </c>
      <c r="D19" s="5">
        <v>2644.1990268811919</v>
      </c>
      <c r="E19" s="4">
        <v>2487.0222064254222</v>
      </c>
      <c r="F19" s="5">
        <v>2460.9457806804135</v>
      </c>
      <c r="G19" s="4">
        <v>2504.6764619388427</v>
      </c>
      <c r="H19" s="5">
        <v>2508.3865017878397</v>
      </c>
      <c r="I19" s="4">
        <v>2481.1082882132687</v>
      </c>
      <c r="J19" s="5">
        <v>2470.7889537352021</v>
      </c>
      <c r="K19" s="4">
        <v>2063.8866732803594</v>
      </c>
      <c r="L19" s="5">
        <v>2435.6076667445159</v>
      </c>
      <c r="M19" s="4">
        <v>1916.4949129726219</v>
      </c>
      <c r="N19" s="5">
        <v>2248.8476867030577</v>
      </c>
      <c r="O19" s="4">
        <v>2085.6450206943614</v>
      </c>
      <c r="P19" s="5">
        <v>1992.26503067363</v>
      </c>
    </row>
    <row r="20" spans="1:16">
      <c r="A20" s="16"/>
      <c r="B20" s="5"/>
      <c r="C20" s="4"/>
      <c r="D20" s="5"/>
      <c r="E20" s="4"/>
      <c r="F20" s="5"/>
      <c r="G20" s="4"/>
      <c r="H20" s="5"/>
      <c r="I20" s="4"/>
      <c r="J20" s="5"/>
      <c r="K20" s="4"/>
      <c r="L20" s="5"/>
      <c r="M20" s="4"/>
      <c r="N20" s="5"/>
      <c r="O20" s="4"/>
      <c r="P20" s="5"/>
    </row>
    <row r="21" spans="1:16">
      <c r="A21" s="17" t="s">
        <v>25</v>
      </c>
      <c r="B21" s="5"/>
      <c r="C21" s="4"/>
      <c r="D21" s="5"/>
      <c r="E21" s="4"/>
      <c r="F21" s="5"/>
      <c r="G21" s="4"/>
      <c r="H21" s="5"/>
      <c r="I21" s="4"/>
      <c r="J21" s="5"/>
      <c r="K21" s="4"/>
      <c r="L21" s="5"/>
      <c r="M21" s="4"/>
      <c r="N21" s="5"/>
      <c r="O21" s="4"/>
      <c r="P21" s="5"/>
    </row>
    <row r="22" spans="1:16">
      <c r="A22" s="18" t="s">
        <v>19</v>
      </c>
      <c r="B22" s="5">
        <v>136.43422799759026</v>
      </c>
      <c r="C22" s="4">
        <v>144.38069612761629</v>
      </c>
      <c r="D22" s="5">
        <v>143.91329271901205</v>
      </c>
      <c r="E22" s="4">
        <v>137.5129658081278</v>
      </c>
      <c r="F22" s="5">
        <v>144.94780526590989</v>
      </c>
      <c r="G22" s="4">
        <v>156.15806438677666</v>
      </c>
      <c r="H22" s="5">
        <v>146.28581538218418</v>
      </c>
      <c r="I22" s="4">
        <v>142.68283801886108</v>
      </c>
      <c r="J22" s="5">
        <v>146.8445724730995</v>
      </c>
      <c r="K22" s="4">
        <v>115.32134518369634</v>
      </c>
      <c r="L22" s="5">
        <v>122.98940446635667</v>
      </c>
      <c r="M22" s="4">
        <v>79.358453363090149</v>
      </c>
      <c r="N22" s="5">
        <v>114.00586244965649</v>
      </c>
      <c r="O22" s="4">
        <v>106.96869398020776</v>
      </c>
      <c r="P22" s="5">
        <v>102.476922971858</v>
      </c>
    </row>
    <row r="23" spans="1:16">
      <c r="A23" s="16"/>
      <c r="B23" s="5"/>
      <c r="C23" s="4"/>
      <c r="D23" s="5"/>
      <c r="E23" s="4"/>
      <c r="F23" s="5"/>
      <c r="G23" s="4"/>
      <c r="H23" s="5"/>
      <c r="I23" s="4"/>
      <c r="J23" s="5"/>
      <c r="K23" s="4"/>
      <c r="L23" s="5"/>
      <c r="M23" s="4"/>
      <c r="N23" s="5"/>
      <c r="O23" s="4"/>
      <c r="P23" s="5"/>
    </row>
    <row r="24" spans="1:16">
      <c r="A24" s="17" t="s">
        <v>26</v>
      </c>
      <c r="B24" s="5"/>
      <c r="C24" s="4"/>
      <c r="D24" s="5"/>
      <c r="E24" s="4"/>
      <c r="F24" s="5"/>
      <c r="G24" s="4"/>
      <c r="H24" s="5"/>
      <c r="I24" s="4"/>
      <c r="J24" s="5"/>
      <c r="K24" s="4"/>
      <c r="L24" s="5"/>
      <c r="M24" s="4"/>
      <c r="N24" s="5"/>
      <c r="O24" s="4"/>
      <c r="P24" s="5"/>
    </row>
    <row r="25" spans="1:16">
      <c r="A25" s="19" t="s">
        <v>19</v>
      </c>
      <c r="B25" s="10">
        <v>603.05708071966205</v>
      </c>
      <c r="C25" s="9">
        <v>609.72682156342671</v>
      </c>
      <c r="D25" s="10">
        <v>600.39511814591492</v>
      </c>
      <c r="E25" s="9">
        <v>584.74802900781322</v>
      </c>
      <c r="F25" s="10">
        <v>574.90451684920038</v>
      </c>
      <c r="G25" s="9">
        <v>588.94636130619142</v>
      </c>
      <c r="H25" s="10">
        <v>597.32404211502376</v>
      </c>
      <c r="I25" s="9">
        <v>588.43826634271034</v>
      </c>
      <c r="J25" s="10">
        <v>572.65110161800169</v>
      </c>
      <c r="K25" s="9">
        <v>515.74387894045492</v>
      </c>
      <c r="L25" s="10">
        <v>577.80608801314952</v>
      </c>
      <c r="M25" s="9">
        <v>462.33026637703932</v>
      </c>
      <c r="N25" s="10">
        <v>520.75604893518732</v>
      </c>
      <c r="O25" s="9">
        <v>504.16962561368831</v>
      </c>
      <c r="P25" s="10">
        <v>475.64460607470699</v>
      </c>
    </row>
    <row r="27" spans="1:16" ht="15" customHeight="1">
      <c r="A27" s="2" t="s">
        <v>27</v>
      </c>
      <c r="B27" s="39" t="s">
        <v>28</v>
      </c>
      <c r="C27" s="39"/>
      <c r="D27" s="39"/>
      <c r="E27" s="39"/>
      <c r="F27" s="39"/>
      <c r="G27" s="39"/>
      <c r="H27" s="39"/>
      <c r="I27" s="39"/>
      <c r="J27" s="21"/>
      <c r="K27" s="21"/>
      <c r="L27" s="29"/>
    </row>
    <row r="28" spans="1:16" ht="15" customHeight="1">
      <c r="A28" s="2"/>
      <c r="B28" s="39" t="s">
        <v>29</v>
      </c>
      <c r="C28" s="39"/>
      <c r="D28" s="39"/>
      <c r="E28" s="39"/>
      <c r="F28" s="39"/>
      <c r="G28" s="39"/>
      <c r="H28" s="39"/>
      <c r="I28" s="39"/>
      <c r="J28" s="21"/>
      <c r="K28" s="21"/>
      <c r="L28" s="21"/>
    </row>
    <row r="29" spans="1:16" ht="15" customHeight="1">
      <c r="A29" s="2"/>
      <c r="B29" s="38" t="s">
        <v>30</v>
      </c>
      <c r="C29" s="38"/>
      <c r="D29" s="38"/>
      <c r="E29" s="38"/>
      <c r="F29" s="38"/>
      <c r="G29" s="38"/>
      <c r="H29" s="38"/>
      <c r="I29" s="38"/>
      <c r="J29" s="20"/>
      <c r="K29" s="20"/>
      <c r="L29" s="20"/>
    </row>
    <row r="30" spans="1:16" ht="15" customHeight="1">
      <c r="A30" s="2"/>
      <c r="B30" s="38" t="s">
        <v>31</v>
      </c>
      <c r="C30" s="38"/>
      <c r="D30" s="38"/>
      <c r="E30" s="38"/>
      <c r="F30" s="38"/>
      <c r="G30" s="38"/>
      <c r="H30" s="38"/>
      <c r="I30" s="38"/>
      <c r="J30" s="20"/>
      <c r="K30" s="20"/>
      <c r="L30" s="20"/>
    </row>
    <row r="31" spans="1:16" ht="14.5" customHeight="1">
      <c r="A31" s="2"/>
      <c r="B31" s="32" t="s">
        <v>40</v>
      </c>
      <c r="C31" s="32"/>
      <c r="D31" s="32"/>
      <c r="E31" s="32"/>
      <c r="F31" s="32"/>
      <c r="G31" s="32"/>
      <c r="H31" s="20"/>
    </row>
    <row r="32" spans="1:16" ht="28.5" customHeight="1">
      <c r="A32" s="2"/>
      <c r="B32" s="20"/>
      <c r="C32" s="20"/>
      <c r="D32" s="20"/>
      <c r="E32" s="20"/>
      <c r="F32" s="20"/>
      <c r="G32" s="20"/>
      <c r="H32" s="20"/>
    </row>
    <row r="33" spans="1:12">
      <c r="A33" s="2"/>
      <c r="B33" s="20"/>
      <c r="C33" s="20"/>
      <c r="D33" s="20"/>
      <c r="E33" s="20"/>
      <c r="F33" s="20"/>
      <c r="G33" s="20"/>
      <c r="H33" s="20"/>
    </row>
    <row r="34" spans="1:12" ht="14.5" customHeight="1">
      <c r="A34" s="2"/>
      <c r="B34" s="32" t="s">
        <v>37</v>
      </c>
      <c r="C34" s="32"/>
      <c r="D34" s="32"/>
      <c r="E34" s="32"/>
      <c r="F34" s="32"/>
      <c r="G34" s="32"/>
      <c r="H34" s="20"/>
    </row>
    <row r="35" spans="1:12">
      <c r="B35" s="43"/>
      <c r="C35" s="43"/>
      <c r="D35" s="43"/>
      <c r="E35" s="43"/>
      <c r="F35" s="43"/>
      <c r="G35" s="43"/>
      <c r="H35" s="25"/>
    </row>
    <row r="36" spans="1:12">
      <c r="B36" s="25"/>
      <c r="C36" s="25"/>
      <c r="D36" s="25"/>
      <c r="E36" s="25"/>
      <c r="F36" s="25"/>
      <c r="G36" s="25"/>
      <c r="H36" s="25"/>
    </row>
    <row r="37" spans="1:12">
      <c r="B37" s="25"/>
      <c r="C37" s="25"/>
      <c r="D37" s="25"/>
      <c r="E37" s="25"/>
      <c r="F37" s="25"/>
      <c r="G37" s="25"/>
      <c r="H37" s="25"/>
    </row>
    <row r="38" spans="1:12">
      <c r="A38" s="2" t="s">
        <v>32</v>
      </c>
      <c r="B38" s="40" t="s">
        <v>33</v>
      </c>
      <c r="C38" s="40"/>
      <c r="D38" s="40"/>
      <c r="E38" s="40"/>
      <c r="F38" s="40"/>
      <c r="G38" s="40"/>
      <c r="H38" s="40"/>
      <c r="I38" s="40"/>
      <c r="J38" s="22"/>
      <c r="K38" s="22"/>
      <c r="L38" s="22"/>
    </row>
    <row r="39" spans="1:12" ht="15" customHeight="1">
      <c r="A39" s="2"/>
      <c r="B39" s="39" t="s">
        <v>34</v>
      </c>
      <c r="C39" s="39"/>
      <c r="D39" s="39"/>
      <c r="E39" s="39"/>
      <c r="F39" s="39"/>
      <c r="G39" s="39"/>
      <c r="H39" s="39"/>
      <c r="I39" s="39"/>
      <c r="J39" s="21"/>
      <c r="K39" s="21"/>
      <c r="L39" s="21"/>
    </row>
    <row r="40" spans="1:12">
      <c r="B40" s="39"/>
      <c r="C40" s="39"/>
      <c r="D40" s="39"/>
      <c r="E40" s="39"/>
      <c r="F40" s="39"/>
      <c r="G40" s="39"/>
      <c r="H40" s="39"/>
      <c r="I40" s="39"/>
      <c r="J40" s="21"/>
      <c r="K40" s="21"/>
      <c r="L40" s="21"/>
    </row>
  </sheetData>
  <mergeCells count="9">
    <mergeCell ref="B38:I38"/>
    <mergeCell ref="B39:I40"/>
    <mergeCell ref="B35:G35"/>
    <mergeCell ref="A1:G1"/>
    <mergeCell ref="B27:I27"/>
    <mergeCell ref="B28:I28"/>
    <mergeCell ref="B29:I29"/>
    <mergeCell ref="B30:I30"/>
    <mergeCell ref="A2:K2"/>
  </mergeCells>
  <phoneticPr fontId="31" type="noConversion"/>
  <pageMargins left="0.7" right="0.7" top="0.75" bottom="0.75" header="0.3" footer="0.3"/>
  <pageSetup paperSize="9" scale="4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AF3"/>
  <sheetViews>
    <sheetView showGridLines="0" showRowColHeaders="0" topLeftCell="D1" zoomScale="80" zoomScaleNormal="80" zoomScaleSheetLayoutView="70" zoomScalePageLayoutView="40" workbookViewId="0">
      <selection activeCell="AG19" sqref="AG19"/>
    </sheetView>
  </sheetViews>
  <sheetFormatPr defaultColWidth="9" defaultRowHeight="14.5"/>
  <cols>
    <col min="1" max="16384" width="9" style="15"/>
  </cols>
  <sheetData>
    <row r="2" spans="2:32" ht="21">
      <c r="B2" s="46" t="s">
        <v>41</v>
      </c>
      <c r="C2" s="46"/>
      <c r="D2" s="46"/>
      <c r="E2" s="46"/>
      <c r="F2" s="46"/>
      <c r="G2" s="46"/>
      <c r="H2" s="46"/>
      <c r="I2" s="46"/>
      <c r="J2" s="46"/>
      <c r="K2" s="14"/>
      <c r="L2" s="14"/>
      <c r="M2" s="14"/>
      <c r="N2" s="14"/>
      <c r="O2" s="14"/>
      <c r="P2" s="14"/>
      <c r="Q2" s="45" t="s">
        <v>41</v>
      </c>
      <c r="R2" s="45"/>
      <c r="S2" s="45"/>
      <c r="T2" s="45"/>
      <c r="U2" s="45"/>
      <c r="V2" s="45"/>
      <c r="W2" s="45"/>
      <c r="X2" s="45"/>
      <c r="Y2" s="45"/>
      <c r="Z2" s="14"/>
      <c r="AA2" s="14"/>
      <c r="AB2" s="14"/>
      <c r="AC2" s="14"/>
      <c r="AD2" s="14"/>
      <c r="AE2" s="14"/>
      <c r="AF2" s="14"/>
    </row>
    <row r="3" spans="2:32" ht="21">
      <c r="B3" s="46" t="s">
        <v>42</v>
      </c>
      <c r="C3" s="46"/>
      <c r="D3" s="46"/>
      <c r="E3" s="46"/>
      <c r="F3" s="46"/>
      <c r="G3" s="46"/>
      <c r="H3" s="46"/>
      <c r="I3" s="46"/>
      <c r="J3" s="46"/>
      <c r="K3" s="26"/>
      <c r="L3" s="26"/>
      <c r="M3" s="26"/>
      <c r="N3" s="26"/>
      <c r="O3" s="26"/>
      <c r="P3" s="26"/>
      <c r="Q3" s="45" t="s">
        <v>43</v>
      </c>
      <c r="R3" s="45"/>
      <c r="S3" s="45"/>
      <c r="T3" s="45"/>
      <c r="U3" s="45"/>
      <c r="V3" s="45"/>
      <c r="W3" s="45"/>
      <c r="X3" s="45"/>
      <c r="Y3" s="45"/>
      <c r="Z3" s="26"/>
      <c r="AA3" s="26"/>
      <c r="AB3" s="26"/>
      <c r="AC3" s="26"/>
      <c r="AD3" s="26"/>
      <c r="AE3" s="26"/>
      <c r="AF3" s="26"/>
    </row>
  </sheetData>
  <mergeCells count="4">
    <mergeCell ref="Q2:Y2"/>
    <mergeCell ref="Q3:Y3"/>
    <mergeCell ref="B2:J2"/>
    <mergeCell ref="B3:J3"/>
  </mergeCells>
  <pageMargins left="0.23622047244094491" right="0.23622047244094491"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26EA-16A5-456F-AAB8-A81BD4C6EEED}">
  <sheetPr>
    <pageSetUpPr fitToPage="1"/>
  </sheetPr>
  <dimension ref="A1:G1"/>
  <sheetViews>
    <sheetView showGridLines="0" showRowColHeaders="0" view="pageBreakPreview" zoomScaleNormal="100" zoomScaleSheetLayoutView="100" workbookViewId="0">
      <selection sqref="A1:G1"/>
    </sheetView>
  </sheetViews>
  <sheetFormatPr defaultColWidth="24.54296875" defaultRowHeight="14.5"/>
  <sheetData>
    <row r="1" spans="1:7" s="1" customFormat="1" ht="28.5">
      <c r="A1" s="42" t="s">
        <v>44</v>
      </c>
      <c r="B1" s="42"/>
      <c r="C1" s="42"/>
      <c r="D1" s="42"/>
      <c r="E1" s="42"/>
      <c r="F1" s="42"/>
      <c r="G1" s="42"/>
    </row>
  </sheetData>
  <mergeCells count="1">
    <mergeCell ref="A1:G1"/>
  </mergeCells>
  <pageMargins left="0.7" right="0.7" top="0.75" bottom="0.75" header="0.3" footer="0.3"/>
  <pageSetup paperSize="9" scale="76" orientation="landscape" r:id="rId1"/>
  <rowBreaks count="1" manualBreakCount="1">
    <brk id="22" max="16383" man="1"/>
  </rowBreaks>
  <colBreaks count="1" manualBreakCount="1">
    <brk id="8"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Response Document DIA" ma:contentTypeID="0x010100F34159DA4934C642809B2B21F0FB924106001BDC83350A6BDC409307EE8B9016EF29" ma:contentTypeVersion="3" ma:contentTypeDescription="Use for an official response to an investigation, complaint or enquiry" ma:contentTypeScope="" ma:versionID="141cbefe5a1b1a52bebadb25cd60dcf3">
  <xsd:schema xmlns:xsd="http://www.w3.org/2001/XMLSchema" xmlns:xs="http://www.w3.org/2001/XMLSchema" xmlns:p="http://schemas.microsoft.com/office/2006/metadata/properties" xmlns:ns2="f4a82f50-5d8c-4a4a-a75b-c4a39f15e256" xmlns:ns3="5750afb1-007a-481a-96df-a71c539b9a3e" xmlns:ns4="89d0c6c8-e2e3-4e07-91a0-0308145fc47f" targetNamespace="http://schemas.microsoft.com/office/2006/metadata/properties" ma:root="true" ma:fieldsID="c7809e9b4f489db3fbf7c0c459ed7aa8" ns2:_="" ns3:_="" ns4:_="">
    <xsd:import namespace="f4a82f50-5d8c-4a4a-a75b-c4a39f15e256"/>
    <xsd:import namespace="5750afb1-007a-481a-96df-a71c539b9a3e"/>
    <xsd:import namespace="89d0c6c8-e2e3-4e07-91a0-0308145fc47f"/>
    <xsd:element name="properties">
      <xsd:complexType>
        <xsd:sequence>
          <xsd:element name="documentManagement">
            <xsd:complexType>
              <xsd:all>
                <xsd:element ref="ns3:TaxCatchAll" minOccurs="0"/>
                <xsd:element ref="ns2:DIANotes" minOccurs="0"/>
                <xsd:element ref="ns2:DIARequestingEntity" minOccurs="0"/>
                <xsd:element ref="ns2:DIAPrivateEntity" minOccurs="0"/>
                <xsd:element ref="ns2:C3TopicNote" minOccurs="0"/>
                <xsd:element ref="ns3:TaxKeywordTaxHTField" minOccurs="0"/>
                <xsd:element ref="ns2:TaxCatchAllLabel" minOccurs="0"/>
                <xsd:element ref="ns2:ea3c6b56d556460fbeed1cb795bcbdf8" minOccurs="0"/>
                <xsd:element ref="ns4:_dlc_DocId" minOccurs="0"/>
                <xsd:element ref="ns4:_dlc_DocIdUrl" minOccurs="0"/>
                <xsd:element ref="ns4:_dlc_DocIdPersistId" minOccurs="0"/>
                <xsd:element ref="ns2:c351d910d90643f89a26228dd83b8d26" minOccurs="0"/>
                <xsd:element ref="ns2:j483cc009e5b45829a1657250d807614" minOccurs="0"/>
                <xsd:element ref="ns4:i0f84bba906045b4af568ee102a52dc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a82f50-5d8c-4a4a-a75b-c4a39f15e256" elementFormDefault="qualified">
    <xsd:import namespace="http://schemas.microsoft.com/office/2006/documentManagement/types"/>
    <xsd:import namespace="http://schemas.microsoft.com/office/infopath/2007/PartnerControls"/>
    <xsd:element name="DIANotes" ma:index="12" nillable="true" ma:displayName="Notes" ma:description="Additional information, can include URL link to another document" ma:internalName="DIANotes" ma:readOnly="false">
      <xsd:simpleType>
        <xsd:restriction base="dms:Note">
          <xsd:maxLength value="255"/>
        </xsd:restriction>
      </xsd:simpleType>
    </xsd:element>
    <xsd:element name="DIARequestingEntity" ma:index="13" nillable="true" ma:displayName="Requesting Entity" ma:description="The name of the entity making a request" ma:internalName="DIARequestingEntity" ma:readOnly="false">
      <xsd:simpleType>
        <xsd:restriction base="dms:Text"/>
      </xsd:simpleType>
    </xsd:element>
    <xsd:element name="DIAPrivateEntity" ma:index="15" nillable="true" ma:displayName="Private Entity" ma:description="Use for the name of a private or non regulated entity or individual with whom DIA has a relationship or from whom, or about whom a complaint is received or investigation initiated" ma:internalName="DIAPrivateEntity" ma:readOnly="false">
      <xsd:simpleType>
        <xsd:restriction base="dms:Text"/>
      </xsd:simpleType>
    </xsd:element>
    <xsd:element name="C3TopicNote" ma:index="17" nillable="true" ma:displayName="Topic Note" ma:hidden="true" ma:internalName="C3TopicNote" ma:readOnly="false">
      <xsd:simpleType>
        <xsd:restriction base="dms:Note"/>
      </xsd:simpleType>
    </xsd:element>
    <xsd:element name="TaxCatchAllLabel" ma:index="19" nillable="true" ma:displayName="Taxonomy Catch All Column1" ma:hidden="true" ma:list="{fe2b1e89-9452-4e0b-b883-073707a2b081}" ma:internalName="TaxCatchAllLabel" ma:readOnly="true" ma:showField="CatchAllDataLabel">
      <xsd:complexType>
        <xsd:complexContent>
          <xsd:extension base="dms:MultiChoiceLookup">
            <xsd:sequence>
              <xsd:element name="Value" type="dms:Lookup" maxOccurs="unbounded" minOccurs="0" nillable="true"/>
            </xsd:sequence>
          </xsd:extension>
        </xsd:complexContent>
      </xsd:complexType>
    </xsd:element>
    <xsd:element name="ea3c6b56d556460fbeed1cb795bcbdf8" ma:index="20" nillable="true" ma:displayName="Security Classification_0" ma:hidden="true" ma:internalName="ea3c6b56d556460fbeed1cb795bcbdf8" ma:readOnly="false">
      <xsd:simpleType>
        <xsd:restriction base="dms:Note"/>
      </xsd:simpleType>
    </xsd:element>
    <xsd:element name="c351d910d90643f89a26228dd83b8d26" ma:index="24" nillable="true" ma:displayName="Official Entity_0" ma:hidden="true" ma:internalName="c351d910d90643f89a26228dd83b8d26" ma:readOnly="false">
      <xsd:simpleType>
        <xsd:restriction base="dms:Note"/>
      </xsd:simpleType>
    </xsd:element>
    <xsd:element name="j483cc009e5b45829a1657250d807614" ma:index="25" nillable="true" ma:displayName="Information Request Type_0" ma:hidden="true" ma:internalName="j483cc009e5b45829a1657250d807614"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50afb1-007a-481a-96df-a71c539b9a3e"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hidden="true" ma:list="{fe2b1e89-9452-4e0b-b883-073707a2b081}" ma:internalName="TaxCatchAll" ma:readOnly="false" ma:showField="CatchAllData" ma:web="89d0c6c8-e2e3-4e07-91a0-0308145fc47f">
      <xsd:complexType>
        <xsd:complexContent>
          <xsd:extension base="dms:MultiChoiceLookup">
            <xsd:sequence>
              <xsd:element name="Value" type="dms:Lookup" maxOccurs="unbounded" minOccurs="0" nillable="true"/>
            </xsd:sequence>
          </xsd:extension>
        </xsd:complexContent>
      </xsd:complexType>
    </xsd:element>
    <xsd:element name="TaxKeywordTaxHTField" ma:index="18" nillable="true" ma:displayName="TaxKeywordTaxHTField" ma:hidden="true" ma:internalName="TaxKeywordTaxHTField"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d0c6c8-e2e3-4e07-91a0-0308145fc47f" elementFormDefault="qualified">
    <xsd:import namespace="http://schemas.microsoft.com/office/2006/documentManagement/types"/>
    <xsd:import namespace="http://schemas.microsoft.com/office/infopath/2007/PartnerControls"/>
    <xsd:element name="_dlc_DocId" ma:index="21" nillable="true" ma:displayName="Document ID Value" ma:description="The value of the document ID assigned to this item." ma:indexed="true"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i0f84bba906045b4af568ee102a52dcb" ma:index="27" nillable="true" ma:taxonomy="true" ma:internalName="i0f84bba906045b4af568ee102a52dcb" ma:taxonomyFieldName="RevIMBCS" ma:displayName="RDS" ma:indexed="true" ma:default="" ma:fieldId="{20f84bba-9060-45b4-af56-8ee102a52dcb}" ma:sspId="220cfdc9-10b9-451b-a41a-57414fe47a11" ma:termSetId="bb1f7e15-201c-4f3f-8cd2-247a09e40829"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89d0c6c8-e2e3-4e07-91a0-0308145fc47f">S5Y2774P5XWM-1042826142-141</_dlc_DocId>
    <TaxCatchAll xmlns="5750afb1-007a-481a-96df-a71c539b9a3e">
      <Value>2</Value>
      <Value>3</Value>
    </TaxCatchAll>
    <TaxKeywordTaxHTField xmlns="5750afb1-007a-481a-96df-a71c539b9a3e" xsi:nil="true"/>
    <_dlc_DocIdUrl xmlns="89d0c6c8-e2e3-4e07-91a0-0308145fc47f">
      <Url>https://azurediagovt.sharepoint.com/sites/ECMS-GMB-INFR/_layouts/15/DocIdRedir.aspx?ID=S5Y2774P5XWM-1042826142-141</Url>
      <Description>S5Y2774P5XWM-1042826142-141</Description>
    </_dlc_DocIdUrl>
    <i0f84bba906045b4af568ee102a52dcb xmlns="89d0c6c8-e2e3-4e07-91a0-0308145fc47f">
      <Terms xmlns="http://schemas.microsoft.com/office/infopath/2007/PartnerControls"/>
    </i0f84bba906045b4af568ee102a52dcb>
    <c351d910d90643f89a26228dd83b8d26 xmlns="f4a82f50-5d8c-4a4a-a75b-c4a39f15e256" xsi:nil="true"/>
    <DIARequestingEntity xmlns="f4a82f50-5d8c-4a4a-a75b-c4a39f15e256" xsi:nil="true"/>
    <ea3c6b56d556460fbeed1cb795bcbdf8 xmlns="f4a82f50-5d8c-4a4a-a75b-c4a39f15e256">UNCLASSIFIED2c10f15e-4fe4-4bec-ae91-1116436da94b</ea3c6b56d556460fbeed1cb795bcbdf8>
    <C3TopicNote xmlns="f4a82f50-5d8c-4a4a-a75b-c4a39f15e256">Expenditure55044677-205c-47e1-8043-55e5eaff4957</C3TopicNote>
    <DIANotes xmlns="f4a82f50-5d8c-4a4a-a75b-c4a39f15e256" xsi:nil="true"/>
    <j483cc009e5b45829a1657250d807614 xmlns="f4a82f50-5d8c-4a4a-a75b-c4a39f15e256" xsi:nil="true"/>
    <DIAPrivateEntity xmlns="f4a82f50-5d8c-4a4a-a75b-c4a39f15e256" xsi:nil="true"/>
  </documentManagement>
</p:properties>
</file>

<file path=customXml/item3.xml><?xml version="1.0" encoding="utf-8"?>
<?mso-contentType ?>
<FormTemplates xmlns="http://schemas.microsoft.com/sharepoint/v3/contenttype/form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85EE2B9-546E-4734-81AE-435642B26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a82f50-5d8c-4a4a-a75b-c4a39f15e256"/>
    <ds:schemaRef ds:uri="5750afb1-007a-481a-96df-a71c539b9a3e"/>
    <ds:schemaRef ds:uri="89d0c6c8-e2e3-4e07-91a0-0308145fc4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DBAC13-77B8-4823-83F4-A6686B9C90D9}">
  <ds:schemaRefs>
    <ds:schemaRef ds:uri="http://purl.org/dc/elements/1.1/"/>
    <ds:schemaRef ds:uri="http://www.w3.org/XML/1998/namespace"/>
    <ds:schemaRef ds:uri="http://schemas.microsoft.com/office/infopath/2007/PartnerControls"/>
    <ds:schemaRef ds:uri="http://schemas.microsoft.com/office/2006/documentManagement/types"/>
    <ds:schemaRef ds:uri="f4a82f50-5d8c-4a4a-a75b-c4a39f15e256"/>
    <ds:schemaRef ds:uri="http://purl.org/dc/terms/"/>
    <ds:schemaRef ds:uri="5750afb1-007a-481a-96df-a71c539b9a3e"/>
    <ds:schemaRef ds:uri="http://purl.org/dc/dcmitype/"/>
    <ds:schemaRef ds:uri="http://schemas.openxmlformats.org/package/2006/metadata/core-properties"/>
    <ds:schemaRef ds:uri="89d0c6c8-e2e3-4e07-91a0-0308145fc47f"/>
    <ds:schemaRef ds:uri="http://schemas.microsoft.com/office/2006/metadata/properties"/>
  </ds:schemaRefs>
</ds:datastoreItem>
</file>

<file path=customXml/itemProps3.xml><?xml version="1.0" encoding="utf-8"?>
<ds:datastoreItem xmlns:ds="http://schemas.openxmlformats.org/officeDocument/2006/customXml" ds:itemID="{BAA356A7-E6B1-4BF6-95CA-4DCAE2B0ECE4}">
  <ds:schemaRefs>
    <ds:schemaRef ds:uri="http://schemas.microsoft.com/sharepoint/v3/contenttype/forms"/>
  </ds:schemaRefs>
</ds:datastoreItem>
</file>

<file path=customXml/itemProps4.xml><?xml version="1.0" encoding="utf-8"?>
<ds:datastoreItem xmlns:ds="http://schemas.openxmlformats.org/officeDocument/2006/customXml" ds:itemID="{FDDE5FF6-044C-49A5-90DF-189F3F292A0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Actual (nominal) statistics</vt:lpstr>
      <vt:lpstr>Inflation adjusted statistics</vt:lpstr>
      <vt:lpstr>Population adjusted statistics</vt:lpstr>
      <vt:lpstr>Charts</vt:lpstr>
      <vt:lpstr>Explanations</vt:lpstr>
      <vt:lpstr>'Actual (nominal) statistics'!Print_Area</vt:lpstr>
      <vt:lpstr>Charts!Print_Area</vt:lpstr>
      <vt:lpstr>Explanations!Print_Area</vt:lpstr>
      <vt:lpstr>'Inflation adjusted statistics'!Print_Area</vt:lpstr>
      <vt:lpstr>'Population adjusted statistics'!Print_Area</vt:lpstr>
      <vt:lpstr>Charts!Print_Titles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2023-01-18T00:04:32Z</dcterms:created>
  <dcterms:modified xsi:type="dcterms:W3CDTF">2026-02-12T03:14:17Z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pdd887d9c8db4e98abfc549e0a6bf948">
    <vt:lpwstr/>
  </property>
  <property fmtid="{D5CDD505-2E9C-101B-9397-08002B2CF9AE}" pid="4" name="C3DateOfMeeting">
    <vt:filetime>2019-01-17T11:00:00Z</vt:filetime>
  </property>
  <property fmtid="{D5CDD505-2E9C-101B-9397-08002B2CF9AE}" pid="5" name="abd14fc118d74ac191cda88615a8467c">
    <vt:lpwstr/>
  </property>
  <property fmtid="{D5CDD505-2E9C-101B-9397-08002B2CF9AE}" pid="6" name="DIAAdministrationDocumentType">
    <vt:lpwstr/>
  </property>
  <property fmtid="{D5CDD505-2E9C-101B-9397-08002B2CF9AE}" pid="7" name="DIAAnalysisDocumentType">
    <vt:lpwstr/>
  </property>
  <property fmtid="{D5CDD505-2E9C-101B-9397-08002B2CF9AE}" pid="8" name="ContentTypeId">
    <vt:lpwstr>0x010100F34159DA4934C642809B2B21F0FB924106001BDC83350A6BDC409307EE8B9016EF29</vt:lpwstr>
  </property>
  <property fmtid="{D5CDD505-2E9C-101B-9397-08002B2CF9AE}" pid="9" name="d4d88d9c404441259a20c2016d5c4fc4">
    <vt:lpwstr>Correspondence|dcd6b05f-dc80-4336-b228-09aebf3d212c</vt:lpwstr>
  </property>
  <property fmtid="{D5CDD505-2E9C-101B-9397-08002B2CF9AE}" pid="10" name="C3Topic">
    <vt:lpwstr/>
  </property>
  <property fmtid="{D5CDD505-2E9C-101B-9397-08002B2CF9AE}" pid="11" name="ea4aa224672c48de823dd933cb1043e1">
    <vt:lpwstr/>
  </property>
  <property fmtid="{D5CDD505-2E9C-101B-9397-08002B2CF9AE}" pid="12" name="DIAReportDocumentType">
    <vt:lpwstr/>
  </property>
  <property fmtid="{D5CDD505-2E9C-101B-9397-08002B2CF9AE}" pid="13" name="ceaa08e508b44e36a3581bd73a0c1e84">
    <vt:lpwstr/>
  </property>
  <property fmtid="{D5CDD505-2E9C-101B-9397-08002B2CF9AE}" pid="14" name="l0cdf5ac49fc48ebb98e60274121eac4">
    <vt:lpwstr>Correspondence|dcd6b05f-dc80-4336-b228-09aebf3d212c</vt:lpwstr>
  </property>
  <property fmtid="{D5CDD505-2E9C-101B-9397-08002B2CF9AE}" pid="15" name="_dlc_DocIdItemGuid">
    <vt:lpwstr>67e48d3c-b8b6-4968-af6d-4c35cd0d9cc1</vt:lpwstr>
  </property>
  <property fmtid="{D5CDD505-2E9C-101B-9397-08002B2CF9AE}" pid="16" name="DIASecurityClassification">
    <vt:lpwstr>2;#UNCLASSIFIED|2c10f15e-4fe4-4bec-ae91-1116436da94b</vt:lpwstr>
  </property>
  <property fmtid="{D5CDD505-2E9C-101B-9397-08002B2CF9AE}" pid="17" name="DIAEmailContentType">
    <vt:lpwstr>3;#Correspondence|dcd6b05f-dc80-4336-b228-09aebf3d212c</vt:lpwstr>
  </property>
  <property fmtid="{D5CDD505-2E9C-101B-9397-08002B2CF9AE}" pid="18" name="DIAMeetingDocumentType">
    <vt:lpwstr/>
  </property>
  <property fmtid="{D5CDD505-2E9C-101B-9397-08002B2CF9AE}" pid="19" name="of8f23f05b2b41ad809817e353992f19">
    <vt:lpwstr/>
  </property>
  <property fmtid="{D5CDD505-2E9C-101B-9397-08002B2CF9AE}" pid="20" name="EmReceivedByName">
    <vt:lpwstr/>
  </property>
  <property fmtid="{D5CDD505-2E9C-101B-9397-08002B2CF9AE}" pid="21" name="DIAParentID">
    <vt:lpwstr/>
  </property>
  <property fmtid="{D5CDD505-2E9C-101B-9397-08002B2CF9AE}" pid="22" name="DocumentSetDescription">
    <vt:lpwstr/>
  </property>
  <property fmtid="{D5CDD505-2E9C-101B-9397-08002B2CF9AE}" pid="23" name="DIAClassificationLevel3">
    <vt:lpwstr/>
  </property>
  <property fmtid="{D5CDD505-2E9C-101B-9397-08002B2CF9AE}" pid="24" name="DIAFolderNamedAccess">
    <vt:lpwstr/>
  </property>
  <property fmtid="{D5CDD505-2E9C-101B-9397-08002B2CF9AE}" pid="25" name="EmCategory">
    <vt:lpwstr/>
  </property>
  <property fmtid="{D5CDD505-2E9C-101B-9397-08002B2CF9AE}" pid="26" name="EmConversationIndex">
    <vt:lpwstr/>
  </property>
  <property fmtid="{D5CDD505-2E9C-101B-9397-08002B2CF9AE}" pid="27" name="EmBody">
    <vt:lpwstr/>
  </property>
  <property fmtid="{D5CDD505-2E9C-101B-9397-08002B2CF9AE}" pid="28" name="EmHasAttachments">
    <vt:bool>false</vt:bool>
  </property>
  <property fmtid="{D5CDD505-2E9C-101B-9397-08002B2CF9AE}" pid="29" name="DIALegacyNotes">
    <vt:lpwstr/>
  </property>
  <property fmtid="{D5CDD505-2E9C-101B-9397-08002B2CF9AE}" pid="30" name="DIAGroupPermissions">
    <vt:lpwstr/>
  </property>
  <property fmtid="{D5CDD505-2E9C-101B-9397-08002B2CF9AE}" pid="31" name="DIALegacyVersionNumberDIA">
    <vt:lpwstr/>
  </property>
  <property fmtid="{D5CDD505-2E9C-101B-9397-08002B2CF9AE}" pid="32" name="DIAClassificationLevel4">
    <vt:lpwstr/>
  </property>
  <property fmtid="{D5CDD505-2E9C-101B-9397-08002B2CF9AE}" pid="33" name="EmCC">
    <vt:lpwstr/>
  </property>
  <property fmtid="{D5CDD505-2E9C-101B-9397-08002B2CF9AE}" pid="34" name="EmBCCSMTPAddress">
    <vt:lpwstr/>
  </property>
  <property fmtid="{D5CDD505-2E9C-101B-9397-08002B2CF9AE}" pid="35" name="DIASourceDataSource">
    <vt:lpwstr/>
  </property>
  <property fmtid="{D5CDD505-2E9C-101B-9397-08002B2CF9AE}" pid="36" name="DIALegacyModifiedByDIA">
    <vt:lpwstr/>
  </property>
  <property fmtid="{D5CDD505-2E9C-101B-9397-08002B2CF9AE}" pid="37" name="EmFromName">
    <vt:lpwstr/>
  </property>
  <property fmtid="{D5CDD505-2E9C-101B-9397-08002B2CF9AE}" pid="38" name="EmType">
    <vt:lpwstr/>
  </property>
  <property fmtid="{D5CDD505-2E9C-101B-9397-08002B2CF9AE}" pid="39" name="DIAFolderComments">
    <vt:lpwstr/>
  </property>
  <property fmtid="{D5CDD505-2E9C-101B-9397-08002B2CF9AE}" pid="40" name="DIADocumentIdentifier">
    <vt:lpwstr/>
  </property>
  <property fmtid="{D5CDD505-2E9C-101B-9397-08002B2CF9AE}" pid="41" name="DIALegacySecurityClassification">
    <vt:lpwstr/>
  </property>
  <property fmtid="{D5CDD505-2E9C-101B-9397-08002B2CF9AE}" pid="42" name="EmTo">
    <vt:lpwstr/>
  </property>
  <property fmtid="{D5CDD505-2E9C-101B-9397-08002B2CF9AE}" pid="43" name="EmToSMTPAddress">
    <vt:lpwstr/>
  </property>
  <property fmtid="{D5CDD505-2E9C-101B-9397-08002B2CF9AE}" pid="44" name="_ExtendedDescription">
    <vt:lpwstr/>
  </property>
  <property fmtid="{D5CDD505-2E9C-101B-9397-08002B2CF9AE}" pid="45" name="DIALegacyDocumentIDDIA">
    <vt:lpwstr/>
  </property>
  <property fmtid="{D5CDD505-2E9C-101B-9397-08002B2CF9AE}" pid="46" name="DIAFolderMedium">
    <vt:lpwstr/>
  </property>
  <property fmtid="{D5CDD505-2E9C-101B-9397-08002B2CF9AE}" pid="47" name="DIAFolderStatus">
    <vt:lpwstr/>
  </property>
  <property fmtid="{D5CDD505-2E9C-101B-9397-08002B2CF9AE}" pid="48" name="DIADocumentDetails">
    <vt:lpwstr/>
  </property>
  <property fmtid="{D5CDD505-2E9C-101B-9397-08002B2CF9AE}" pid="49" name="URL">
    <vt:lpwstr/>
  </property>
  <property fmtid="{D5CDD505-2E9C-101B-9397-08002B2CF9AE}" pid="50" name="DIAClassificationLevel5">
    <vt:lpwstr/>
  </property>
  <property fmtid="{D5CDD505-2E9C-101B-9397-08002B2CF9AE}" pid="51" name="DIANamedAccess">
    <vt:lpwstr/>
  </property>
  <property fmtid="{D5CDD505-2E9C-101B-9397-08002B2CF9AE}" pid="52" name="DIADocumentPublicationState">
    <vt:lpwstr/>
  </property>
  <property fmtid="{D5CDD505-2E9C-101B-9397-08002B2CF9AE}" pid="53" name="EmCon">
    <vt:lpwstr/>
  </property>
  <property fmtid="{D5CDD505-2E9C-101B-9397-08002B2CF9AE}" pid="54" name="DIAFolderBoxInformation">
    <vt:lpwstr/>
  </property>
  <property fmtid="{D5CDD505-2E9C-101B-9397-08002B2CF9AE}" pid="55" name="DIALoanStatus">
    <vt:lpwstr/>
  </property>
  <property fmtid="{D5CDD505-2E9C-101B-9397-08002B2CF9AE}" pid="56" name="EmCompanies">
    <vt:lpwstr/>
  </property>
  <property fmtid="{D5CDD505-2E9C-101B-9397-08002B2CF9AE}" pid="57" name="EmFromSMTPAddress">
    <vt:lpwstr/>
  </property>
  <property fmtid="{D5CDD505-2E9C-101B-9397-08002B2CF9AE}" pid="58" name="DIADocumentTypeDIA">
    <vt:lpwstr/>
  </property>
  <property fmtid="{D5CDD505-2E9C-101B-9397-08002B2CF9AE}" pid="59" name="DIALegacyCreatedByDIA">
    <vt:lpwstr/>
  </property>
  <property fmtid="{D5CDD505-2E9C-101B-9397-08002B2CF9AE}" pid="60" name="EmAttachCount">
    <vt:lpwstr/>
  </property>
  <property fmtid="{D5CDD505-2E9C-101B-9397-08002B2CF9AE}" pid="61" name="DIALegacyCommentsDIA">
    <vt:lpwstr/>
  </property>
  <property fmtid="{D5CDD505-2E9C-101B-9397-08002B2CF9AE}" pid="62" name="DIAClassificationLevel6">
    <vt:lpwstr/>
  </property>
  <property fmtid="{D5CDD505-2E9C-101B-9397-08002B2CF9AE}" pid="63" name="DIAFolderGroupPermissions">
    <vt:lpwstr/>
  </property>
  <property fmtid="{D5CDD505-2E9C-101B-9397-08002B2CF9AE}" pid="64" name="DIABusinessActivity">
    <vt:lpwstr/>
  </property>
  <property fmtid="{D5CDD505-2E9C-101B-9397-08002B2CF9AE}" pid="65" name="EmReceivedOnBehalfOfName">
    <vt:lpwstr/>
  </property>
  <property fmtid="{D5CDD505-2E9C-101B-9397-08002B2CF9AE}" pid="66" name="DIADocumentAuthor">
    <vt:lpwstr/>
  </property>
  <property fmtid="{D5CDD505-2E9C-101B-9397-08002B2CF9AE}" pid="67" name="DIARelatedItems">
    <vt:lpwstr/>
  </property>
  <property fmtid="{D5CDD505-2E9C-101B-9397-08002B2CF9AE}" pid="68" name="DIAClassificationLevel1">
    <vt:lpwstr/>
  </property>
  <property fmtid="{D5CDD505-2E9C-101B-9397-08002B2CF9AE}" pid="69" name="EmReplyRecipients">
    <vt:lpwstr/>
  </property>
  <property fmtid="{D5CDD505-2E9C-101B-9397-08002B2CF9AE}" pid="70" name="EmRetentionPolicyName">
    <vt:lpwstr/>
  </property>
  <property fmtid="{D5CDD505-2E9C-101B-9397-08002B2CF9AE}" pid="71" name="EmReplyRecipientNames">
    <vt:lpwstr/>
  </property>
  <property fmtid="{D5CDD505-2E9C-101B-9397-08002B2CF9AE}" pid="72" name="EmFrom">
    <vt:lpwstr/>
  </property>
  <property fmtid="{D5CDD505-2E9C-101B-9397-08002B2CF9AE}" pid="73" name="DIAFolderName">
    <vt:lpwstr/>
  </property>
  <property fmtid="{D5CDD505-2E9C-101B-9397-08002B2CF9AE}" pid="74" name="EmAttachmentNames">
    <vt:lpwstr/>
  </property>
  <property fmtid="{D5CDD505-2E9C-101B-9397-08002B2CF9AE}" pid="75" name="DIASourceLocation">
    <vt:lpwstr/>
  </property>
  <property fmtid="{D5CDD505-2E9C-101B-9397-08002B2CF9AE}" pid="76" name="EmSentOnBehalfOfName">
    <vt:lpwstr/>
  </property>
  <property fmtid="{D5CDD505-2E9C-101B-9397-08002B2CF9AE}" pid="77" name="DIALegacyFolderID">
    <vt:lpwstr/>
  </property>
  <property fmtid="{D5CDD505-2E9C-101B-9397-08002B2CF9AE}" pid="78" name="DIADocumentMedium">
    <vt:lpwstr/>
  </property>
  <property fmtid="{D5CDD505-2E9C-101B-9397-08002B2CF9AE}" pid="79" name="EmCCSMTPAddress">
    <vt:lpwstr/>
  </property>
  <property fmtid="{D5CDD505-2E9C-101B-9397-08002B2CF9AE}" pid="80" name="EmConversationID">
    <vt:lpwstr/>
  </property>
  <property fmtid="{D5CDD505-2E9C-101B-9397-08002B2CF9AE}" pid="81" name="DIAFolderBoxID">
    <vt:lpwstr/>
  </property>
  <property fmtid="{D5CDD505-2E9C-101B-9397-08002B2CF9AE}" pid="82" name="EmBCC">
    <vt:lpwstr/>
  </property>
  <property fmtid="{D5CDD505-2E9C-101B-9397-08002B2CF9AE}" pid="83" name="EmID">
    <vt:lpwstr/>
  </property>
  <property fmtid="{D5CDD505-2E9C-101B-9397-08002B2CF9AE}" pid="84" name="DIAClassificationLevel2">
    <vt:lpwstr/>
  </property>
  <property fmtid="{D5CDD505-2E9C-101B-9397-08002B2CF9AE}" pid="85" name="DIADocumentRegisteredBy">
    <vt:lpwstr/>
  </property>
  <property fmtid="{D5CDD505-2E9C-101B-9397-08002B2CF9AE}" pid="86" name="DIAFolderDetails">
    <vt:lpwstr/>
  </property>
  <property fmtid="{D5CDD505-2E9C-101B-9397-08002B2CF9AE}" pid="87" name="DIADocumentEmailFields">
    <vt:lpwstr/>
  </property>
  <property fmtid="{D5CDD505-2E9C-101B-9397-08002B2CF9AE}" pid="88" name="DIAAuditHistory">
    <vt:lpwstr/>
  </property>
  <property fmtid="{D5CDD505-2E9C-101B-9397-08002B2CF9AE}" pid="89" name="EmSubject">
    <vt:lpwstr/>
  </property>
  <property fmtid="{D5CDD505-2E9C-101B-9397-08002B2CF9AE}" pid="90" name="DIAOffsiteType">
    <vt:lpwstr/>
  </property>
  <property fmtid="{D5CDD505-2E9C-101B-9397-08002B2CF9AE}" pid="91" name="ea3c6b56d556460fbeed1cb795bcbdf80">
    <vt:lpwstr>UNCLASSIFIED|2c10f15e-4fe4-4bec-ae91-1116436da94b</vt:lpwstr>
  </property>
  <property fmtid="{D5CDD505-2E9C-101B-9397-08002B2CF9AE}" pid="92" name="RevIMBCS">
    <vt:lpwstr/>
  </property>
  <property fmtid="{D5CDD505-2E9C-101B-9397-08002B2CF9AE}" pid="93" name="of8f23f05b2b41ad809817e353992f190">
    <vt:lpwstr/>
  </property>
  <property fmtid="{D5CDD505-2E9C-101B-9397-08002B2CF9AE}" pid="94" name="c351d910d90643f89a26228dd83b8d260">
    <vt:lpwstr/>
  </property>
  <property fmtid="{D5CDD505-2E9C-101B-9397-08002B2CF9AE}" pid="95" name="abd14fc118d74ac191cda88615a8467c0">
    <vt:lpwstr/>
  </property>
  <property fmtid="{D5CDD505-2E9C-101B-9397-08002B2CF9AE}" pid="96" name="d4d88d9c404441259a20c2016d5c4fc40">
    <vt:lpwstr>Correspondence|dcd6b05f-dc80-4336-b228-09aebf3d212c</vt:lpwstr>
  </property>
  <property fmtid="{D5CDD505-2E9C-101B-9397-08002B2CF9AE}" pid="97" name="j483cc009e5b45829a1657250d8076140">
    <vt:lpwstr/>
  </property>
  <property fmtid="{D5CDD505-2E9C-101B-9397-08002B2CF9AE}" pid="98" name="ma3fe89fa6dd4490a9c13ef38d67b8c7">
    <vt:lpwstr/>
  </property>
</Properties>
</file>