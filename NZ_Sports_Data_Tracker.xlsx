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hsin bhaiyya All work\Mohsin Bhaiyya fullTime Work\Storing all files And Api's of NZ Sport\"/>
    </mc:Choice>
  </mc:AlternateContent>
  <bookViews>
    <workbookView xWindow="0" yWindow="0" windowWidth="23040" windowHeight="10332" tabRatio="500"/>
  </bookViews>
  <sheets>
    <sheet name="NZ Sports Data Tracker" sheetId="1" r:id="rId1"/>
    <sheet name="Summary Dashboard" sheetId="2" r:id="rId2"/>
    <sheet name="Legend &amp; Instruction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F17" i="2"/>
  <c r="E17" i="2"/>
  <c r="D17" i="2"/>
  <c r="C17" i="2"/>
  <c r="G17" i="2" s="1"/>
  <c r="B17" i="2"/>
  <c r="F16" i="2"/>
  <c r="E16" i="2"/>
  <c r="D16" i="2"/>
  <c r="C16" i="2"/>
  <c r="G16" i="2" s="1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G13" i="2" s="1"/>
  <c r="B13" i="2"/>
  <c r="B9" i="2"/>
  <c r="B8" i="2"/>
  <c r="B7" i="2"/>
  <c r="B5" i="2"/>
  <c r="C6" i="2" s="1"/>
  <c r="G15" i="2" l="1"/>
  <c r="G14" i="2"/>
  <c r="C8" i="2"/>
  <c r="C9" i="2"/>
  <c r="C7" i="2"/>
</calcChain>
</file>

<file path=xl/sharedStrings.xml><?xml version="1.0" encoding="utf-8"?>
<sst xmlns="http://schemas.openxmlformats.org/spreadsheetml/2006/main" count="408" uniqueCount="206">
  <si>
    <t>🇳🇿  New Zealand Sports Data Sources — Integration Tracker</t>
  </si>
  <si>
    <t>Track API integrations, Excel downloads and data pipeline completion status for NZ sports analytics project</t>
  </si>
  <si>
    <t>#</t>
  </si>
  <si>
    <t>Source Name</t>
  </si>
  <si>
    <t>Category</t>
  </si>
  <si>
    <t>Sport / Domain</t>
  </si>
  <si>
    <t>Access Type</t>
  </si>
  <si>
    <t>URL / Endpoint</t>
  </si>
  <si>
    <t>Cost</t>
  </si>
  <si>
    <t>Status</t>
  </si>
  <si>
    <t>Priority</t>
  </si>
  <si>
    <t>Assigned To</t>
  </si>
  <si>
    <t>Date Started</t>
  </si>
  <si>
    <t>Date Completed</t>
  </si>
  <si>
    <t>Notes</t>
  </si>
  <si>
    <t>Data Format</t>
  </si>
  <si>
    <t>Active NZ Survey — Excel data tables (2017–2024)</t>
  </si>
  <si>
    <t>Participation</t>
  </si>
  <si>
    <t>Sport NZ</t>
  </si>
  <si>
    <t>Excel Download</t>
  </si>
  <si>
    <t>https://sportnz.org.nz/research-and-insights/surveys-and-data/active-nz/</t>
  </si>
  <si>
    <t>Free</t>
  </si>
  <si>
    <t>Not Started</t>
  </si>
  <si>
    <t>High</t>
  </si>
  <si>
    <t>Excel (.xlsx)</t>
  </si>
  <si>
    <t>Active NZ Participation Trends 2017–2023 (PDF + Excel tables)</t>
  </si>
  <si>
    <t>https://sportnz.org.nz/media/lupchbdk/active-nz-participation-trends-2017-2023_july-2024.pdf</t>
  </si>
  <si>
    <t>PDF + Excel</t>
  </si>
  <si>
    <t>Sport NZ Insights Tool (Power BI dashboard)</t>
  </si>
  <si>
    <t>Browser (Power BI)</t>
  </si>
  <si>
    <t>https://sportnz.org.nz/resources/data-visualisation-tool/</t>
  </si>
  <si>
    <t>Medium</t>
  </si>
  <si>
    <t>Power BI embed</t>
  </si>
  <si>
    <t>Voice of Participant Survey</t>
  </si>
  <si>
    <t>https://sportnz.org.nz/research-and-insights/surveys-and-data/voice-of-participant/</t>
  </si>
  <si>
    <t>Voice of Rangatahi Survey (youth / schools)</t>
  </si>
  <si>
    <t>https://sportnz.org.nz/research-and-insights/surveys-and-data/voice-of-rangatahi/</t>
  </si>
  <si>
    <t>data.govt.nz — CKAN API</t>
  </si>
  <si>
    <t>Govt Open Data</t>
  </si>
  <si>
    <t>Government NZ</t>
  </si>
  <si>
    <t>REST API</t>
  </si>
  <si>
    <t>https://data.govt.nz/api/3/action/package_search?q=sport</t>
  </si>
  <si>
    <t>JSON</t>
  </si>
  <si>
    <t>Stats NZ — Cultural &amp; Recreational Activities</t>
  </si>
  <si>
    <t>REST API + CSV</t>
  </si>
  <si>
    <t>https://api.stats.govt.nz/opendata/v1/Infoshare</t>
  </si>
  <si>
    <t>JSON / CSV</t>
  </si>
  <si>
    <t>Stats NZ Infoshare API</t>
  </si>
  <si>
    <t>Free (API key)</t>
  </si>
  <si>
    <t>Figure.NZ — NZ sport &amp; recreation charts</t>
  </si>
  <si>
    <t>CSV Download</t>
  </si>
  <si>
    <t>https://figure.nz</t>
  </si>
  <si>
    <t>CSV</t>
  </si>
  <si>
    <t>Ministry of Health — Physical activity data</t>
  </si>
  <si>
    <t>https://www.health.govt.nz/nz-health-statistics/health-statistics-and-data-sets/physical-activity-data-and-stats</t>
  </si>
  <si>
    <t>World Rugby API (official) — All Blacks results &amp; rankings</t>
  </si>
  <si>
    <t>Rugby</t>
  </si>
  <si>
    <t>All Blacks / Rugby</t>
  </si>
  <si>
    <t>https://api.worldrugby.org/v1/teams/1151/results</t>
  </si>
  <si>
    <t>Free tier</t>
  </si>
  <si>
    <t>ESPN / Opta — Super Rugby Pacific stats (scrape)</t>
  </si>
  <si>
    <t>Super Rugby</t>
  </si>
  <si>
    <t>Web Scrape</t>
  </si>
  <si>
    <t>https://www.espn.com/rugby/standings/_/league/270557</t>
  </si>
  <si>
    <t>HTML / pandas</t>
  </si>
  <si>
    <t>Rugby Reference — All Blacks historical test data</t>
  </si>
  <si>
    <t>All Blacks</t>
  </si>
  <si>
    <t>https://www.rugbyreference.com/national-teams/new-zealand</t>
  </si>
  <si>
    <t>Opta / Statsperform — Official NZR data partner</t>
  </si>
  <si>
    <t>All Blacks / Super Rugby</t>
  </si>
  <si>
    <t>Enterprise API</t>
  </si>
  <si>
    <t>https://www.statsperform.com</t>
  </si>
  <si>
    <t>Paid</t>
  </si>
  <si>
    <t>Low</t>
  </si>
  <si>
    <t>JSON (enterprise)</t>
  </si>
  <si>
    <t>ESPNcricinfo Statsguru — NZ Black Caps (cricketdata Python lib)</t>
  </si>
  <si>
    <t>Cricket</t>
  </si>
  <si>
    <t>Black Caps</t>
  </si>
  <si>
    <t>Python Library + Scrape</t>
  </si>
  <si>
    <t>https://stats.espncricinfo.com/ci/engine/stats/index.html</t>
  </si>
  <si>
    <t>CSV / DataFrame</t>
  </si>
  <si>
    <t>CricAPI via RapidAPI — live NZ cricket</t>
  </si>
  <si>
    <t>https://rapidapi.com/cricketapilive/api/cricbuzz-cricket</t>
  </si>
  <si>
    <t>Free tier (100/day)</t>
  </si>
  <si>
    <t>NZ Cricket official site — fixtures &amp; squads (scrape)</t>
  </si>
  <si>
    <t>Black Caps / Domestic</t>
  </si>
  <si>
    <t>https://www.nzc.nz/black-caps/matches</t>
  </si>
  <si>
    <t>HTML / BeautifulSoup</t>
  </si>
  <si>
    <t>OFC / football-data.org — All Whites &amp; Football Ferns</t>
  </si>
  <si>
    <t>Football</t>
  </si>
  <si>
    <t>All Whites / Football Ferns</t>
  </si>
  <si>
    <t>https://api.football-data.org/v4/teams/73/matches</t>
  </si>
  <si>
    <t>NZ Football National League (scrape)</t>
  </si>
  <si>
    <t>NZ domestic</t>
  </si>
  <si>
    <t>https://www.nzfootball.co.nz/competitions</t>
  </si>
  <si>
    <t>Wellington Phoenix — API-Football (A-League)</t>
  </si>
  <si>
    <t>Wellington Phoenix</t>
  </si>
  <si>
    <t>https://v3.football.api-sports.io/fixtures?league=188&amp;team=1006</t>
  </si>
  <si>
    <t>NZ Sports Data — Progress Summary</t>
  </si>
  <si>
    <t>Auto-calculated from the Tracker sheet. Change statuses there — this sheet updates automatically.</t>
  </si>
  <si>
    <t>Metric</t>
  </si>
  <si>
    <t>Count</t>
  </si>
  <si>
    <t>% of Total</t>
  </si>
  <si>
    <t>Total Sources</t>
  </si>
  <si>
    <t>✅ Completed</t>
  </si>
  <si>
    <t>⏳ In Progress</t>
  </si>
  <si>
    <t>🔲 Not Started</t>
  </si>
  <si>
    <t>🚫 Blocked</t>
  </si>
  <si>
    <t>Breakdown by Category</t>
  </si>
  <si>
    <t>Total</t>
  </si>
  <si>
    <t>Completed</t>
  </si>
  <si>
    <t>In Progress</t>
  </si>
  <si>
    <t>Blocked</t>
  </si>
  <si>
    <t>% Done</t>
  </si>
  <si>
    <t>How to use this tracker</t>
  </si>
  <si>
    <t>STATUS VALUES</t>
  </si>
  <si>
    <t>You haven't begun accessing or integrating this data source yet</t>
  </si>
  <si>
    <t>You are currently accessing, downloading or integrating this source</t>
  </si>
  <si>
    <t>Data from this source is successfully integrated into your pipeline or analysis</t>
  </si>
  <si>
    <t>Something is preventing progress — note the blocker in the Notes column</t>
  </si>
  <si>
    <t>PRIORITY VALUES</t>
  </si>
  <si>
    <t>Core dataset — needed for the main analytics questions</t>
  </si>
  <si>
    <t>Useful complement — adds depth but not blocking</t>
  </si>
  <si>
    <t>Nice to have — explore once high/medium are done</t>
  </si>
  <si>
    <t>CATEGORY COLOUR CODES</t>
  </si>
  <si>
    <t>Sport NZ survey &amp; participation data</t>
  </si>
  <si>
    <t>data.govt.nz, Stats NZ, Ministry of Health</t>
  </si>
  <si>
    <t>All Blacks, Super Rugby, provincial rugby</t>
  </si>
  <si>
    <t>NZ Black Caps, domestic cricket (Super Smash, Plunket)</t>
  </si>
  <si>
    <t>All Whites, Football Ferns, Wellington Phoenix</t>
  </si>
  <si>
    <t>WORKFLOW STEPS</t>
  </si>
  <si>
    <t>1. Go to the 'NZ Sports Data Tracker' sheet</t>
  </si>
  <si>
    <t>2. For each source, click the Status column dropdown and update it</t>
  </si>
  <si>
    <t>3. Fill in 'Assigned To' with the team member's name</t>
  </si>
  <si>
    <t>4. Set 'Date Started' when you begin and 'Date Completed' when done</t>
  </si>
  <si>
    <t>5. Use 'Notes' for API keys, errors, pipeline paths, or blockers</t>
  </si>
  <si>
    <t>6. Check 'Summary Dashboard' sheet for live completion stats</t>
  </si>
  <si>
    <t>7. Rows will automatically change colour as you update the status</t>
  </si>
  <si>
    <t xml:space="preserve">This contain Active NZ Servey, Participaction pdf and excels but we have not downloaded it yet </t>
  </si>
  <si>
    <t xml:space="preserve">same pdf format and it have bar graph and all </t>
  </si>
  <si>
    <t>we have gone through all this above and stored that in db also</t>
  </si>
  <si>
    <t>404 Page not found</t>
  </si>
  <si>
    <t>502 bad gateway</t>
  </si>
  <si>
    <t>downloaded hug amount of data</t>
  </si>
  <si>
    <t>downloaded excel and csv</t>
  </si>
  <si>
    <t xml:space="preserve">Site not found </t>
  </si>
  <si>
    <t>Just have html page and it shows normal data</t>
  </si>
  <si>
    <t xml:space="preserve">this site can't be reached </t>
  </si>
  <si>
    <t>Not able to find any kind of excel related to NZ or any other country</t>
  </si>
  <si>
    <t>Not able to find any kind of excel related to NZ or any other country or any free api from which we can go with</t>
  </si>
  <si>
    <t>nothing just a static web page</t>
  </si>
  <si>
    <t>The resource you are looking for is restricted and apparently not within your permissions. Please check your subscription.</t>
  </si>
  <si>
    <t>Active NZ Survey 2024/25 (Latest Release)</t>
  </si>
  <si>
    <t>https://sportnz.org.nz/resources/active-nz-survey-202425/</t>
  </si>
  <si>
    <t>Voice of Rangatahi Survey 2023</t>
  </si>
  <si>
    <t>Sport NZ / Youth</t>
  </si>
  <si>
    <t>Voice of Participant Survey (Club Members)</t>
  </si>
  <si>
    <t>Sport NZ / Clubs</t>
  </si>
  <si>
    <t>School Sport NZ — Annual Census (2000–2024)</t>
  </si>
  <si>
    <t>School Sport</t>
  </si>
  <si>
    <t>Secondary School Sport</t>
  </si>
  <si>
    <t>PDF + Excel Download</t>
  </si>
  <si>
    <t>https://www.schoolsportnz.org.nz/Education/school-sport-nz-census-reports</t>
  </si>
  <si>
    <t>MCH — Sport &amp; Recreation Industry Profile 2024 (Infometrics)</t>
  </si>
  <si>
    <t>PDF Download</t>
  </si>
  <si>
    <t>https://www.mch.govt.nz/sites/default/files/2025-03/sport-and-recreation-industry-profile-2024.pdf</t>
  </si>
  <si>
    <t>Stats NZ — 2023 Census Data (Sport/Recreation filter)</t>
  </si>
  <si>
    <t>https://www.stats.govt.nz/topics/census/</t>
  </si>
  <si>
    <t>Stats NZ — Wellbeing Data (100 Indicators)</t>
  </si>
  <si>
    <t>https://www.stats.govt.nz/indicators/wellbeing-statistics/</t>
  </si>
  <si>
    <t>ACC — Sport Injury Claims Data (Sportwise)</t>
  </si>
  <si>
    <t>Health/Research</t>
  </si>
  <si>
    <t>Cross-sport NZ</t>
  </si>
  <si>
    <t>https://www.acc.co.nz/sportwise</t>
  </si>
  <si>
    <t>Sport &amp; Recreation Knowledge Library (srknowledge.org.nz)</t>
  </si>
  <si>
    <t>Web Search / PDF</t>
  </si>
  <si>
    <t>https://www.srknowledge.org.nz/</t>
  </si>
  <si>
    <t>downloaded</t>
  </si>
  <si>
    <t>Excel (.xlsx) + PDF</t>
  </si>
  <si>
    <t>done</t>
  </si>
  <si>
    <t>PDF (tables extractable)</t>
  </si>
  <si>
    <t>nothing available</t>
  </si>
  <si>
    <t>Excel / CSV</t>
  </si>
  <si>
    <t>CSV / Excel</t>
  </si>
  <si>
    <t>PDF / Reports</t>
  </si>
  <si>
    <t>AUT Statistical Data Guide — Sport &amp; Recreation</t>
  </si>
  <si>
    <t>Web (Discovery Hub)</t>
  </si>
  <si>
    <t>https://aut.ac.nz.libguides.com/find_statistical_data/sport_and_rec</t>
  </si>
  <si>
    <t>Downloaded pdf and excels  tried to read medallion architecture</t>
  </si>
  <si>
    <t>Various (links hub)</t>
  </si>
  <si>
    <t>NZ Cricket — Annual Reports &amp; Statistics</t>
  </si>
  <si>
    <t>https://www.nzc.nz/about/annual-reports</t>
  </si>
  <si>
    <t>PDF (tables)</t>
  </si>
  <si>
    <t>NZ Rugby (NZR) — Official Stats &amp; Reports</t>
  </si>
  <si>
    <t>All Blacks / NZ Rugby</t>
  </si>
  <si>
    <t>Web Scrape / PDF</t>
  </si>
  <si>
    <t>https://www.nzrugby.co.nz</t>
  </si>
  <si>
    <t>PDF / HTML</t>
  </si>
  <si>
    <t>Paralympics New Zealand — Disability Sport Data</t>
  </si>
  <si>
    <t>Disability Sport NZ</t>
  </si>
  <si>
    <t>https://www.paralympics.org.nz</t>
  </si>
  <si>
    <t>Knowledge Auckland — Sport &amp; Recreation Reports</t>
  </si>
  <si>
    <t>Auckland Region</t>
  </si>
  <si>
    <t>https://www.knowledgeauckland.org.nz</t>
  </si>
  <si>
    <t>PDF / Excel</t>
  </si>
  <si>
    <t xml:space="preserve">NO data found in that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</si>
</sst>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9"/>
      <color rgb="FF0F6E56"/>
      <name val="Arial"/>
      <charset val="1"/>
    </font>
    <font>
      <sz val="9"/>
      <color rgb="FF1A1A1A"/>
      <name val="Arial"/>
      <charset val="1"/>
    </font>
    <font>
      <sz val="9"/>
      <color rgb="FF185FA5"/>
      <name val="Arial"/>
      <charset val="1"/>
    </font>
    <font>
      <b/>
      <sz val="9"/>
      <color rgb="FF888780"/>
      <name val="Arial"/>
      <charset val="1"/>
    </font>
    <font>
      <b/>
      <sz val="9"/>
      <color rgb="FF993C1D"/>
      <name val="Arial"/>
      <charset val="1"/>
    </font>
    <font>
      <b/>
      <sz val="9"/>
      <color rgb="FFBA7517"/>
      <name val="Arial"/>
      <charset val="1"/>
    </font>
    <font>
      <b/>
      <sz val="9"/>
      <color rgb="FF185FA5"/>
      <name val="Arial"/>
      <charset val="1"/>
    </font>
    <font>
      <b/>
      <sz val="9"/>
      <color rgb="FF534AB7"/>
      <name val="Arial"/>
      <charset val="1"/>
    </font>
    <font>
      <b/>
      <sz val="9"/>
      <color rgb="FF27500A"/>
      <name val="Arial"/>
      <charset val="1"/>
    </font>
    <font>
      <b/>
      <sz val="10"/>
      <color rgb="FF444441"/>
      <name val="Arial"/>
      <charset val="1"/>
    </font>
    <font>
      <b/>
      <sz val="10"/>
      <color rgb="FF1A5C30"/>
      <name val="Arial"/>
      <charset val="1"/>
    </font>
    <font>
      <b/>
      <sz val="10"/>
      <color rgb="FF0C447C"/>
      <name val="Arial"/>
      <charset val="1"/>
    </font>
    <font>
      <b/>
      <sz val="10"/>
      <color rgb="FF888780"/>
      <name val="Arial"/>
      <charset val="1"/>
    </font>
    <font>
      <b/>
      <sz val="10"/>
      <color rgb="FF7C1D1D"/>
      <name val="Arial"/>
      <charset val="1"/>
    </font>
    <font>
      <b/>
      <sz val="10"/>
      <color rgb="FF0F6E56"/>
      <name val="Arial"/>
      <charset val="1"/>
    </font>
    <font>
      <sz val="10"/>
      <color rgb="FF0F6E56"/>
      <name val="Arial"/>
      <charset val="1"/>
    </font>
    <font>
      <b/>
      <sz val="10"/>
      <color rgb="FF185FA5"/>
      <name val="Arial"/>
      <charset val="1"/>
    </font>
    <font>
      <sz val="10"/>
      <color rgb="FF185FA5"/>
      <name val="Arial"/>
      <charset val="1"/>
    </font>
    <font>
      <b/>
      <sz val="10"/>
      <color rgb="FF534AB7"/>
      <name val="Arial"/>
      <charset val="1"/>
    </font>
    <font>
      <sz val="10"/>
      <color rgb="FF534AB7"/>
      <name val="Arial"/>
      <charset val="1"/>
    </font>
    <font>
      <b/>
      <sz val="10"/>
      <color rgb="FFBA7517"/>
      <name val="Arial"/>
      <charset val="1"/>
    </font>
    <font>
      <sz val="10"/>
      <color rgb="FFBA7517"/>
      <name val="Arial"/>
      <charset val="1"/>
    </font>
    <font>
      <b/>
      <sz val="10"/>
      <color rgb="FF27500A"/>
      <name val="Arial"/>
      <charset val="1"/>
    </font>
    <font>
      <sz val="10"/>
      <color rgb="FF27500A"/>
      <name val="Arial"/>
      <charset val="1"/>
    </font>
    <font>
      <b/>
      <sz val="10"/>
      <color rgb="FF993C1D"/>
      <name val="Arial"/>
      <charset val="1"/>
    </font>
    <font>
      <sz val="10"/>
      <color rgb="FF1A1A1A"/>
      <name val="Arial"/>
      <family val="2"/>
    </font>
    <font>
      <sz val="10"/>
      <color rgb="FF000000"/>
      <name val="Arial"/>
      <charset val="1"/>
    </font>
    <font>
      <u/>
      <sz val="11"/>
      <color theme="1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534AB7"/>
        <bgColor rgb="FF333399"/>
      </patternFill>
    </fill>
    <fill>
      <patternFill patternType="solid">
        <fgColor rgb="FFF7F6F3"/>
        <bgColor rgb="FFFAFAF8"/>
      </patternFill>
    </fill>
    <fill>
      <patternFill patternType="solid">
        <fgColor rgb="FFE1F5EE"/>
        <bgColor rgb="FFE6F1FB"/>
      </patternFill>
    </fill>
    <fill>
      <patternFill patternType="solid">
        <fgColor rgb="FFFAECE7"/>
        <bgColor rgb="FFFCE8E8"/>
      </patternFill>
    </fill>
    <fill>
      <patternFill patternType="solid">
        <fgColor rgb="FFFFFFFF"/>
        <bgColor rgb="FFFAFAF8"/>
      </patternFill>
    </fill>
    <fill>
      <patternFill patternType="solid">
        <fgColor rgb="FFFAEEDA"/>
        <bgColor rgb="FFFAECE7"/>
      </patternFill>
    </fill>
    <fill>
      <patternFill patternType="solid">
        <fgColor rgb="FFE6F1FB"/>
        <bgColor rgb="FFEEEDFE"/>
      </patternFill>
    </fill>
    <fill>
      <patternFill patternType="solid">
        <fgColor rgb="FFEEEDFE"/>
        <bgColor rgb="FFE6F1FB"/>
      </patternFill>
    </fill>
    <fill>
      <patternFill patternType="solid">
        <fgColor rgb="FFEAF3DE"/>
        <bgColor rgb="FFE1F5EE"/>
      </patternFill>
    </fill>
    <fill>
      <patternFill patternType="solid">
        <fgColor rgb="FFD6F4E0"/>
        <bgColor rgb="FFE1F5EE"/>
      </patternFill>
    </fill>
    <fill>
      <patternFill patternType="solid">
        <fgColor rgb="FFFCE8E8"/>
        <bgColor rgb="FFFAECE7"/>
      </patternFill>
    </fill>
    <fill>
      <patternFill patternType="solid">
        <fgColor rgb="FFFAFAF8"/>
        <bgColor rgb="FFF7F6F3"/>
      </patternFill>
    </fill>
    <fill>
      <patternFill patternType="solid">
        <fgColor rgb="FFFFF0CC"/>
        <bgColor rgb="FFFAEEDA"/>
      </patternFill>
    </fill>
    <fill>
      <patternFill patternType="solid">
        <fgColor rgb="FFFCE4EC"/>
        <bgColor rgb="FFFCE8E8"/>
      </patternFill>
    </fill>
  </fills>
  <borders count="4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7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9" fontId="16" fillId="12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center" vertical="center"/>
    </xf>
    <xf numFmtId="9" fontId="17" fillId="9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9" fontId="18" fillId="4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center" vertical="center"/>
    </xf>
    <xf numFmtId="9" fontId="19" fillId="13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9" fontId="20" fillId="5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9" fontId="22" fillId="9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/>
    </xf>
    <xf numFmtId="9" fontId="24" fillId="10" borderId="1" xfId="0" applyNumberFormat="1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left" vertical="center"/>
    </xf>
    <xf numFmtId="0" fontId="27" fillId="8" borderId="1" xfId="0" applyFont="1" applyFill="1" applyBorder="1" applyAlignment="1">
      <alignment horizontal="center" vertical="center"/>
    </xf>
    <xf numFmtId="9" fontId="26" fillId="8" borderId="1" xfId="0" applyNumberFormat="1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left" vertical="center"/>
    </xf>
    <xf numFmtId="0" fontId="29" fillId="11" borderId="1" xfId="0" applyFont="1" applyFill="1" applyBorder="1" applyAlignment="1">
      <alignment horizontal="center" vertical="center"/>
    </xf>
    <xf numFmtId="9" fontId="28" fillId="11" borderId="1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1" fillId="7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2" fillId="4" borderId="3" xfId="0" applyFont="1" applyFill="1" applyBorder="1" applyAlignment="1">
      <alignment vertical="top" wrapText="1"/>
    </xf>
    <xf numFmtId="0" fontId="32" fillId="5" borderId="3" xfId="0" applyFont="1" applyFill="1" applyBorder="1" applyAlignment="1">
      <alignment vertical="top" wrapText="1"/>
    </xf>
    <xf numFmtId="0" fontId="33" fillId="4" borderId="3" xfId="1" applyFill="1" applyBorder="1" applyAlignment="1">
      <alignment vertical="top" wrapText="1"/>
    </xf>
    <xf numFmtId="0" fontId="32" fillId="15" borderId="3" xfId="0" applyFont="1" applyFill="1" applyBorder="1" applyAlignment="1">
      <alignment vertical="top" wrapText="1"/>
    </xf>
    <xf numFmtId="0" fontId="32" fillId="9" borderId="3" xfId="0" applyFont="1" applyFill="1" applyBorder="1" applyAlignment="1">
      <alignment vertical="top" wrapText="1"/>
    </xf>
    <xf numFmtId="0" fontId="32" fillId="16" borderId="3" xfId="0" applyFont="1" applyFill="1" applyBorder="1" applyAlignment="1">
      <alignment vertical="top" wrapText="1"/>
    </xf>
    <xf numFmtId="0" fontId="32" fillId="6" borderId="3" xfId="0" applyFont="1" applyFill="1" applyBorder="1" applyAlignment="1">
      <alignment vertical="top" wrapText="1"/>
    </xf>
    <xf numFmtId="0" fontId="32" fillId="4" borderId="3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vertical="top" wrapText="1"/>
    </xf>
    <xf numFmtId="0" fontId="32" fillId="10" borderId="3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15">
    <dxf>
      <font>
        <sz val="10"/>
        <color rgb="FF7C1D1D"/>
        <name val="Arial"/>
      </font>
      <fill>
        <patternFill>
          <bgColor rgb="FFFCE8E8"/>
        </patternFill>
      </fill>
    </dxf>
    <dxf>
      <font>
        <sz val="10"/>
        <color rgb="FF0C447C"/>
        <name val="Arial"/>
      </font>
      <fill>
        <patternFill>
          <bgColor rgb="FFE6F1FB"/>
        </patternFill>
      </fill>
    </dxf>
    <dxf>
      <font>
        <sz val="10"/>
        <color rgb="FF1A5C30"/>
        <name val="Arial"/>
      </font>
      <fill>
        <patternFill>
          <bgColor rgb="FFD6F4E0"/>
        </patternFill>
      </fill>
    </dxf>
    <dxf>
      <font>
        <sz val="10"/>
        <color rgb="FF7C1D1D"/>
        <name val="Arial"/>
      </font>
      <fill>
        <patternFill>
          <bgColor rgb="FFFCE8E8"/>
        </patternFill>
      </fill>
    </dxf>
    <dxf>
      <font>
        <sz val="10"/>
        <color rgb="FF0C447C"/>
        <name val="Arial"/>
      </font>
      <fill>
        <patternFill>
          <bgColor rgb="FFE6F1FB"/>
        </patternFill>
      </fill>
    </dxf>
    <dxf>
      <font>
        <sz val="10"/>
        <color rgb="FF1A5C30"/>
        <name val="Arial"/>
      </font>
      <fill>
        <patternFill>
          <bgColor rgb="FFD6F4E0"/>
        </patternFill>
      </fill>
    </dxf>
    <dxf>
      <font>
        <sz val="10"/>
        <color rgb="FF7C1D1D"/>
        <name val="Arial"/>
      </font>
      <fill>
        <patternFill>
          <bgColor rgb="FFFCE8E8"/>
        </patternFill>
      </fill>
    </dxf>
    <dxf>
      <font>
        <sz val="10"/>
        <color rgb="FF0C447C"/>
        <name val="Arial"/>
      </font>
      <fill>
        <patternFill>
          <bgColor rgb="FFE6F1FB"/>
        </patternFill>
      </fill>
    </dxf>
    <dxf>
      <font>
        <sz val="10"/>
        <color rgb="FF1A5C30"/>
        <name val="Arial"/>
      </font>
      <fill>
        <patternFill>
          <bgColor rgb="FFD6F4E0"/>
        </patternFill>
      </fill>
    </dxf>
    <dxf>
      <font>
        <sz val="10"/>
        <color rgb="FF7C1D1D"/>
        <name val="Arial"/>
      </font>
      <fill>
        <patternFill>
          <bgColor rgb="FFFCE8E8"/>
        </patternFill>
      </fill>
    </dxf>
    <dxf>
      <font>
        <sz val="10"/>
        <color rgb="FF0C447C"/>
        <name val="Arial"/>
      </font>
      <fill>
        <patternFill>
          <bgColor rgb="FFE6F1FB"/>
        </patternFill>
      </fill>
    </dxf>
    <dxf>
      <font>
        <sz val="10"/>
        <color rgb="FF1A5C30"/>
        <name val="Arial"/>
      </font>
      <fill>
        <patternFill>
          <bgColor rgb="FFD6F4E0"/>
        </patternFill>
      </fill>
    </dxf>
    <dxf>
      <font>
        <sz val="10"/>
        <color rgb="FF7C1D1D"/>
        <name val="Arial"/>
      </font>
      <fill>
        <patternFill>
          <bgColor rgb="FFFCE8E8"/>
        </patternFill>
      </fill>
    </dxf>
    <dxf>
      <font>
        <sz val="10"/>
        <color rgb="FF0C447C"/>
        <name val="Arial"/>
      </font>
      <fill>
        <patternFill>
          <bgColor rgb="FFE6F1FB"/>
        </patternFill>
      </fill>
    </dxf>
    <dxf>
      <font>
        <sz val="10"/>
        <color rgb="FF1A5C30"/>
        <name val="Arial"/>
      </font>
      <fill>
        <patternFill>
          <bgColor rgb="FFD6F4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1D"/>
      <rgbColor rgb="FF1A5C30"/>
      <rgbColor rgb="FF1A1A1A"/>
      <rgbColor rgb="FFBA7517"/>
      <rgbColor rgb="FF800080"/>
      <rgbColor rgb="FF0F6E56"/>
      <rgbColor rgb="FFD3D1C7"/>
      <rgbColor rgb="FF888780"/>
      <rgbColor rgb="FF9999FF"/>
      <rgbColor rgb="FF993366"/>
      <rgbColor rgb="FFFAEEDA"/>
      <rgbColor rgb="FFE1F5EE"/>
      <rgbColor rgb="FF660066"/>
      <rgbColor rgb="FFFF8080"/>
      <rgbColor rgb="FF185FA5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D6F4E0"/>
      <rgbColor rgb="FFEAF3DE"/>
      <rgbColor rgb="FFFAECE7"/>
      <rgbColor rgb="FFF7F6F3"/>
      <rgbColor rgb="FFFAFAF8"/>
      <rgbColor rgb="FFFCE8E8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C447C"/>
      <rgbColor rgb="FF339966"/>
      <rgbColor rgb="FF0D1B2A"/>
      <rgbColor rgb="FF27500A"/>
      <rgbColor rgb="FF993C1D"/>
      <rgbColor rgb="FF99336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portnz.org.nz/research-and-insights/surveys-and-data/voice-of-participa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A"/>
  </sheetPr>
  <dimension ref="A1:N38"/>
  <sheetViews>
    <sheetView showGridLines="0" tabSelected="1" topLeftCell="C1" zoomScaleNormal="100" workbookViewId="0">
      <pane ySplit="3" topLeftCell="A4" activePane="bottomLeft" state="frozen"/>
      <selection pane="bottomLeft" activeCell="M38" sqref="M38"/>
    </sheetView>
  </sheetViews>
  <sheetFormatPr defaultColWidth="8.6640625" defaultRowHeight="14.4" x14ac:dyDescent="0.3"/>
  <cols>
    <col min="1" max="1" width="4" customWidth="1"/>
    <col min="2" max="2" width="32" customWidth="1"/>
    <col min="3" max="4" width="18" customWidth="1"/>
    <col min="5" max="5" width="14" style="61" customWidth="1"/>
    <col min="6" max="6" width="80.88671875" bestFit="1" customWidth="1"/>
    <col min="7" max="7" width="10" customWidth="1"/>
    <col min="8" max="8" width="14" customWidth="1"/>
    <col min="9" max="9" width="10" hidden="1" customWidth="1"/>
    <col min="10" max="10" width="16" hidden="1" customWidth="1"/>
    <col min="11" max="12" width="14" hidden="1" customWidth="1"/>
    <col min="13" max="13" width="35" style="61" customWidth="1"/>
    <col min="14" max="14" width="13" hidden="1" customWidth="1"/>
  </cols>
  <sheetData>
    <row r="1" spans="1:14" ht="33.7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19.5" customHeight="1" x14ac:dyDescent="0.3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21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58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58" t="s">
        <v>14</v>
      </c>
      <c r="N3" s="1" t="s">
        <v>15</v>
      </c>
    </row>
    <row r="4" spans="1:14" ht="39.6" x14ac:dyDescent="0.3">
      <c r="A4" s="2">
        <v>1</v>
      </c>
      <c r="B4" s="3" t="s">
        <v>16</v>
      </c>
      <c r="C4" s="4" t="s">
        <v>17</v>
      </c>
      <c r="D4" s="5" t="s">
        <v>18</v>
      </c>
      <c r="E4" s="59" t="s">
        <v>19</v>
      </c>
      <c r="F4" s="6" t="s">
        <v>20</v>
      </c>
      <c r="G4" s="4" t="s">
        <v>21</v>
      </c>
      <c r="H4" s="7" t="s">
        <v>110</v>
      </c>
      <c r="I4" s="8" t="s">
        <v>23</v>
      </c>
      <c r="J4" s="9"/>
      <c r="K4" s="10">
        <v>46175</v>
      </c>
      <c r="L4" s="10"/>
      <c r="M4" s="11" t="s">
        <v>138</v>
      </c>
      <c r="N4" s="5" t="s">
        <v>24</v>
      </c>
    </row>
    <row r="5" spans="1:14" ht="21.75" customHeight="1" x14ac:dyDescent="0.3">
      <c r="A5" s="12">
        <v>2</v>
      </c>
      <c r="B5" s="13" t="s">
        <v>25</v>
      </c>
      <c r="C5" s="4" t="s">
        <v>17</v>
      </c>
      <c r="D5" s="14" t="s">
        <v>18</v>
      </c>
      <c r="E5" s="60" t="s">
        <v>19</v>
      </c>
      <c r="F5" s="15" t="s">
        <v>26</v>
      </c>
      <c r="G5" s="4" t="s">
        <v>21</v>
      </c>
      <c r="H5" s="7" t="s">
        <v>110</v>
      </c>
      <c r="I5" s="8" t="s">
        <v>23</v>
      </c>
      <c r="J5" s="16"/>
      <c r="K5" s="10">
        <v>46175</v>
      </c>
      <c r="L5" s="17"/>
      <c r="M5" s="18" t="s">
        <v>139</v>
      </c>
      <c r="N5" s="14" t="s">
        <v>27</v>
      </c>
    </row>
    <row r="6" spans="1:14" ht="21.75" customHeight="1" x14ac:dyDescent="0.3">
      <c r="A6" s="2">
        <v>3</v>
      </c>
      <c r="B6" s="3" t="s">
        <v>28</v>
      </c>
      <c r="C6" s="4" t="s">
        <v>17</v>
      </c>
      <c r="D6" s="5" t="s">
        <v>18</v>
      </c>
      <c r="E6" s="59" t="s">
        <v>29</v>
      </c>
      <c r="F6" s="6" t="s">
        <v>30</v>
      </c>
      <c r="G6" s="4" t="s">
        <v>21</v>
      </c>
      <c r="H6" s="7" t="s">
        <v>110</v>
      </c>
      <c r="I6" s="19" t="s">
        <v>31</v>
      </c>
      <c r="J6" s="9"/>
      <c r="K6" s="10">
        <v>46175</v>
      </c>
      <c r="L6" s="10"/>
      <c r="M6" s="11" t="s">
        <v>140</v>
      </c>
      <c r="N6" s="5" t="s">
        <v>32</v>
      </c>
    </row>
    <row r="7" spans="1:14" ht="21.75" customHeight="1" x14ac:dyDescent="0.3">
      <c r="A7" s="12">
        <v>4</v>
      </c>
      <c r="B7" s="13" t="s">
        <v>33</v>
      </c>
      <c r="C7" s="4" t="s">
        <v>17</v>
      </c>
      <c r="D7" s="14" t="s">
        <v>18</v>
      </c>
      <c r="E7" s="60" t="s">
        <v>19</v>
      </c>
      <c r="F7" s="15" t="s">
        <v>34</v>
      </c>
      <c r="G7" s="4" t="s">
        <v>21</v>
      </c>
      <c r="H7" s="7" t="s">
        <v>110</v>
      </c>
      <c r="I7" s="19" t="s">
        <v>31</v>
      </c>
      <c r="J7" s="16"/>
      <c r="K7" s="10">
        <v>46175</v>
      </c>
      <c r="L7" s="17"/>
      <c r="M7" s="62" t="s">
        <v>141</v>
      </c>
      <c r="N7" s="14" t="s">
        <v>24</v>
      </c>
    </row>
    <row r="8" spans="1:14" ht="21.75" customHeight="1" x14ac:dyDescent="0.3">
      <c r="A8" s="2">
        <v>5</v>
      </c>
      <c r="B8" s="3" t="s">
        <v>35</v>
      </c>
      <c r="C8" s="4" t="s">
        <v>17</v>
      </c>
      <c r="D8" s="5" t="s">
        <v>18</v>
      </c>
      <c r="E8" s="59" t="s">
        <v>19</v>
      </c>
      <c r="F8" s="6" t="s">
        <v>36</v>
      </c>
      <c r="G8" s="4" t="s">
        <v>21</v>
      </c>
      <c r="H8" s="7" t="s">
        <v>112</v>
      </c>
      <c r="I8" s="19" t="s">
        <v>31</v>
      </c>
      <c r="J8" s="9"/>
      <c r="K8" s="10">
        <v>46175</v>
      </c>
      <c r="L8" s="10"/>
      <c r="M8" s="62" t="s">
        <v>141</v>
      </c>
      <c r="N8" s="5" t="s">
        <v>24</v>
      </c>
    </row>
    <row r="9" spans="1:14" ht="21.75" customHeight="1" x14ac:dyDescent="0.3">
      <c r="A9" s="12">
        <v>6</v>
      </c>
      <c r="B9" s="13" t="s">
        <v>37</v>
      </c>
      <c r="C9" s="20" t="s">
        <v>38</v>
      </c>
      <c r="D9" s="14" t="s">
        <v>39</v>
      </c>
      <c r="E9" s="60" t="s">
        <v>40</v>
      </c>
      <c r="F9" s="15" t="s">
        <v>41</v>
      </c>
      <c r="G9" s="4" t="s">
        <v>21</v>
      </c>
      <c r="H9" s="7" t="s">
        <v>112</v>
      </c>
      <c r="I9" s="8" t="s">
        <v>23</v>
      </c>
      <c r="J9" s="16"/>
      <c r="K9" s="10">
        <v>46175</v>
      </c>
      <c r="L9" s="17"/>
      <c r="M9" s="18" t="s">
        <v>141</v>
      </c>
      <c r="N9" s="14" t="s">
        <v>42</v>
      </c>
    </row>
    <row r="10" spans="1:14" ht="21.75" customHeight="1" x14ac:dyDescent="0.3">
      <c r="A10" s="2">
        <v>7</v>
      </c>
      <c r="B10" s="3" t="s">
        <v>43</v>
      </c>
      <c r="C10" s="20" t="s">
        <v>38</v>
      </c>
      <c r="D10" s="5" t="s">
        <v>39</v>
      </c>
      <c r="E10" s="59" t="s">
        <v>44</v>
      </c>
      <c r="F10" s="6" t="s">
        <v>45</v>
      </c>
      <c r="G10" s="4" t="s">
        <v>21</v>
      </c>
      <c r="H10" s="7" t="s">
        <v>112</v>
      </c>
      <c r="I10" s="8" t="s">
        <v>23</v>
      </c>
      <c r="J10" s="9"/>
      <c r="K10" s="10">
        <v>46175</v>
      </c>
      <c r="L10" s="10"/>
      <c r="M10" s="11" t="s">
        <v>142</v>
      </c>
      <c r="N10" s="5" t="s">
        <v>46</v>
      </c>
    </row>
    <row r="11" spans="1:14" ht="21.75" customHeight="1" x14ac:dyDescent="0.3">
      <c r="A11" s="12">
        <v>8</v>
      </c>
      <c r="B11" s="13" t="s">
        <v>47</v>
      </c>
      <c r="C11" s="20" t="s">
        <v>38</v>
      </c>
      <c r="D11" s="14" t="s">
        <v>39</v>
      </c>
      <c r="E11" s="60" t="s">
        <v>40</v>
      </c>
      <c r="F11" s="15" t="s">
        <v>45</v>
      </c>
      <c r="G11" s="20" t="s">
        <v>48</v>
      </c>
      <c r="H11" s="7" t="s">
        <v>112</v>
      </c>
      <c r="I11" s="8" t="s">
        <v>23</v>
      </c>
      <c r="J11" s="16"/>
      <c r="K11" s="10">
        <v>46175</v>
      </c>
      <c r="L11" s="17"/>
      <c r="M11" s="18">
        <v>502</v>
      </c>
      <c r="N11" s="14" t="s">
        <v>42</v>
      </c>
    </row>
    <row r="12" spans="1:14" ht="21.75" customHeight="1" x14ac:dyDescent="0.3">
      <c r="A12" s="2">
        <v>9</v>
      </c>
      <c r="B12" s="3" t="s">
        <v>49</v>
      </c>
      <c r="C12" s="20" t="s">
        <v>38</v>
      </c>
      <c r="D12" s="5" t="s">
        <v>39</v>
      </c>
      <c r="E12" s="59" t="s">
        <v>50</v>
      </c>
      <c r="F12" s="6" t="s">
        <v>51</v>
      </c>
      <c r="G12" s="4" t="s">
        <v>21</v>
      </c>
      <c r="H12" s="7" t="s">
        <v>110</v>
      </c>
      <c r="I12" s="19" t="s">
        <v>31</v>
      </c>
      <c r="J12" s="9"/>
      <c r="K12" s="10">
        <v>46175</v>
      </c>
      <c r="L12" s="10">
        <v>46176</v>
      </c>
      <c r="M12" s="11" t="s">
        <v>143</v>
      </c>
      <c r="N12" s="5" t="s">
        <v>52</v>
      </c>
    </row>
    <row r="13" spans="1:14" ht="21.75" customHeight="1" x14ac:dyDescent="0.3">
      <c r="A13" s="12">
        <v>10</v>
      </c>
      <c r="B13" s="13" t="s">
        <v>53</v>
      </c>
      <c r="C13" s="20" t="s">
        <v>38</v>
      </c>
      <c r="D13" s="14" t="s">
        <v>39</v>
      </c>
      <c r="E13" s="60" t="s">
        <v>19</v>
      </c>
      <c r="F13" s="15" t="s">
        <v>54</v>
      </c>
      <c r="G13" s="4" t="s">
        <v>21</v>
      </c>
      <c r="H13" s="7" t="s">
        <v>110</v>
      </c>
      <c r="I13" s="19" t="s">
        <v>31</v>
      </c>
      <c r="J13" s="16"/>
      <c r="K13" s="10">
        <v>46176</v>
      </c>
      <c r="L13" s="17">
        <v>46177</v>
      </c>
      <c r="M13" s="18" t="s">
        <v>144</v>
      </c>
      <c r="N13" s="14" t="s">
        <v>24</v>
      </c>
    </row>
    <row r="14" spans="1:14" ht="21.75" customHeight="1" x14ac:dyDescent="0.3">
      <c r="A14" s="2">
        <v>11</v>
      </c>
      <c r="B14" s="3" t="s">
        <v>55</v>
      </c>
      <c r="C14" s="21" t="s">
        <v>56</v>
      </c>
      <c r="D14" s="5" t="s">
        <v>57</v>
      </c>
      <c r="E14" s="59" t="s">
        <v>40</v>
      </c>
      <c r="F14" s="6" t="s">
        <v>58</v>
      </c>
      <c r="G14" s="19" t="s">
        <v>59</v>
      </c>
      <c r="H14" s="7" t="s">
        <v>112</v>
      </c>
      <c r="I14" s="8" t="s">
        <v>23</v>
      </c>
      <c r="J14" s="9"/>
      <c r="K14" s="17">
        <v>46177</v>
      </c>
      <c r="L14" s="17">
        <v>46177</v>
      </c>
      <c r="M14" s="11" t="s">
        <v>145</v>
      </c>
      <c r="N14" s="5" t="s">
        <v>42</v>
      </c>
    </row>
    <row r="15" spans="1:14" ht="26.4" x14ac:dyDescent="0.3">
      <c r="A15" s="12">
        <v>12</v>
      </c>
      <c r="B15" s="13" t="s">
        <v>60</v>
      </c>
      <c r="C15" s="21" t="s">
        <v>56</v>
      </c>
      <c r="D15" s="14" t="s">
        <v>61</v>
      </c>
      <c r="E15" s="60" t="s">
        <v>62</v>
      </c>
      <c r="F15" s="15" t="s">
        <v>63</v>
      </c>
      <c r="G15" s="4" t="s">
        <v>21</v>
      </c>
      <c r="H15" s="7" t="s">
        <v>110</v>
      </c>
      <c r="I15" s="19" t="s">
        <v>31</v>
      </c>
      <c r="J15" s="16"/>
      <c r="K15" s="17">
        <v>46177</v>
      </c>
      <c r="L15" s="17">
        <v>46177</v>
      </c>
      <c r="M15" s="18" t="s">
        <v>146</v>
      </c>
      <c r="N15" s="14" t="s">
        <v>64</v>
      </c>
    </row>
    <row r="16" spans="1:14" ht="21.75" customHeight="1" x14ac:dyDescent="0.3">
      <c r="A16" s="2">
        <v>13</v>
      </c>
      <c r="B16" s="3" t="s">
        <v>65</v>
      </c>
      <c r="C16" s="21" t="s">
        <v>56</v>
      </c>
      <c r="D16" s="5" t="s">
        <v>66</v>
      </c>
      <c r="E16" s="59" t="s">
        <v>62</v>
      </c>
      <c r="F16" s="6" t="s">
        <v>67</v>
      </c>
      <c r="G16" s="4" t="s">
        <v>21</v>
      </c>
      <c r="H16" s="7" t="s">
        <v>112</v>
      </c>
      <c r="I16" s="19" t="s">
        <v>31</v>
      </c>
      <c r="J16" s="9"/>
      <c r="K16" s="17">
        <v>46177</v>
      </c>
      <c r="L16" s="17">
        <v>46177</v>
      </c>
      <c r="M16" s="11" t="s">
        <v>147</v>
      </c>
      <c r="N16" s="5" t="s">
        <v>64</v>
      </c>
    </row>
    <row r="17" spans="1:14" ht="21.75" customHeight="1" x14ac:dyDescent="0.3">
      <c r="A17" s="12">
        <v>14</v>
      </c>
      <c r="B17" s="13" t="s">
        <v>68</v>
      </c>
      <c r="C17" s="21" t="s">
        <v>56</v>
      </c>
      <c r="D17" s="14" t="s">
        <v>69</v>
      </c>
      <c r="E17" s="60" t="s">
        <v>70</v>
      </c>
      <c r="F17" s="15" t="s">
        <v>71</v>
      </c>
      <c r="G17" s="8" t="s">
        <v>72</v>
      </c>
      <c r="H17" s="7" t="s">
        <v>112</v>
      </c>
      <c r="I17" s="22" t="s">
        <v>73</v>
      </c>
      <c r="J17" s="16"/>
      <c r="K17" s="17">
        <v>46177</v>
      </c>
      <c r="L17" s="17">
        <v>46177</v>
      </c>
      <c r="M17" s="18"/>
      <c r="N17" s="14" t="s">
        <v>74</v>
      </c>
    </row>
    <row r="18" spans="1:14" ht="26.4" x14ac:dyDescent="0.3">
      <c r="A18" s="2">
        <v>15</v>
      </c>
      <c r="B18" s="3" t="s">
        <v>75</v>
      </c>
      <c r="C18" s="19" t="s">
        <v>76</v>
      </c>
      <c r="D18" s="5" t="s">
        <v>77</v>
      </c>
      <c r="E18" s="59" t="s">
        <v>78</v>
      </c>
      <c r="F18" s="6" t="s">
        <v>79</v>
      </c>
      <c r="G18" s="4" t="s">
        <v>21</v>
      </c>
      <c r="H18" s="7" t="s">
        <v>112</v>
      </c>
      <c r="I18" s="8" t="s">
        <v>23</v>
      </c>
      <c r="J18" s="9"/>
      <c r="K18" s="17">
        <v>46177</v>
      </c>
      <c r="L18" s="17">
        <v>46177</v>
      </c>
      <c r="M18" s="11" t="s">
        <v>148</v>
      </c>
      <c r="N18" s="5" t="s">
        <v>80</v>
      </c>
    </row>
    <row r="19" spans="1:14" ht="21.75" customHeight="1" x14ac:dyDescent="0.3">
      <c r="A19" s="12">
        <v>16</v>
      </c>
      <c r="B19" s="13" t="s">
        <v>81</v>
      </c>
      <c r="C19" s="19" t="s">
        <v>76</v>
      </c>
      <c r="D19" s="14" t="s">
        <v>77</v>
      </c>
      <c r="E19" s="60" t="s">
        <v>40</v>
      </c>
      <c r="F19" s="15" t="s">
        <v>82</v>
      </c>
      <c r="G19" s="19" t="s">
        <v>83</v>
      </c>
      <c r="H19" s="7" t="s">
        <v>112</v>
      </c>
      <c r="I19" s="8" t="s">
        <v>23</v>
      </c>
      <c r="J19" s="16"/>
      <c r="K19" s="17">
        <v>46177</v>
      </c>
      <c r="L19" s="17">
        <v>46177</v>
      </c>
      <c r="M19" s="18" t="s">
        <v>149</v>
      </c>
      <c r="N19" s="14" t="s">
        <v>42</v>
      </c>
    </row>
    <row r="20" spans="1:14" ht="21.75" customHeight="1" x14ac:dyDescent="0.3">
      <c r="A20" s="2">
        <v>17</v>
      </c>
      <c r="B20" s="3" t="s">
        <v>84</v>
      </c>
      <c r="C20" s="19" t="s">
        <v>76</v>
      </c>
      <c r="D20" s="5" t="s">
        <v>85</v>
      </c>
      <c r="E20" s="59" t="s">
        <v>62</v>
      </c>
      <c r="F20" s="6" t="s">
        <v>86</v>
      </c>
      <c r="G20" s="4" t="s">
        <v>21</v>
      </c>
      <c r="H20" s="7" t="s">
        <v>112</v>
      </c>
      <c r="I20" s="19" t="s">
        <v>31</v>
      </c>
      <c r="J20" s="9"/>
      <c r="K20" s="17">
        <v>46177</v>
      </c>
      <c r="L20" s="17">
        <v>46177</v>
      </c>
      <c r="M20" s="11" t="s">
        <v>150</v>
      </c>
      <c r="N20" s="5" t="s">
        <v>87</v>
      </c>
    </row>
    <row r="21" spans="1:14" ht="21.75" customHeight="1" x14ac:dyDescent="0.3">
      <c r="A21" s="12">
        <v>18</v>
      </c>
      <c r="B21" s="13" t="s">
        <v>88</v>
      </c>
      <c r="C21" s="22" t="s">
        <v>89</v>
      </c>
      <c r="D21" s="14" t="s">
        <v>90</v>
      </c>
      <c r="E21" s="60" t="s">
        <v>40</v>
      </c>
      <c r="F21" s="15" t="s">
        <v>91</v>
      </c>
      <c r="G21" s="4" t="s">
        <v>21</v>
      </c>
      <c r="H21" s="7" t="s">
        <v>112</v>
      </c>
      <c r="I21" s="19" t="s">
        <v>31</v>
      </c>
      <c r="J21" s="16"/>
      <c r="K21" s="17">
        <v>46177</v>
      </c>
      <c r="L21" s="17">
        <v>46177</v>
      </c>
      <c r="M21" s="62" t="s">
        <v>151</v>
      </c>
      <c r="N21" s="14" t="s">
        <v>42</v>
      </c>
    </row>
    <row r="22" spans="1:14" ht="21.75" customHeight="1" x14ac:dyDescent="0.3">
      <c r="A22" s="2">
        <v>19</v>
      </c>
      <c r="B22" s="3" t="s">
        <v>92</v>
      </c>
      <c r="C22" s="22" t="s">
        <v>89</v>
      </c>
      <c r="D22" s="5" t="s">
        <v>93</v>
      </c>
      <c r="E22" s="59" t="s">
        <v>62</v>
      </c>
      <c r="F22" s="6" t="s">
        <v>94</v>
      </c>
      <c r="G22" s="4" t="s">
        <v>21</v>
      </c>
      <c r="H22" s="7" t="s">
        <v>112</v>
      </c>
      <c r="I22" s="22" t="s">
        <v>73</v>
      </c>
      <c r="J22" s="9"/>
      <c r="K22" s="17">
        <v>46177</v>
      </c>
      <c r="L22" s="17">
        <v>46177</v>
      </c>
      <c r="M22" s="11"/>
      <c r="N22" s="5" t="s">
        <v>64</v>
      </c>
    </row>
    <row r="23" spans="1:14" ht="21.75" customHeight="1" x14ac:dyDescent="0.3">
      <c r="A23" s="12">
        <v>20</v>
      </c>
      <c r="B23" s="13" t="s">
        <v>95</v>
      </c>
      <c r="C23" s="22" t="s">
        <v>89</v>
      </c>
      <c r="D23" s="14" t="s">
        <v>96</v>
      </c>
      <c r="E23" s="60" t="s">
        <v>40</v>
      </c>
      <c r="F23" s="15" t="s">
        <v>97</v>
      </c>
      <c r="G23" s="19" t="s">
        <v>59</v>
      </c>
      <c r="H23" s="7" t="s">
        <v>112</v>
      </c>
      <c r="I23" s="19" t="s">
        <v>31</v>
      </c>
      <c r="J23" s="16"/>
      <c r="K23" s="17">
        <v>46177</v>
      </c>
      <c r="L23" s="17">
        <v>46177</v>
      </c>
      <c r="M23" s="18"/>
      <c r="N23" s="14" t="s">
        <v>42</v>
      </c>
    </row>
    <row r="24" spans="1:14" ht="26.4" x14ac:dyDescent="0.3">
      <c r="A24" s="69">
        <v>21</v>
      </c>
      <c r="B24" s="69" t="s">
        <v>152</v>
      </c>
      <c r="C24" s="70" t="s">
        <v>17</v>
      </c>
      <c r="D24" s="69" t="s">
        <v>18</v>
      </c>
      <c r="E24" s="69" t="s">
        <v>19</v>
      </c>
      <c r="F24" s="69" t="s">
        <v>153</v>
      </c>
      <c r="G24" s="69" t="s">
        <v>21</v>
      </c>
      <c r="H24" s="7" t="s">
        <v>110</v>
      </c>
      <c r="I24" s="75" t="s">
        <v>23</v>
      </c>
      <c r="J24" s="69"/>
      <c r="K24" s="69"/>
      <c r="L24" s="69"/>
      <c r="M24" s="69" t="s">
        <v>177</v>
      </c>
      <c r="N24" s="69" t="s">
        <v>178</v>
      </c>
    </row>
    <row r="25" spans="1:14" x14ac:dyDescent="0.3">
      <c r="A25" s="69">
        <v>22</v>
      </c>
      <c r="B25" s="69" t="s">
        <v>154</v>
      </c>
      <c r="C25" s="70" t="s">
        <v>17</v>
      </c>
      <c r="D25" s="69" t="s">
        <v>155</v>
      </c>
      <c r="E25" s="69" t="s">
        <v>19</v>
      </c>
      <c r="F25" s="69" t="s">
        <v>36</v>
      </c>
      <c r="G25" s="69" t="s">
        <v>21</v>
      </c>
      <c r="H25" s="7" t="s">
        <v>110</v>
      </c>
      <c r="I25" s="69" t="s">
        <v>31</v>
      </c>
      <c r="J25" s="69"/>
      <c r="K25" s="69"/>
      <c r="L25" s="69"/>
      <c r="M25" s="76">
        <v>404</v>
      </c>
      <c r="N25" s="69" t="s">
        <v>27</v>
      </c>
    </row>
    <row r="26" spans="1:14" ht="26.4" x14ac:dyDescent="0.3">
      <c r="A26" s="69">
        <v>23</v>
      </c>
      <c r="B26" s="69" t="s">
        <v>156</v>
      </c>
      <c r="C26" s="70" t="s">
        <v>17</v>
      </c>
      <c r="D26" s="69" t="s">
        <v>157</v>
      </c>
      <c r="E26" s="69" t="s">
        <v>19</v>
      </c>
      <c r="F26" s="71" t="s">
        <v>34</v>
      </c>
      <c r="G26" s="69" t="s">
        <v>21</v>
      </c>
      <c r="H26" s="7" t="s">
        <v>110</v>
      </c>
      <c r="I26" s="69" t="s">
        <v>31</v>
      </c>
      <c r="J26" s="69"/>
      <c r="K26" s="69"/>
      <c r="L26" s="69"/>
      <c r="M26" s="76">
        <v>404</v>
      </c>
      <c r="N26" s="69" t="s">
        <v>24</v>
      </c>
    </row>
    <row r="27" spans="1:14" ht="26.4" x14ac:dyDescent="0.3">
      <c r="A27" s="69">
        <v>24</v>
      </c>
      <c r="B27" s="69" t="s">
        <v>158</v>
      </c>
      <c r="C27" s="72" t="s">
        <v>159</v>
      </c>
      <c r="D27" s="69" t="s">
        <v>160</v>
      </c>
      <c r="E27" s="69" t="s">
        <v>161</v>
      </c>
      <c r="F27" s="69" t="s">
        <v>162</v>
      </c>
      <c r="G27" s="69" t="s">
        <v>21</v>
      </c>
      <c r="H27" s="7" t="s">
        <v>110</v>
      </c>
      <c r="I27" s="75" t="s">
        <v>23</v>
      </c>
      <c r="J27" s="69"/>
      <c r="K27" s="69"/>
      <c r="L27" s="69"/>
      <c r="M27" s="69" t="s">
        <v>179</v>
      </c>
      <c r="N27" s="69" t="s">
        <v>27</v>
      </c>
    </row>
    <row r="28" spans="1:14" ht="26.4" x14ac:dyDescent="0.3">
      <c r="A28" s="69">
        <v>25</v>
      </c>
      <c r="B28" s="69" t="s">
        <v>163</v>
      </c>
      <c r="C28" s="73" t="s">
        <v>38</v>
      </c>
      <c r="D28" s="69" t="s">
        <v>39</v>
      </c>
      <c r="E28" s="69" t="s">
        <v>164</v>
      </c>
      <c r="F28" s="69" t="s">
        <v>165</v>
      </c>
      <c r="G28" s="69" t="s">
        <v>21</v>
      </c>
      <c r="H28" s="7" t="s">
        <v>110</v>
      </c>
      <c r="I28" s="75" t="s">
        <v>23</v>
      </c>
      <c r="J28" s="69"/>
      <c r="K28" s="69"/>
      <c r="L28" s="69"/>
      <c r="M28" s="69" t="s">
        <v>179</v>
      </c>
      <c r="N28" s="69" t="s">
        <v>180</v>
      </c>
    </row>
    <row r="29" spans="1:14" ht="26.4" x14ac:dyDescent="0.3">
      <c r="A29" s="69">
        <v>26</v>
      </c>
      <c r="B29" s="69" t="s">
        <v>166</v>
      </c>
      <c r="C29" s="73" t="s">
        <v>38</v>
      </c>
      <c r="D29" s="69" t="s">
        <v>39</v>
      </c>
      <c r="E29" s="69" t="s">
        <v>44</v>
      </c>
      <c r="F29" s="69" t="s">
        <v>167</v>
      </c>
      <c r="G29" s="69" t="s">
        <v>21</v>
      </c>
      <c r="H29" s="7" t="s">
        <v>110</v>
      </c>
      <c r="I29" s="75" t="s">
        <v>23</v>
      </c>
      <c r="J29" s="69"/>
      <c r="K29" s="69"/>
      <c r="L29" s="69"/>
      <c r="M29" s="69" t="s">
        <v>181</v>
      </c>
      <c r="N29" s="69" t="s">
        <v>182</v>
      </c>
    </row>
    <row r="30" spans="1:14" ht="26.4" x14ac:dyDescent="0.3">
      <c r="A30" s="69">
        <v>27</v>
      </c>
      <c r="B30" s="69" t="s">
        <v>168</v>
      </c>
      <c r="C30" s="73" t="s">
        <v>38</v>
      </c>
      <c r="D30" s="69" t="s">
        <v>39</v>
      </c>
      <c r="E30" s="69" t="s">
        <v>50</v>
      </c>
      <c r="F30" s="69" t="s">
        <v>169</v>
      </c>
      <c r="G30" s="69" t="s">
        <v>21</v>
      </c>
      <c r="H30" s="7" t="s">
        <v>110</v>
      </c>
      <c r="I30" s="69" t="s">
        <v>31</v>
      </c>
      <c r="J30" s="69"/>
      <c r="K30" s="69"/>
      <c r="L30" s="69"/>
      <c r="M30" s="69" t="s">
        <v>181</v>
      </c>
      <c r="N30" s="69" t="s">
        <v>183</v>
      </c>
    </row>
    <row r="31" spans="1:14" ht="26.4" x14ac:dyDescent="0.3">
      <c r="A31" s="69">
        <v>28</v>
      </c>
      <c r="B31" s="69" t="s">
        <v>170</v>
      </c>
      <c r="C31" s="74" t="s">
        <v>171</v>
      </c>
      <c r="D31" s="69" t="s">
        <v>172</v>
      </c>
      <c r="E31" s="69" t="s">
        <v>50</v>
      </c>
      <c r="F31" s="69" t="s">
        <v>173</v>
      </c>
      <c r="G31" s="69" t="s">
        <v>21</v>
      </c>
      <c r="H31" s="7" t="s">
        <v>110</v>
      </c>
      <c r="I31" s="69" t="s">
        <v>31</v>
      </c>
      <c r="J31" s="69"/>
      <c r="K31" s="69"/>
      <c r="L31" s="69"/>
      <c r="M31" s="69" t="s">
        <v>181</v>
      </c>
      <c r="N31" s="69" t="s">
        <v>183</v>
      </c>
    </row>
    <row r="32" spans="1:14" ht="26.4" x14ac:dyDescent="0.3">
      <c r="A32" s="69">
        <v>29</v>
      </c>
      <c r="B32" s="69" t="s">
        <v>174</v>
      </c>
      <c r="C32" s="74" t="s">
        <v>171</v>
      </c>
      <c r="D32" s="69" t="s">
        <v>18</v>
      </c>
      <c r="E32" s="69" t="s">
        <v>175</v>
      </c>
      <c r="F32" s="69" t="s">
        <v>176</v>
      </c>
      <c r="G32" s="69" t="s">
        <v>21</v>
      </c>
      <c r="H32" s="7" t="s">
        <v>110</v>
      </c>
      <c r="I32" s="69" t="s">
        <v>31</v>
      </c>
      <c r="J32" s="69"/>
      <c r="K32" s="69"/>
      <c r="L32" s="69"/>
      <c r="M32" s="69" t="s">
        <v>181</v>
      </c>
      <c r="N32" s="69" t="s">
        <v>184</v>
      </c>
    </row>
    <row r="33" spans="1:14" ht="39.6" x14ac:dyDescent="0.3">
      <c r="A33" s="69">
        <v>30</v>
      </c>
      <c r="B33" s="69" t="s">
        <v>185</v>
      </c>
      <c r="C33" s="74" t="s">
        <v>171</v>
      </c>
      <c r="D33" s="69" t="s">
        <v>172</v>
      </c>
      <c r="E33" s="69" t="s">
        <v>186</v>
      </c>
      <c r="F33" s="69" t="s">
        <v>187</v>
      </c>
      <c r="G33" s="69" t="s">
        <v>21</v>
      </c>
      <c r="H33" s="7" t="s">
        <v>110</v>
      </c>
      <c r="I33" s="69" t="s">
        <v>73</v>
      </c>
      <c r="J33" s="69"/>
      <c r="K33" s="69"/>
      <c r="L33" s="69"/>
      <c r="M33" s="69" t="s">
        <v>188</v>
      </c>
      <c r="N33" s="69" t="s">
        <v>189</v>
      </c>
    </row>
    <row r="34" spans="1:14" ht="26.4" x14ac:dyDescent="0.3">
      <c r="A34" s="69">
        <v>31</v>
      </c>
      <c r="B34" s="69" t="s">
        <v>190</v>
      </c>
      <c r="C34" s="77" t="s">
        <v>76</v>
      </c>
      <c r="D34" s="69" t="s">
        <v>85</v>
      </c>
      <c r="E34" s="69" t="s">
        <v>164</v>
      </c>
      <c r="F34" s="69" t="s">
        <v>191</v>
      </c>
      <c r="G34" s="69" t="s">
        <v>21</v>
      </c>
      <c r="H34" s="7" t="s">
        <v>112</v>
      </c>
      <c r="I34" s="69" t="s">
        <v>31</v>
      </c>
      <c r="J34" s="69"/>
      <c r="K34" s="69"/>
      <c r="L34" s="69"/>
      <c r="M34" s="76">
        <v>404</v>
      </c>
      <c r="N34" s="69" t="s">
        <v>192</v>
      </c>
    </row>
    <row r="35" spans="1:14" ht="26.4" x14ac:dyDescent="0.3">
      <c r="A35" s="69">
        <v>32</v>
      </c>
      <c r="B35" s="69" t="s">
        <v>193</v>
      </c>
      <c r="C35" s="78" t="s">
        <v>56</v>
      </c>
      <c r="D35" s="69" t="s">
        <v>194</v>
      </c>
      <c r="E35" s="69" t="s">
        <v>195</v>
      </c>
      <c r="F35" s="69" t="s">
        <v>196</v>
      </c>
      <c r="G35" s="69" t="s">
        <v>21</v>
      </c>
      <c r="H35" s="7" t="s">
        <v>112</v>
      </c>
      <c r="I35" s="69" t="s">
        <v>31</v>
      </c>
      <c r="J35" s="69"/>
      <c r="K35" s="69"/>
      <c r="L35" s="69"/>
      <c r="M35" s="69" t="s">
        <v>205</v>
      </c>
      <c r="N35" s="69" t="s">
        <v>197</v>
      </c>
    </row>
    <row r="36" spans="1:14" ht="26.4" x14ac:dyDescent="0.3">
      <c r="A36" s="69">
        <v>33</v>
      </c>
      <c r="B36" s="69" t="s">
        <v>198</v>
      </c>
      <c r="C36" s="70" t="s">
        <v>17</v>
      </c>
      <c r="D36" s="69" t="s">
        <v>199</v>
      </c>
      <c r="E36" s="69" t="s">
        <v>164</v>
      </c>
      <c r="F36" s="69" t="s">
        <v>200</v>
      </c>
      <c r="G36" s="69" t="s">
        <v>21</v>
      </c>
      <c r="H36" s="7" t="s">
        <v>112</v>
      </c>
      <c r="I36" s="69" t="s">
        <v>73</v>
      </c>
      <c r="J36" s="69"/>
      <c r="K36" s="69"/>
      <c r="L36" s="69"/>
      <c r="M36" s="69" t="s">
        <v>205</v>
      </c>
      <c r="N36" s="69" t="s">
        <v>184</v>
      </c>
    </row>
    <row r="37" spans="1:14" ht="26.4" x14ac:dyDescent="0.3">
      <c r="A37" s="69">
        <v>34</v>
      </c>
      <c r="B37" s="69" t="s">
        <v>201</v>
      </c>
      <c r="C37" s="73" t="s">
        <v>38</v>
      </c>
      <c r="D37" s="69" t="s">
        <v>202</v>
      </c>
      <c r="E37" s="69" t="s">
        <v>164</v>
      </c>
      <c r="F37" s="69" t="s">
        <v>203</v>
      </c>
      <c r="G37" s="69" t="s">
        <v>21</v>
      </c>
      <c r="H37" s="7" t="s">
        <v>112</v>
      </c>
      <c r="I37" s="69" t="s">
        <v>73</v>
      </c>
      <c r="J37" s="69"/>
      <c r="K37" s="69"/>
      <c r="L37" s="69"/>
      <c r="M37" s="69" t="s">
        <v>205</v>
      </c>
      <c r="N37" s="69" t="s">
        <v>204</v>
      </c>
    </row>
    <row r="38" spans="1:14" x14ac:dyDescent="0.3">
      <c r="M38" s="69"/>
    </row>
  </sheetData>
  <mergeCells count="2">
    <mergeCell ref="A1:N1"/>
    <mergeCell ref="A2:N2"/>
  </mergeCells>
  <conditionalFormatting sqref="A4:N23 H34:H36">
    <cfRule type="expression" dxfId="14" priority="26">
      <formula>$H4="Completed"</formula>
    </cfRule>
    <cfRule type="expression" dxfId="13" priority="27">
      <formula>$H4="In Progress"</formula>
    </cfRule>
    <cfRule type="expression" dxfId="12" priority="28">
      <formula>$H4="Blocked"</formula>
    </cfRule>
  </conditionalFormatting>
  <conditionalFormatting sqref="H24:H31">
    <cfRule type="expression" dxfId="11" priority="22">
      <formula>$H24="Completed"</formula>
    </cfRule>
    <cfRule type="expression" dxfId="10" priority="23">
      <formula>$H24="In Progress"</formula>
    </cfRule>
    <cfRule type="expression" dxfId="9" priority="24">
      <formula>$H24="Blocked"</formula>
    </cfRule>
  </conditionalFormatting>
  <conditionalFormatting sqref="H32">
    <cfRule type="expression" dxfId="8" priority="16">
      <formula>$H32="Completed"</formula>
    </cfRule>
    <cfRule type="expression" dxfId="7" priority="17">
      <formula>$H32="In Progress"</formula>
    </cfRule>
    <cfRule type="expression" dxfId="6" priority="18">
      <formula>$H32="Blocked"</formula>
    </cfRule>
  </conditionalFormatting>
  <conditionalFormatting sqref="H37">
    <cfRule type="expression" dxfId="5" priority="4">
      <formula>$H37="Completed"</formula>
    </cfRule>
    <cfRule type="expression" dxfId="4" priority="5">
      <formula>$H37="In Progress"</formula>
    </cfRule>
    <cfRule type="expression" dxfId="3" priority="6">
      <formula>$H37="Blocked"</formula>
    </cfRule>
  </conditionalFormatting>
  <conditionalFormatting sqref="H33">
    <cfRule type="expression" dxfId="2" priority="1">
      <formula>$H33="Completed"</formula>
    </cfRule>
    <cfRule type="expression" dxfId="1" priority="2">
      <formula>$H33="In Progress"</formula>
    </cfRule>
    <cfRule type="expression" dxfId="0" priority="3">
      <formula>$H33="Blocked"</formula>
    </cfRule>
  </conditionalFormatting>
  <dataValidations count="2">
    <dataValidation type="list" errorTitle="Invalid status" error="Choose from: Not Started, In Progress, Completed, Blocked" sqref="H4:H37">
      <formula1>"Not Started,In Progress,Completed,Blocked"</formula1>
      <formula2>0</formula2>
    </dataValidation>
    <dataValidation type="list" sqref="I4:I23">
      <formula1>"High,Medium,Low"</formula1>
      <formula2>0</formula2>
    </dataValidation>
  </dataValidations>
  <hyperlinks>
    <hyperlink ref="F26" r:id="rId1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34AB7"/>
  </sheetPr>
  <dimension ref="A1:H17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28" customWidth="1"/>
    <col min="2" max="2" width="10" customWidth="1"/>
    <col min="3" max="3" width="12" customWidth="1"/>
    <col min="4" max="5" width="14" customWidth="1"/>
    <col min="6" max="7" width="10" customWidth="1"/>
  </cols>
  <sheetData>
    <row r="1" spans="1:8" ht="33.75" customHeight="1" x14ac:dyDescent="0.3">
      <c r="A1" s="63" t="s">
        <v>98</v>
      </c>
      <c r="B1" s="63"/>
      <c r="C1" s="63"/>
      <c r="D1" s="63"/>
      <c r="E1" s="63"/>
      <c r="F1" s="63"/>
      <c r="G1" s="63"/>
      <c r="H1" s="63"/>
    </row>
    <row r="2" spans="1:8" ht="19.5" customHeight="1" x14ac:dyDescent="0.3">
      <c r="A2" s="64" t="s">
        <v>99</v>
      </c>
      <c r="B2" s="64"/>
      <c r="C2" s="64"/>
      <c r="D2" s="64"/>
      <c r="E2" s="64"/>
      <c r="F2" s="64"/>
      <c r="G2" s="64"/>
      <c r="H2" s="64"/>
    </row>
    <row r="4" spans="1:8" ht="19.5" customHeight="1" x14ac:dyDescent="0.3">
      <c r="A4" s="1" t="s">
        <v>100</v>
      </c>
      <c r="B4" s="1" t="s">
        <v>101</v>
      </c>
      <c r="C4" s="1" t="s">
        <v>102</v>
      </c>
    </row>
    <row r="5" spans="1:8" ht="21.75" customHeight="1" x14ac:dyDescent="0.3">
      <c r="A5" s="23" t="s">
        <v>103</v>
      </c>
      <c r="B5" s="24">
        <f>COUNTA('NZ Sports Data Tracker'!B4:B23)</f>
        <v>20</v>
      </c>
    </row>
    <row r="6" spans="1:8" ht="21.75" customHeight="1" x14ac:dyDescent="0.3">
      <c r="A6" s="25" t="s">
        <v>104</v>
      </c>
      <c r="B6" s="26">
        <f>K9</f>
        <v>0</v>
      </c>
      <c r="C6" s="27">
        <f>B6/B5</f>
        <v>0</v>
      </c>
    </row>
    <row r="7" spans="1:8" ht="21.75" customHeight="1" x14ac:dyDescent="0.3">
      <c r="A7" s="28" t="s">
        <v>105</v>
      </c>
      <c r="B7" s="29">
        <f>COUNTIF('NZ Sports Data Tracker'!H4:H23,"In Progress")</f>
        <v>0</v>
      </c>
      <c r="C7" s="30">
        <f>B7/B5</f>
        <v>0</v>
      </c>
    </row>
    <row r="8" spans="1:8" ht="21.75" customHeight="1" x14ac:dyDescent="0.3">
      <c r="A8" s="31" t="s">
        <v>106</v>
      </c>
      <c r="B8" s="32">
        <f>COUNTIF('NZ Sports Data Tracker'!H4:H23,"Not Started")</f>
        <v>0</v>
      </c>
      <c r="C8" s="33">
        <f>B8/B5</f>
        <v>0</v>
      </c>
    </row>
    <row r="9" spans="1:8" ht="21.75" customHeight="1" x14ac:dyDescent="0.3">
      <c r="A9" s="34" t="s">
        <v>107</v>
      </c>
      <c r="B9" s="35">
        <f>COUNTIF('NZ Sports Data Tracker'!H4:H23,"Blocked")</f>
        <v>13</v>
      </c>
      <c r="C9" s="36">
        <f>B9/B5</f>
        <v>0.65</v>
      </c>
    </row>
    <row r="11" spans="1:8" ht="19.5" customHeight="1" x14ac:dyDescent="0.3">
      <c r="A11" s="65" t="s">
        <v>108</v>
      </c>
      <c r="B11" s="65"/>
      <c r="C11" s="65"/>
      <c r="D11" s="65"/>
      <c r="E11" s="65"/>
      <c r="F11" s="65"/>
      <c r="G11" s="65"/>
      <c r="H11" s="65"/>
    </row>
    <row r="12" spans="1:8" x14ac:dyDescent="0.3">
      <c r="A12" s="1" t="s">
        <v>4</v>
      </c>
      <c r="B12" s="1" t="s">
        <v>109</v>
      </c>
      <c r="C12" s="1" t="s">
        <v>110</v>
      </c>
      <c r="D12" s="1" t="s">
        <v>111</v>
      </c>
      <c r="E12" s="1" t="s">
        <v>22</v>
      </c>
      <c r="F12" s="1" t="s">
        <v>112</v>
      </c>
      <c r="G12" s="1" t="s">
        <v>113</v>
      </c>
    </row>
    <row r="13" spans="1:8" ht="21.75" customHeight="1" x14ac:dyDescent="0.3">
      <c r="A13" s="37" t="s">
        <v>17</v>
      </c>
      <c r="B13" s="38">
        <f>COUNTIF('NZ Sports Data Tracker'!C4:C23,"Participation")</f>
        <v>5</v>
      </c>
      <c r="C13" s="26">
        <f>COUNTIFS('NZ Sports Data Tracker'!C4:C23,"Participation",'NZ Sports Data Tracker'!H4:H23,"Completed")</f>
        <v>4</v>
      </c>
      <c r="D13" s="29">
        <f>COUNTIFS('NZ Sports Data Tracker'!C4:C23,"Participation",'NZ Sports Data Tracker'!H4:H23,"In Progress")</f>
        <v>0</v>
      </c>
      <c r="E13" s="32">
        <f>COUNTIFS('NZ Sports Data Tracker'!C4:C23,"Participation",'NZ Sports Data Tracker'!H4:H23,"Not Started")</f>
        <v>0</v>
      </c>
      <c r="F13" s="35">
        <f>COUNTIFS('NZ Sports Data Tracker'!C4:C23,"Participation",'NZ Sports Data Tracker'!H4:H23,"Blocked")</f>
        <v>1</v>
      </c>
      <c r="G13" s="39">
        <f>IF(B13=0,"-",C13/B13)</f>
        <v>0.8</v>
      </c>
    </row>
    <row r="14" spans="1:8" ht="21.75" customHeight="1" x14ac:dyDescent="0.3">
      <c r="A14" s="40" t="s">
        <v>38</v>
      </c>
      <c r="B14" s="41">
        <f>COUNTIF('NZ Sports Data Tracker'!C4:C23,"Govt Open Data")</f>
        <v>5</v>
      </c>
      <c r="C14" s="26">
        <f>COUNTIFS('NZ Sports Data Tracker'!C4:C23,"Govt Open Data",'NZ Sports Data Tracker'!H4:H23,"Completed")</f>
        <v>2</v>
      </c>
      <c r="D14" s="29">
        <f>COUNTIFS('NZ Sports Data Tracker'!C4:C23,"Govt Open Data",'NZ Sports Data Tracker'!H4:H23,"In Progress")</f>
        <v>0</v>
      </c>
      <c r="E14" s="32">
        <f>COUNTIFS('NZ Sports Data Tracker'!C4:C23,"Govt Open Data",'NZ Sports Data Tracker'!H4:H23,"Not Started")</f>
        <v>0</v>
      </c>
      <c r="F14" s="35">
        <f>COUNTIFS('NZ Sports Data Tracker'!C4:C23,"Govt Open Data",'NZ Sports Data Tracker'!H4:H23,"Blocked")</f>
        <v>3</v>
      </c>
      <c r="G14" s="42">
        <f>IF(B14=0,"-",C14/B14)</f>
        <v>0.4</v>
      </c>
    </row>
    <row r="15" spans="1:8" ht="21.75" customHeight="1" x14ac:dyDescent="0.3">
      <c r="A15" s="43" t="s">
        <v>56</v>
      </c>
      <c r="B15" s="44">
        <f>COUNTIF('NZ Sports Data Tracker'!C4:C23,"Rugby")</f>
        <v>4</v>
      </c>
      <c r="C15" s="26">
        <f>COUNTIFS('NZ Sports Data Tracker'!C4:C23,"Rugby",'NZ Sports Data Tracker'!H4:H23,"Completed")</f>
        <v>1</v>
      </c>
      <c r="D15" s="29">
        <f>COUNTIFS('NZ Sports Data Tracker'!C4:C23,"Rugby",'NZ Sports Data Tracker'!H4:H23,"In Progress")</f>
        <v>0</v>
      </c>
      <c r="E15" s="32">
        <f>COUNTIFS('NZ Sports Data Tracker'!C4:C23,"Rugby",'NZ Sports Data Tracker'!H4:H23,"Not Started")</f>
        <v>0</v>
      </c>
      <c r="F15" s="35">
        <f>COUNTIFS('NZ Sports Data Tracker'!C4:C23,"Rugby",'NZ Sports Data Tracker'!H4:H23,"Blocked")</f>
        <v>3</v>
      </c>
      <c r="G15" s="45">
        <f>IF(B15=0,"-",C15/B15)</f>
        <v>0.25</v>
      </c>
    </row>
    <row r="16" spans="1:8" ht="21.75" customHeight="1" x14ac:dyDescent="0.3">
      <c r="A16" s="46" t="s">
        <v>76</v>
      </c>
      <c r="B16" s="47">
        <f>COUNTIF('NZ Sports Data Tracker'!C4:C23,"Cricket")</f>
        <v>3</v>
      </c>
      <c r="C16" s="26">
        <f>COUNTIFS('NZ Sports Data Tracker'!C4:C23,"Cricket",'NZ Sports Data Tracker'!H4:H23,"Completed")</f>
        <v>0</v>
      </c>
      <c r="D16" s="29">
        <f>COUNTIFS('NZ Sports Data Tracker'!C4:C23,"Cricket",'NZ Sports Data Tracker'!H4:H23,"In Progress")</f>
        <v>0</v>
      </c>
      <c r="E16" s="32">
        <f>COUNTIFS('NZ Sports Data Tracker'!C4:C23,"Cricket",'NZ Sports Data Tracker'!H4:H23,"Not Started")</f>
        <v>0</v>
      </c>
      <c r="F16" s="35">
        <f>COUNTIFS('NZ Sports Data Tracker'!C4:C23,"Cricket",'NZ Sports Data Tracker'!H4:H23,"Blocked")</f>
        <v>3</v>
      </c>
      <c r="G16" s="48">
        <f>IF(B16=0,"-",C16/B16)</f>
        <v>0</v>
      </c>
    </row>
    <row r="17" spans="1:7" ht="21.75" customHeight="1" x14ac:dyDescent="0.3">
      <c r="A17" s="49" t="s">
        <v>89</v>
      </c>
      <c r="B17" s="50">
        <f>COUNTIF('NZ Sports Data Tracker'!C4:C23,"Football")</f>
        <v>3</v>
      </c>
      <c r="C17" s="26">
        <f>COUNTIFS('NZ Sports Data Tracker'!C4:C23,"Football",'NZ Sports Data Tracker'!H4:H23,"Completed")</f>
        <v>0</v>
      </c>
      <c r="D17" s="29">
        <f>COUNTIFS('NZ Sports Data Tracker'!C4:C23,"Football",'NZ Sports Data Tracker'!H4:H23,"In Progress")</f>
        <v>0</v>
      </c>
      <c r="E17" s="32">
        <f>COUNTIFS('NZ Sports Data Tracker'!C4:C23,"Football",'NZ Sports Data Tracker'!H4:H23,"Not Started")</f>
        <v>0</v>
      </c>
      <c r="F17" s="35">
        <f>COUNTIFS('NZ Sports Data Tracker'!C4:C23,"Football",'NZ Sports Data Tracker'!H4:H23,"Blocked")</f>
        <v>3</v>
      </c>
      <c r="G17" s="51">
        <f>IF(B17=0,"-",C17/B17)</f>
        <v>0</v>
      </c>
    </row>
  </sheetData>
  <mergeCells count="3">
    <mergeCell ref="A1:H1"/>
    <mergeCell ref="A2:H2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</sheetPr>
  <dimension ref="A1:E28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20" customWidth="1"/>
    <col min="2" max="5" width="16" customWidth="1"/>
  </cols>
  <sheetData>
    <row r="1" spans="1:5" ht="33.75" customHeight="1" x14ac:dyDescent="0.3">
      <c r="A1" s="63" t="s">
        <v>114</v>
      </c>
      <c r="B1" s="63"/>
      <c r="C1" s="63"/>
      <c r="D1" s="63"/>
      <c r="E1" s="63"/>
    </row>
    <row r="3" spans="1:5" ht="21.75" customHeight="1" x14ac:dyDescent="0.3">
      <c r="A3" s="68" t="s">
        <v>115</v>
      </c>
      <c r="B3" s="68"/>
      <c r="C3" s="68"/>
      <c r="D3" s="68"/>
      <c r="E3" s="68"/>
    </row>
    <row r="4" spans="1:5" ht="19.5" customHeight="1" x14ac:dyDescent="0.3">
      <c r="A4" s="32" t="s">
        <v>22</v>
      </c>
      <c r="B4" s="67" t="s">
        <v>116</v>
      </c>
      <c r="C4" s="67"/>
      <c r="D4" s="67"/>
      <c r="E4" s="67"/>
    </row>
    <row r="5" spans="1:5" ht="19.5" customHeight="1" x14ac:dyDescent="0.3">
      <c r="A5" s="29" t="s">
        <v>111</v>
      </c>
      <c r="B5" s="67" t="s">
        <v>117</v>
      </c>
      <c r="C5" s="67"/>
      <c r="D5" s="67"/>
      <c r="E5" s="67"/>
    </row>
    <row r="6" spans="1:5" ht="19.5" customHeight="1" x14ac:dyDescent="0.3">
      <c r="A6" s="26" t="s">
        <v>110</v>
      </c>
      <c r="B6" s="67" t="s">
        <v>118</v>
      </c>
      <c r="C6" s="67"/>
      <c r="D6" s="67"/>
      <c r="E6" s="67"/>
    </row>
    <row r="7" spans="1:5" ht="19.5" customHeight="1" x14ac:dyDescent="0.3">
      <c r="A7" s="35" t="s">
        <v>112</v>
      </c>
      <c r="B7" s="67" t="s">
        <v>119</v>
      </c>
      <c r="C7" s="67"/>
      <c r="D7" s="67"/>
      <c r="E7" s="67"/>
    </row>
    <row r="9" spans="1:5" ht="21.75" customHeight="1" x14ac:dyDescent="0.3">
      <c r="A9" s="68" t="s">
        <v>120</v>
      </c>
      <c r="B9" s="68"/>
      <c r="C9" s="68"/>
      <c r="D9" s="68"/>
      <c r="E9" s="68"/>
    </row>
    <row r="10" spans="1:5" ht="19.5" customHeight="1" x14ac:dyDescent="0.3">
      <c r="A10" s="52" t="s">
        <v>23</v>
      </c>
      <c r="B10" s="67" t="s">
        <v>121</v>
      </c>
      <c r="C10" s="67"/>
      <c r="D10" s="67"/>
      <c r="E10" s="67"/>
    </row>
    <row r="11" spans="1:5" ht="19.5" customHeight="1" x14ac:dyDescent="0.3">
      <c r="A11" s="53" t="s">
        <v>31</v>
      </c>
      <c r="B11" s="67" t="s">
        <v>122</v>
      </c>
      <c r="C11" s="67"/>
      <c r="D11" s="67"/>
      <c r="E11" s="67"/>
    </row>
    <row r="12" spans="1:5" ht="19.5" customHeight="1" x14ac:dyDescent="0.3">
      <c r="A12" s="54" t="s">
        <v>73</v>
      </c>
      <c r="B12" s="67" t="s">
        <v>123</v>
      </c>
      <c r="C12" s="67"/>
      <c r="D12" s="67"/>
      <c r="E12" s="67"/>
    </row>
    <row r="14" spans="1:5" ht="21.75" customHeight="1" x14ac:dyDescent="0.3">
      <c r="A14" s="68" t="s">
        <v>124</v>
      </c>
      <c r="B14" s="68"/>
      <c r="C14" s="68"/>
      <c r="D14" s="68"/>
      <c r="E14" s="68"/>
    </row>
    <row r="15" spans="1:5" ht="19.5" customHeight="1" x14ac:dyDescent="0.3">
      <c r="A15" s="55" t="s">
        <v>17</v>
      </c>
      <c r="B15" s="67" t="s">
        <v>125</v>
      </c>
      <c r="C15" s="67"/>
      <c r="D15" s="67"/>
      <c r="E15" s="67"/>
    </row>
    <row r="16" spans="1:5" ht="19.5" customHeight="1" x14ac:dyDescent="0.3">
      <c r="A16" s="56" t="s">
        <v>38</v>
      </c>
      <c r="B16" s="67" t="s">
        <v>126</v>
      </c>
      <c r="C16" s="67"/>
      <c r="D16" s="67"/>
      <c r="E16" s="67"/>
    </row>
    <row r="17" spans="1:5" ht="19.5" customHeight="1" x14ac:dyDescent="0.3">
      <c r="A17" s="57" t="s">
        <v>56</v>
      </c>
      <c r="B17" s="67" t="s">
        <v>127</v>
      </c>
      <c r="C17" s="67"/>
      <c r="D17" s="67"/>
      <c r="E17" s="67"/>
    </row>
    <row r="18" spans="1:5" ht="19.5" customHeight="1" x14ac:dyDescent="0.3">
      <c r="A18" s="53" t="s">
        <v>76</v>
      </c>
      <c r="B18" s="67" t="s">
        <v>128</v>
      </c>
      <c r="C18" s="67"/>
      <c r="D18" s="67"/>
      <c r="E18" s="67"/>
    </row>
    <row r="19" spans="1:5" ht="19.5" customHeight="1" x14ac:dyDescent="0.3">
      <c r="A19" s="54" t="s">
        <v>89</v>
      </c>
      <c r="B19" s="67" t="s">
        <v>129</v>
      </c>
      <c r="C19" s="67"/>
      <c r="D19" s="67"/>
      <c r="E19" s="67"/>
    </row>
    <row r="21" spans="1:5" ht="21.75" customHeight="1" x14ac:dyDescent="0.3">
      <c r="A21" s="68" t="s">
        <v>130</v>
      </c>
      <c r="B21" s="68"/>
      <c r="C21" s="68"/>
      <c r="D21" s="68"/>
      <c r="E21" s="68"/>
    </row>
    <row r="22" spans="1:5" ht="19.5" customHeight="1" x14ac:dyDescent="0.3">
      <c r="A22" s="66" t="s">
        <v>131</v>
      </c>
      <c r="B22" s="66"/>
      <c r="C22" s="66"/>
      <c r="D22" s="66"/>
      <c r="E22" s="66"/>
    </row>
    <row r="23" spans="1:5" ht="19.5" customHeight="1" x14ac:dyDescent="0.3">
      <c r="A23" s="66" t="s">
        <v>132</v>
      </c>
      <c r="B23" s="66"/>
      <c r="C23" s="66"/>
      <c r="D23" s="66"/>
      <c r="E23" s="66"/>
    </row>
    <row r="24" spans="1:5" ht="19.5" customHeight="1" x14ac:dyDescent="0.3">
      <c r="A24" s="66" t="s">
        <v>133</v>
      </c>
      <c r="B24" s="66"/>
      <c r="C24" s="66"/>
      <c r="D24" s="66"/>
      <c r="E24" s="66"/>
    </row>
    <row r="25" spans="1:5" ht="19.5" customHeight="1" x14ac:dyDescent="0.3">
      <c r="A25" s="66" t="s">
        <v>134</v>
      </c>
      <c r="B25" s="66"/>
      <c r="C25" s="66"/>
      <c r="D25" s="66"/>
      <c r="E25" s="66"/>
    </row>
    <row r="26" spans="1:5" ht="19.5" customHeight="1" x14ac:dyDescent="0.3">
      <c r="A26" s="66" t="s">
        <v>135</v>
      </c>
      <c r="B26" s="66"/>
      <c r="C26" s="66"/>
      <c r="D26" s="66"/>
      <c r="E26" s="66"/>
    </row>
    <row r="27" spans="1:5" ht="19.5" customHeight="1" x14ac:dyDescent="0.3">
      <c r="A27" s="66" t="s">
        <v>136</v>
      </c>
      <c r="B27" s="66"/>
      <c r="C27" s="66"/>
      <c r="D27" s="66"/>
      <c r="E27" s="66"/>
    </row>
    <row r="28" spans="1:5" ht="19.5" customHeight="1" x14ac:dyDescent="0.3">
      <c r="A28" s="66" t="s">
        <v>137</v>
      </c>
      <c r="B28" s="66"/>
      <c r="C28" s="66"/>
      <c r="D28" s="66"/>
      <c r="E28" s="66"/>
    </row>
  </sheetData>
  <mergeCells count="24">
    <mergeCell ref="A1:E1"/>
    <mergeCell ref="A3:E3"/>
    <mergeCell ref="B4:E4"/>
    <mergeCell ref="B5:E5"/>
    <mergeCell ref="B6:E6"/>
    <mergeCell ref="B7:E7"/>
    <mergeCell ref="A9:E9"/>
    <mergeCell ref="B10:E10"/>
    <mergeCell ref="B11:E11"/>
    <mergeCell ref="B12:E12"/>
    <mergeCell ref="A14:E14"/>
    <mergeCell ref="B15:E15"/>
    <mergeCell ref="B16:E16"/>
    <mergeCell ref="B17:E17"/>
    <mergeCell ref="B18:E18"/>
    <mergeCell ref="A25:E25"/>
    <mergeCell ref="A26:E26"/>
    <mergeCell ref="A27:E27"/>
    <mergeCell ref="A28:E28"/>
    <mergeCell ref="B19:E19"/>
    <mergeCell ref="A21:E21"/>
    <mergeCell ref="A22:E22"/>
    <mergeCell ref="A23:E23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NZ Sports Data Tracker</vt:lpstr>
      <vt:lpstr>Summary Dashboard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Ateeb Shaikh</cp:lastModifiedBy>
  <cp:revision>0</cp:revision>
  <dcterms:created xsi:type="dcterms:W3CDTF">2026-06-02T04:59:04Z</dcterms:created>
  <dcterms:modified xsi:type="dcterms:W3CDTF">2026-06-09T05:24:49Z</dcterms:modified>
  <dc:language>en-US</dc:language>
</cp:coreProperties>
</file>