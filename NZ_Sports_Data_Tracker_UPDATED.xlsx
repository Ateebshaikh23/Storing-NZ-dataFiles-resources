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ohsin bhaiyya All work\Mohsin Bhaiyya fullTime Work\Storing all files And Api's of NZ Sport\"/>
    </mc:Choice>
  </mc:AlternateContent>
  <bookViews>
    <workbookView xWindow="0" yWindow="0" windowWidth="16380" windowHeight="8196" tabRatio="500"/>
  </bookViews>
  <sheets>
    <sheet name="NZ Sports Data Tracker" sheetId="1" r:id="rId1"/>
    <sheet name="⚠ Missing Datasets" sheetId="2" r:id="rId2"/>
    <sheet name="Summary Dashboard" sheetId="3" r:id="rId3"/>
    <sheet name="Legend &amp; Instructions" sheetId="4" r:id="rId4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0" i="3" l="1"/>
  <c r="F20" i="3"/>
  <c r="E20" i="3"/>
  <c r="D20" i="3"/>
  <c r="C20" i="3"/>
  <c r="B20" i="3"/>
  <c r="H20" i="3" s="1"/>
  <c r="G19" i="3"/>
  <c r="F19" i="3"/>
  <c r="E19" i="3"/>
  <c r="D19" i="3"/>
  <c r="C19" i="3"/>
  <c r="B19" i="3"/>
  <c r="H19" i="3" s="1"/>
  <c r="G18" i="3"/>
  <c r="F18" i="3"/>
  <c r="E18" i="3"/>
  <c r="D18" i="3"/>
  <c r="C18" i="3"/>
  <c r="B18" i="3"/>
  <c r="H18" i="3" s="1"/>
  <c r="H17" i="3"/>
  <c r="G17" i="3"/>
  <c r="F17" i="3"/>
  <c r="E17" i="3"/>
  <c r="D17" i="3"/>
  <c r="C17" i="3"/>
  <c r="B17" i="3"/>
  <c r="G16" i="3"/>
  <c r="F16" i="3"/>
  <c r="E16" i="3"/>
  <c r="D16" i="3"/>
  <c r="C16" i="3"/>
  <c r="B16" i="3"/>
  <c r="H16" i="3" s="1"/>
  <c r="G15" i="3"/>
  <c r="F15" i="3"/>
  <c r="E15" i="3"/>
  <c r="D15" i="3"/>
  <c r="C15" i="3"/>
  <c r="B15" i="3"/>
  <c r="H15" i="3" s="1"/>
  <c r="B11" i="3"/>
  <c r="C11" i="3" s="1"/>
  <c r="B10" i="3"/>
  <c r="C10" i="3" s="1"/>
  <c r="B9" i="3"/>
  <c r="B8" i="3"/>
  <c r="C8" i="3" s="1"/>
  <c r="B7" i="3"/>
  <c r="C7" i="3" s="1"/>
  <c r="B6" i="3"/>
  <c r="C6" i="3" s="1"/>
  <c r="B5" i="3"/>
  <c r="C9" i="3" s="1"/>
</calcChain>
</file>

<file path=xl/sharedStrings.xml><?xml version="1.0" encoding="utf-8"?>
<sst xmlns="http://schemas.openxmlformats.org/spreadsheetml/2006/main" count="416" uniqueCount="244">
  <si>
    <t>🇳🇿  New Zealand Sports Data Sources — Integration Tracker  (Updated: missing datasets added)</t>
  </si>
  <si>
    <t>🔴 Red rows = Blocked  |  🟡 Yellow = Status mismatch / incomplete  |  🟠 Orange = Missing dataset (newly added)  |  🟢 Green = Completed</t>
  </si>
  <si>
    <t>#</t>
  </si>
  <si>
    <t>Source Name</t>
  </si>
  <si>
    <t>Category</t>
  </si>
  <si>
    <t>Sport / Domain</t>
  </si>
  <si>
    <t>Access Type</t>
  </si>
  <si>
    <t>URL / Endpoint</t>
  </si>
  <si>
    <t>Cost</t>
  </si>
  <si>
    <t>Status</t>
  </si>
  <si>
    <t>Priority</t>
  </si>
  <si>
    <t>Assigned To</t>
  </si>
  <si>
    <t>Date Started</t>
  </si>
  <si>
    <t>Date Completed</t>
  </si>
  <si>
    <t>Notes</t>
  </si>
  <si>
    <t>Data Format</t>
  </si>
  <si>
    <t>Action / Fix</t>
  </si>
  <si>
    <t>Active NZ Survey — Excel data tables (2017–2024)</t>
  </si>
  <si>
    <t>Participation</t>
  </si>
  <si>
    <t>Sport NZ</t>
  </si>
  <si>
    <t>Excel Download</t>
  </si>
  <si>
    <t>https://sportnz.org.nz/research-and-insights/surveys-and-data/active-nz/</t>
  </si>
  <si>
    <t>Free</t>
  </si>
  <si>
    <t>⚠ Incomplete</t>
  </si>
  <si>
    <t>High</t>
  </si>
  <si>
    <t>Gone through the page but the actual Excel files have NOT been downloaded or loaded into DB yet.</t>
  </si>
  <si>
    <t>Excel (.xlsx)</t>
  </si>
  <si>
    <t>Download all year tabs (2017–2024) from the page → load into pipeline as source tables</t>
  </si>
  <si>
    <t>Active NZ Participation Trends 2017–2023 (PDF + Excel tables)</t>
  </si>
  <si>
    <t>https://sportnz.org.nz/media/lupchbdk/active-nz-participation-trends-2017-2023_july-2024.pdf</t>
  </si>
  <si>
    <t>Completed</t>
  </si>
  <si>
    <t>Downloaded. PDF has bar charts; companion Excel has raw tables.</t>
  </si>
  <si>
    <t>PDF + Excel</t>
  </si>
  <si>
    <t>Extract data tables from Excel companion file into DB</t>
  </si>
  <si>
    <t>Sport NZ Insights Tool (Power BI dashboard)</t>
  </si>
  <si>
    <t>Browser (Power BI)</t>
  </si>
  <si>
    <t>https://sportnz.org.nz/resources/data-visualisation-tool/</t>
  </si>
  <si>
    <t>Medium</t>
  </si>
  <si>
    <t>Gone through all views. Stored relevant metrics in DB.</t>
  </si>
  <si>
    <t>Power BI embed</t>
  </si>
  <si>
    <t>Use as reference benchmark — compare your outputs to this dashboard</t>
  </si>
  <si>
    <t>Voice of Participant Survey</t>
  </si>
  <si>
    <t>https://sportnz.org.nz/research-and-insights/surveys-and-data/voice-of-participant/</t>
  </si>
  <si>
    <t>Blocked</t>
  </si>
  <si>
    <t>404 Page not found on old URL.</t>
  </si>
  <si>
    <t>Try: https://sportnz.org.nz/research-and-insights/surveys-and-data/ and look under 'Voice of Participant'. Page may have been restructured.</t>
  </si>
  <si>
    <t>Voice of Rangatahi Survey (youth / schools)</t>
  </si>
  <si>
    <t>https://sportnz.org.nz/research-and-insights/surveys-and-data/voice-of-rangatahi/</t>
  </si>
  <si>
    <t>Try: https://sportnz.org.nz/research-and-insights/surveys-and-data/ — look under 'Youth' or email activenz@sportnz.org.nz to request the Excel directly.</t>
  </si>
  <si>
    <t>data.govt.nz — CKAN API</t>
  </si>
  <si>
    <t>Govt Open Data</t>
  </si>
  <si>
    <t>Government NZ</t>
  </si>
  <si>
    <t>REST API</t>
  </si>
  <si>
    <t>https://data.govt.nz/api/3/action/package_search?q=sport</t>
  </si>
  <si>
    <t>404 on current URL — CKAN endpoint has moved.</t>
  </si>
  <si>
    <t>JSON</t>
  </si>
  <si>
    <t>Use correct endpoint: https://catalogue.data.govt.nz/api/3/action/package_search?q=sport (note: 'catalogue' subdomain)</t>
  </si>
  <si>
    <t>Stats NZ — Cultural &amp; Recreational Activities</t>
  </si>
  <si>
    <t>REST API + CSV</t>
  </si>
  <si>
    <t>https://api.stats.govt.nz/opendata/v1/Infoshare</t>
  </si>
  <si>
    <t>502 Bad Gateway. The Infoshare REST API requires a free API key registration.</t>
  </si>
  <si>
    <t>JSON / CSV</t>
  </si>
  <si>
    <t>Register at: https://api.stats.govt.nz — get free key → use https://api.stats.govt.nz/opendata/v1/Infoshare?subject=Sport. Alternatively use https://infoshare.stats.govt.nz/ for direct browser download.</t>
  </si>
  <si>
    <t>Stats NZ Infoshare API</t>
  </si>
  <si>
    <t>Free (API key)</t>
  </si>
  <si>
    <t>502 Bad Gateway. API key missing — free registration required first.</t>
  </si>
  <si>
    <t>Same fix as above — register at api.stats.govt.nz for free key. Then test: GET /opendata/v1/Infoshare with Authorization header.</t>
  </si>
  <si>
    <t>Figure.NZ — NZ sport &amp; recreation charts</t>
  </si>
  <si>
    <t>CSV Download</t>
  </si>
  <si>
    <t>https://figure.nz</t>
  </si>
  <si>
    <t>Downloaded a large amount of data.</t>
  </si>
  <si>
    <t>CSV</t>
  </si>
  <si>
    <t>Catalogue which Figure.NZ charts were downloaded — note dataset names and topics covered for pipeline mapping.</t>
  </si>
  <si>
    <t>Ministry of Health — Physical activity data</t>
  </si>
  <si>
    <t>https://www.health.govt.nz/nz-health-statistics/health-statistics-and-data-sets/physical-activity-data-and-stats</t>
  </si>
  <si>
    <t>Downloaded Excel and CSV files.</t>
  </si>
  <si>
    <t>Load into DB. Check you have: obesity rates, sedentary behaviour, % meeting activity guidelines — all by region/ethnicity.</t>
  </si>
  <si>
    <t>World Rugby API — All Blacks results &amp; rankings</t>
  </si>
  <si>
    <t>Rugby</t>
  </si>
  <si>
    <t>All Blacks / Rugby</t>
  </si>
  <si>
    <t>https://api.worldrugby.org/v1/teams/1151/results</t>
  </si>
  <si>
    <t>Free tier</t>
  </si>
  <si>
    <t>Site not found on this endpoint URL.</t>
  </si>
  <si>
    <t>Register at: https://developer.world.rugby — free tier available. Alternatively scrape from: https://www.espn.com/rugby/team/results/_/id/133 (All Blacks on ESPN)</t>
  </si>
  <si>
    <t>ESPN / Opta — Super Rugby Pacific stats (scrape)</t>
  </si>
  <si>
    <t>Super Rugby</t>
  </si>
  <si>
    <t>Web Scrape</t>
  </si>
  <si>
    <t>https://www.espn.com/rugby/standings/_/league/270557</t>
  </si>
  <si>
    <t>HTML page scraped. Normal standings data visible.</t>
  </si>
  <si>
    <t>HTML / pandas</t>
  </si>
  <si>
    <t>Parse with pandas.read_html() — extract team, played, won, lost, points. Also scrape fixtures page for match results.</t>
  </si>
  <si>
    <t>Rugby Reference — All Blacks historical test data</t>
  </si>
  <si>
    <t>All Blacks</t>
  </si>
  <si>
    <t>https://www.rugbyreference.com/national-teams/new-zealand</t>
  </si>
  <si>
    <t>Site unreachable — domain may be down or geo-blocked.</t>
  </si>
  <si>
    <t>Alternative: Use https://www.ultimaterugby.com/new-zealand/results or ESPN All Blacks results page. Also try https://www.rugby-reference.com (different domain).</t>
  </si>
  <si>
    <t>Opta / Statsperform — Official NZR data partner</t>
  </si>
  <si>
    <t>All Blacks / Super Rugby</t>
  </si>
  <si>
    <t>Enterprise API</t>
  </si>
  <si>
    <t>https://www.statsperform.com</t>
  </si>
  <si>
    <t>Paid</t>
  </si>
  <si>
    <t>Not Started</t>
  </si>
  <si>
    <t>Low</t>
  </si>
  <si>
    <t>Enterprise/paid — not yet explored.</t>
  </si>
  <si>
    <t>JSON (enterprise)</t>
  </si>
  <si>
    <t>Skip for now. Only needed if you get budget/contract. All free alternatives for All Blacks &amp; Super Rugby data are sufficient for Sport NZ insights.</t>
  </si>
  <si>
    <t>ESPNcricinfo Statsguru — NZ Black Caps</t>
  </si>
  <si>
    <t>Cricket</t>
  </si>
  <si>
    <t>Black Caps</t>
  </si>
  <si>
    <t>Python Library + Scrape</t>
  </si>
  <si>
    <t>https://stats.espncricinfo.com/ci/engine/stats/index.html</t>
  </si>
  <si>
    <t>Can't find NZ-specific Excel on the site. Statsguru is a dynamic query tool, not a direct download.</t>
  </si>
  <si>
    <t>CSV / DataFrame</t>
  </si>
  <si>
    <t>Use Python: pip install cricketdata → from cricketdata import fetch_cricinfo_statsguru. Or use Statsguru URL builder: https://stats.espncricinfo.com/ci/engine/stats/index.html?team=5 (NZ team ID=5)</t>
  </si>
  <si>
    <t>CricAPI via RapidAPI — live NZ cricket</t>
  </si>
  <si>
    <t>https://rapidapi.com/cricketapilive/api/cricbuzz-cricket</t>
  </si>
  <si>
    <t>Free tier (100/day)</t>
  </si>
  <si>
    <t>Can't find a working free NZ cricket API.</t>
  </si>
  <si>
    <t>Alternative: Use https://cricapi.com (free tier, 100 calls/day) or https://api.cricket.com.au is for AUS. Best free option: https://www.cricbuzz.com/api — requires RapidAPI signup. Also try cricsheet.org for free NZ match ball-by-ball CSV.</t>
  </si>
  <si>
    <t>NZ Cricket official site — fixtures &amp; squads</t>
  </si>
  <si>
    <t>Black Caps / Domestic</t>
  </si>
  <si>
    <t>https://www.nzc.nz/black-caps/matches</t>
  </si>
  <si>
    <t>Static web page with no structured data visible.</t>
  </si>
  <si>
    <t>HTML / BeautifulSoup</t>
  </si>
  <si>
    <t>Use BeautifulSoup: the page is JavaScript-rendered — try requests-html or Selenium. Or use ESPN NZ Cricket page: https://www.espncricinfo.com/series/new-zealand-matches which has scrapable HTML tables.</t>
  </si>
  <si>
    <t>OFC / football-data.org — All Whites &amp; Football Ferns</t>
  </si>
  <si>
    <t>Football</t>
  </si>
  <si>
    <t>All Whites / Football Ferns</t>
  </si>
  <si>
    <t>https://api.football-data.org/v4/teams/73/matches</t>
  </si>
  <si>
    <t>Resource restricted — NZ team data requires Tier 2+ subscription on football-data.org.</t>
  </si>
  <si>
    <t>Free alternative: Use API-Football (RapidAPI) free tier — GET /fixtures?team=2779 (NZ All Whites ID). Or scrape: https://www.transfermarkt.com/neuseeland/ergebnisse/verein/5428</t>
  </si>
  <si>
    <t>NZ Football National League (scrape)</t>
  </si>
  <si>
    <t>NZ domestic</t>
  </si>
  <si>
    <t>https://www.nzfootball.co.nz/competitions</t>
  </si>
  <si>
    <t>No structured data — site loads dynamically.</t>
  </si>
  <si>
    <t>Try pandas.read_html() on: https://www.nzfootball.co.nz/competitions/national-league/standings. If JS-rendered, use Selenium. Low priority — focus on participation data first.</t>
  </si>
  <si>
    <t>Wellington Phoenix — API-Football (A-League)</t>
  </si>
  <si>
    <t>Wellington Phoenix</t>
  </si>
  <si>
    <t>https://v3.football.api-sports.io/fixtures?league=188&amp;team=1006</t>
  </si>
  <si>
    <t>No API key set up yet.</t>
  </si>
  <si>
    <t>Register free at: https://dashboard.api-football.com — 100 calls/day free. Use league=188 (A-League), team=1006 (Wellington Phoenix). Header: X-RapidAPI-Key: YOUR_KEY</t>
  </si>
  <si>
    <t>🆕 NZDep2018 Deprivation Index by Meshblock</t>
  </si>
  <si>
    <t>NZ Population</t>
  </si>
  <si>
    <t>https://www.otago.ac.nz/wellington/departments/publichealth/research/hirp/otago020194.html</t>
  </si>
  <si>
    <t>NOT IN ORIGINAL TRACKER. Required to map deprivation quintiles per area — core dimension in Sport NZ Insights Tool.</t>
  </si>
  <si>
    <t>Download Excel from Otago Uni URL above. Contains NZDep2018 score + quintile for every meshblock in NZ. Join to Stats NZ geography via meshblock code.</t>
  </si>
  <si>
    <t>🆕 Active NZ Small-Area Modelled Estimates (TA level)</t>
  </si>
  <si>
    <t>Email Request</t>
  </si>
  <si>
    <t>mailto:activenz@sportnz.org.nz</t>
  </si>
  <si>
    <t>NOT IN ORIGINAL TRACKER. The Insights Tool uses small-area modelled participation estimates at Territorial Authority (TA) level — these are not in the public Excel downloads.</t>
  </si>
  <si>
    <t>Email activenz@sportnz.org.nz — request modelled TA-level Active NZ participation estimates. Explain you are building a regional insights tool. Sport NZ shares these with sector partners.</t>
  </si>
  <si>
    <t>🆕 MoH NZ Health Survey — Sedentary Behaviour &amp; BMI tables</t>
  </si>
  <si>
    <t>Health</t>
  </si>
  <si>
    <t>https://www.health.govt.nz/nz-health-statistics/health-statistics-and-data-sets/nz-health-survey-annual-data-explorer</t>
  </si>
  <si>
    <t>NOT IN ORIGINAL TRACKER. The MoH download already done only covered physical activity. Sedentary behaviour and BMI/obesity by region/ethnicity are separate tables needed for the Health layer.</t>
  </si>
  <si>
    <t>Go to NZ Health Survey Annual Data Explorer above → download additional tables: Sedentary behaviour, Overweight/obese adults by region and ethnicity. These are separate from the physical activity tables already downloaded.</t>
  </si>
  <si>
    <t>🆕 Nielsen Research — Sport/Recreation Attitudes (Sector login)</t>
  </si>
  <si>
    <t>Health / Attitudes</t>
  </si>
  <si>
    <t>Restricted (Sector login)</t>
  </si>
  <si>
    <t>https://www.sporttutor.nz/pages/description.jsf?menuId=1106</t>
  </si>
  <si>
    <t>Free (sector login)</t>
  </si>
  <si>
    <t>NOT IN ORIGINAL TRACKER. Nielsen attitude/motivation data is only visible inside the Sport NZ Insights Tool after completing the 30-min SportTutor training module.</t>
  </si>
  <si>
    <t>Power BI / CSV</t>
  </si>
  <si>
    <t>Complete free 30-min module at sporttutor.nz (link above). Once done, the restricted tier of the Insights Tool unlocks — you can view and screenshot/extract Nielsen data on sport motivations by demographic.</t>
  </si>
  <si>
    <t>🆕 School Sport NZ Census — Student participation by sport</t>
  </si>
  <si>
    <t>Schools</t>
  </si>
  <si>
    <t>NZ Schools</t>
  </si>
  <si>
    <t>CSV / Excel (contact)</t>
  </si>
  <si>
    <t>https://www.schoolsport.nz/</t>
  </si>
  <si>
    <t>Free (contact)</t>
  </si>
  <si>
    <t>NOT IN ORIGINAL TRACKER. The Schools layer of the Insights Tool is powered by the School Sport NZ Census — student sport participation numbers by sport, school, and region.</t>
  </si>
  <si>
    <t>Contact schoolsport.nz directly for data access. Also check: https://sportnz.org.nz/research-and-insights/participation-data-and-tools/ under 'School Sport NZ Census' for any public summary Excel.</t>
  </si>
  <si>
    <t>🆕 Ministry of Education — School Directory CSV</t>
  </si>
  <si>
    <t>https://www.educationcounts.govt.nz/find-school</t>
  </si>
  <si>
    <t>NOT IN ORIGINAL TRACKER. School name, region, type (primary/secondary), decile/equity index. Required to join School Sport data to geography.</t>
  </si>
  <si>
    <t>Go to educationcounts.govt.nz → Find a School → Download full directory CSV. Or direct: https://www.educationcounts.govt.nz/statistics/schooling/student-numbers — look for 'School directory' CSV download link.</t>
  </si>
  <si>
    <t>🆕 Ministry of Education — Student Enrolments by Ethnicity</t>
  </si>
  <si>
    <t>https://www.educationcounts.govt.nz/statistics/schooling/student-numbers</t>
  </si>
  <si>
    <t>NOT IN ORIGINAL TRACKER. Student counts by school, year level, and ethnicity — needed to contextualise school sport participation data by demographic.</t>
  </si>
  <si>
    <t>educationcounts.govt.nz → Statistics → Schooling → Student Numbers → download 'School roll by ethnicity' CSV. Updated annually.</t>
  </si>
  <si>
    <t>⚠  Datasets Missing From Your Original Tracker — Act on These First</t>
  </si>
  <si>
    <t>These 7 datasets were identified as required by the Sport NZ Insights Tool but were not in your original tracker. All are FREE.</t>
  </si>
  <si>
    <t>Dataset</t>
  </si>
  <si>
    <t>Why It's Critical</t>
  </si>
  <si>
    <t>Where to Get It</t>
  </si>
  <si>
    <t>Format</t>
  </si>
  <si>
    <t>Active NZ Excel — actual data NOT yet downloaded</t>
  </si>
  <si>
    <t>Marked Completed in tracker but notes say 'not downloaded yet'. The 7 years of participation data are the CORE of the Insights Tool.</t>
  </si>
  <si>
    <t>sportnz.org.nz → Research → Active NZ → download all year Excel tabs (2017, 2018, 2019, 2021, 2022, 2023, 2024/25)</t>
  </si>
  <si>
    <t>🔴 Critical</t>
  </si>
  <si>
    <t>NZDep2018 Deprivation Index by meshblock</t>
  </si>
  <si>
    <t>The Insights Tool filters ALL data by deprivation quintile. Without this you can't replicate the equity analysis.</t>
  </si>
  <si>
    <t>otago.ac.nz/wellington/departments/publichealth/research/hirp/otago020194.html — free Excel download</t>
  </si>
  <si>
    <t>Active NZ small-area modelled estimates (TA level)</t>
  </si>
  <si>
    <t>The Tool shows participation data at local TA level — this is only possible with modelled small-area estimates, not raw survey data.</t>
  </si>
  <si>
    <t>Email activenz@sportnz.org.nz requesting modelled TA-level estimates — free for sector partners</t>
  </si>
  <si>
    <t>MoH NZ Health Survey — Sedentary Behaviour &amp; BMI tables</t>
  </si>
  <si>
    <t>MoH physical activity data was downloaded but the Health layer also needs obesity/BMI and sedentary behaviour tables (separate files).</t>
  </si>
  <si>
    <t>health.govt.nz → NZ Health Survey Annual Data Explorer → download Sedentary behaviour + Overweight/obese tables</t>
  </si>
  <si>
    <t>🟠 High</t>
  </si>
  <si>
    <t>Nielsen Research — Sport/Recreation Attitudes</t>
  </si>
  <si>
    <t>Restricted sector data visible inside Insights Tool after free 30-min SportTutor training. Covers motivations and barriers.</t>
  </si>
  <si>
    <t>sporttutor.nz — complete free 30-min module to unlock restricted tier of Insights Tool</t>
  </si>
  <si>
    <t>Power BI</t>
  </si>
  <si>
    <t>🟡 Medium</t>
  </si>
  <si>
    <t>School Sport NZ Census</t>
  </si>
  <si>
    <t>The Schools layer of the Tool is powered by this census. Without it you cannot replicate the schools participation view.</t>
  </si>
  <si>
    <t>schoolsport.nz — contact directly for data access, or check sportnz.org.nz/research-and-insights</t>
  </si>
  <si>
    <t>Ministry of Education — School Directory + Student Enrolments</t>
  </si>
  <si>
    <t>Need school name/type/region/decile to join sport census data to geography. Enrolments give ethnic demographic context per school.</t>
  </si>
  <si>
    <t>educationcounts.govt.nz → Statistics → Schooling → download School Directory CSV and Student Numbers CSV</t>
  </si>
  <si>
    <t>NZ Sports Data — Progress Summary (auto-calculated)</t>
  </si>
  <si>
    <t>Update statuses in the Tracker sheet — this dashboard refreshes automatically.</t>
  </si>
  <si>
    <t>Metric</t>
  </si>
  <si>
    <t>Count</t>
  </si>
  <si>
    <t>% of Total</t>
  </si>
  <si>
    <t>Total Sources</t>
  </si>
  <si>
    <t>✅ Completed</t>
  </si>
  <si>
    <t>⏳ In Progress</t>
  </si>
  <si>
    <t>🔲 Not Started</t>
  </si>
  <si>
    <t>🚫 Blocked</t>
  </si>
  <si>
    <t>🆕 New (needs action)</t>
  </si>
  <si>
    <t>Breakdown by Category</t>
  </si>
  <si>
    <t>Total</t>
  </si>
  <si>
    <t>In Progress</t>
  </si>
  <si>
    <t>% Done</t>
  </si>
  <si>
    <t>How to use this tracker</t>
  </si>
  <si>
    <t>STATUS VALUES</t>
  </si>
  <si>
    <t>Data fully downloaded, cleaned, and loaded into your pipeline/DB</t>
  </si>
  <si>
    <t>Currently accessing, downloading, or integrating this source</t>
  </si>
  <si>
    <t>Haven't started yet — still to do</t>
  </si>
  <si>
    <t>Something preventing progress — check 'Action / Fix' column</t>
  </si>
  <si>
    <t>Status was marked Complete but notes show it's actually not fully done</t>
  </si>
  <si>
    <t>PRIORITY VALUES</t>
  </si>
  <si>
    <t>Core dataset — needed to replicate the Sport NZ Insights Tool</t>
  </si>
  <si>
    <t>Useful supplement — adds depth once high-priority items are done</t>
  </si>
  <si>
    <t>Nice to have — explore after everything else is in place</t>
  </si>
  <si>
    <t>CATEGORY COLOUR CODES</t>
  </si>
  <si>
    <t>Sport NZ Active NZ survey &amp; participation data</t>
  </si>
  <si>
    <t>data.govt.nz, Stats NZ, Ministry of Health</t>
  </si>
  <si>
    <t>All Blacks, Super Rugby, provincial rugby</t>
  </si>
  <si>
    <t>NZ Black Caps, Super Smash, Plunket Shield</t>
  </si>
  <si>
    <t>All Whites, Football Ferns, Wellington Phoenix, NZ domestic</t>
  </si>
  <si>
    <t>MoE school data, School Sport NZ Census — NEW category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</si>
</sst>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m\-yyyy"/>
  </numFmts>
  <fonts count="44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10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1A1A1A"/>
      <name val="Arial"/>
      <charset val="1"/>
    </font>
    <font>
      <b/>
      <sz val="10"/>
      <color rgb="FF1A1A1A"/>
      <name val="Arial"/>
      <charset val="1"/>
    </font>
    <font>
      <b/>
      <sz val="9"/>
      <color rgb="FF0F6E56"/>
      <name val="Arial"/>
      <charset val="1"/>
    </font>
    <font>
      <sz val="9"/>
      <color rgb="FF1A1A1A"/>
      <name val="Arial"/>
      <charset val="1"/>
    </font>
    <font>
      <sz val="9"/>
      <color rgb="FF185FA5"/>
      <name val="Arial"/>
      <charset val="1"/>
    </font>
    <font>
      <b/>
      <sz val="9"/>
      <color rgb="FF6B4C00"/>
      <name val="Arial"/>
      <charset val="1"/>
    </font>
    <font>
      <b/>
      <sz val="9"/>
      <color rgb="FF993C1D"/>
      <name val="Arial"/>
      <charset val="1"/>
    </font>
    <font>
      <sz val="9"/>
      <color rgb="FF6B4C00"/>
      <name val="Arial"/>
      <charset val="1"/>
    </font>
    <font>
      <sz val="9"/>
      <color rgb="FF444441"/>
      <name val="Arial"/>
      <charset val="1"/>
    </font>
    <font>
      <b/>
      <sz val="9"/>
      <color rgb="FF1A5C30"/>
      <name val="Arial"/>
      <charset val="1"/>
    </font>
    <font>
      <b/>
      <sz val="9"/>
      <color rgb="FFBA7517"/>
      <name val="Arial"/>
      <charset val="1"/>
    </font>
    <font>
      <b/>
      <sz val="9"/>
      <color rgb="FF7C1D1D"/>
      <name val="Arial"/>
      <charset val="1"/>
    </font>
    <font>
      <b/>
      <sz val="9"/>
      <color rgb="FF185FA5"/>
      <name val="Arial"/>
      <charset val="1"/>
    </font>
    <font>
      <b/>
      <sz val="9"/>
      <color rgb="FF534AB7"/>
      <name val="Arial"/>
      <charset val="1"/>
    </font>
    <font>
      <b/>
      <sz val="9"/>
      <color rgb="FF888780"/>
      <name val="Arial"/>
      <charset val="1"/>
    </font>
    <font>
      <b/>
      <sz val="9"/>
      <color rgb="FF27500A"/>
      <name val="Arial"/>
      <charset val="1"/>
    </font>
    <font>
      <b/>
      <sz val="10"/>
      <color rgb="FFC4500A"/>
      <name val="Arial"/>
      <charset val="1"/>
    </font>
    <font>
      <sz val="9"/>
      <color rgb="FFC4500A"/>
      <name val="Arial"/>
      <charset val="1"/>
    </font>
    <font>
      <b/>
      <sz val="9"/>
      <color rgb="FFC4500A"/>
      <name val="Arial"/>
      <charset val="1"/>
    </font>
    <font>
      <i/>
      <sz val="10"/>
      <color rgb="FF7C1D1D"/>
      <name val="Arial"/>
      <charset val="1"/>
    </font>
    <font>
      <sz val="9"/>
      <color rgb="FF555553"/>
      <name val="Arial"/>
      <charset val="1"/>
    </font>
    <font>
      <b/>
      <sz val="14"/>
      <color rgb="FFFFFFFF"/>
      <name val="Arial"/>
      <charset val="1"/>
    </font>
    <font>
      <b/>
      <sz val="10"/>
      <color rgb="FF444441"/>
      <name val="Arial"/>
      <charset val="1"/>
    </font>
    <font>
      <b/>
      <sz val="10"/>
      <color rgb="FF1A5C30"/>
      <name val="Arial"/>
      <charset val="1"/>
    </font>
    <font>
      <b/>
      <sz val="10"/>
      <color rgb="FF0C447C"/>
      <name val="Arial"/>
      <charset val="1"/>
    </font>
    <font>
      <b/>
      <sz val="10"/>
      <color rgb="FF888780"/>
      <name val="Arial"/>
      <charset val="1"/>
    </font>
    <font>
      <b/>
      <sz val="10"/>
      <color rgb="FF7C1D1D"/>
      <name val="Arial"/>
      <charset val="1"/>
    </font>
    <font>
      <b/>
      <sz val="10"/>
      <color rgb="FF6B4C00"/>
      <name val="Arial"/>
      <charset val="1"/>
    </font>
    <font>
      <b/>
      <sz val="10"/>
      <color rgb="FF0F6E56"/>
      <name val="Arial"/>
      <charset val="1"/>
    </font>
    <font>
      <sz val="10"/>
      <color rgb="FF0F6E56"/>
      <name val="Arial"/>
      <charset val="1"/>
    </font>
    <font>
      <b/>
      <sz val="10"/>
      <color rgb="FF185FA5"/>
      <name val="Arial"/>
      <charset val="1"/>
    </font>
    <font>
      <sz val="10"/>
      <color rgb="FF185FA5"/>
      <name val="Arial"/>
      <charset val="1"/>
    </font>
    <font>
      <b/>
      <sz val="10"/>
      <color rgb="FF534AB7"/>
      <name val="Arial"/>
      <charset val="1"/>
    </font>
    <font>
      <sz val="10"/>
      <color rgb="FF534AB7"/>
      <name val="Arial"/>
      <charset val="1"/>
    </font>
    <font>
      <b/>
      <sz val="10"/>
      <color rgb="FFBA7517"/>
      <name val="Arial"/>
      <charset val="1"/>
    </font>
    <font>
      <sz val="10"/>
      <color rgb="FFBA7517"/>
      <name val="Arial"/>
      <charset val="1"/>
    </font>
    <font>
      <b/>
      <sz val="10"/>
      <color rgb="FF27500A"/>
      <name val="Arial"/>
      <charset val="1"/>
    </font>
    <font>
      <sz val="10"/>
      <color rgb="FF27500A"/>
      <name val="Arial"/>
      <charset val="1"/>
    </font>
    <font>
      <sz val="10"/>
      <color rgb="FFC4500A"/>
      <name val="Arial"/>
      <charset val="1"/>
    </font>
    <font>
      <b/>
      <sz val="10"/>
      <color rgb="FF993C1D"/>
      <name val="Arial"/>
      <charset val="1"/>
    </font>
  </fonts>
  <fills count="22">
    <fill>
      <patternFill patternType="none"/>
    </fill>
    <fill>
      <patternFill patternType="gray125"/>
    </fill>
    <fill>
      <patternFill patternType="solid">
        <fgColor rgb="FF0D1B2A"/>
        <bgColor rgb="FF1A1A1A"/>
      </patternFill>
    </fill>
    <fill>
      <patternFill patternType="solid">
        <fgColor rgb="FF534AB7"/>
        <bgColor rgb="FF555553"/>
      </patternFill>
    </fill>
    <fill>
      <patternFill patternType="solid">
        <fgColor rgb="FFF7F6F3"/>
        <bgColor rgb="FFFAFAF8"/>
      </patternFill>
    </fill>
    <fill>
      <patternFill patternType="solid">
        <fgColor rgb="FFE1F5EE"/>
        <bgColor rgb="FFE6F1FB"/>
      </patternFill>
    </fill>
    <fill>
      <patternFill patternType="solid">
        <fgColor rgb="FFFFF8E1"/>
        <bgColor rgb="FFFFF4E5"/>
      </patternFill>
    </fill>
    <fill>
      <patternFill patternType="solid">
        <fgColor rgb="FFFAECE7"/>
        <bgColor rgb="FFFDEEE4"/>
      </patternFill>
    </fill>
    <fill>
      <patternFill patternType="solid">
        <fgColor rgb="FFFFFFFF"/>
        <bgColor rgb="FFFAFAF8"/>
      </patternFill>
    </fill>
    <fill>
      <patternFill patternType="solid">
        <fgColor rgb="FFD6F4E0"/>
        <bgColor rgb="FFE1F5EE"/>
      </patternFill>
    </fill>
    <fill>
      <patternFill patternType="solid">
        <fgColor rgb="FFFAEEDA"/>
        <bgColor rgb="FFFDEEE4"/>
      </patternFill>
    </fill>
    <fill>
      <patternFill patternType="solid">
        <fgColor rgb="FFFCE8E8"/>
        <bgColor rgb="FFFAECE7"/>
      </patternFill>
    </fill>
    <fill>
      <patternFill patternType="solid">
        <fgColor rgb="FFEAF3FF"/>
        <bgColor rgb="FFE6F1FB"/>
      </patternFill>
    </fill>
    <fill>
      <patternFill patternType="solid">
        <fgColor rgb="FFE6F1FB"/>
        <bgColor rgb="FFEAF3FF"/>
      </patternFill>
    </fill>
    <fill>
      <patternFill patternType="solid">
        <fgColor rgb="FFEEEDFE"/>
        <bgColor rgb="FFEAF3FF"/>
      </patternFill>
    </fill>
    <fill>
      <patternFill patternType="solid">
        <fgColor rgb="FFEAF3DE"/>
        <bgColor rgb="FFE1F5EE"/>
      </patternFill>
    </fill>
    <fill>
      <patternFill patternType="solid">
        <fgColor rgb="FFFDEEE4"/>
        <bgColor rgb="FFFAECE7"/>
      </patternFill>
    </fill>
    <fill>
      <patternFill patternType="solid">
        <fgColor rgb="FFFFF8F2"/>
        <bgColor rgb="FFFFF4F4"/>
      </patternFill>
    </fill>
    <fill>
      <patternFill patternType="solid">
        <fgColor rgb="FFFFF4E5"/>
        <bgColor rgb="FFFFF8E1"/>
      </patternFill>
    </fill>
    <fill>
      <patternFill patternType="solid">
        <fgColor rgb="FF7C1D1D"/>
        <bgColor rgb="FF800000"/>
      </patternFill>
    </fill>
    <fill>
      <patternFill patternType="solid">
        <fgColor rgb="FFFFF4F4"/>
        <bgColor rgb="FFFFF8F2"/>
      </patternFill>
    </fill>
    <fill>
      <patternFill patternType="solid">
        <fgColor rgb="FFFAFAF8"/>
        <bgColor rgb="FFFFF8F2"/>
      </patternFill>
    </fill>
  </fills>
  <borders count="3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/>
      <top style="thin">
        <color rgb="FFD3D1C7"/>
      </top>
      <bottom style="thin">
        <color rgb="FFD3D1C7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4" fillId="21" borderId="2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3" fillId="11" borderId="0" xfId="0" applyFont="1" applyFill="1" applyBorder="1" applyAlignment="1">
      <alignment horizontal="center" vertical="center"/>
    </xf>
    <xf numFmtId="0" fontId="1" fillId="19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left" vertical="center"/>
    </xf>
    <xf numFmtId="0" fontId="13" fillId="9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164" fontId="4" fillId="8" borderId="1" xfId="0" applyNumberFormat="1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left" vertical="center" wrapText="1"/>
    </xf>
    <xf numFmtId="0" fontId="14" fillId="10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left" vertical="center" wrapText="1"/>
    </xf>
    <xf numFmtId="0" fontId="16" fillId="13" borderId="1" xfId="0" applyFont="1" applyFill="1" applyBorder="1" applyAlignment="1">
      <alignment horizontal="center" vertical="center"/>
    </xf>
    <xf numFmtId="0" fontId="17" fillId="14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19" fillId="15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20" fillId="17" borderId="1" xfId="0" applyFont="1" applyFill="1" applyBorder="1" applyAlignment="1">
      <alignment horizontal="left" vertical="center"/>
    </xf>
    <xf numFmtId="0" fontId="7" fillId="17" borderId="1" xfId="0" applyFont="1" applyFill="1" applyBorder="1" applyAlignment="1">
      <alignment horizontal="left" vertical="center"/>
    </xf>
    <xf numFmtId="0" fontId="8" fillId="17" borderId="1" xfId="0" applyFont="1" applyFill="1" applyBorder="1" applyAlignment="1">
      <alignment horizontal="left" vertical="center"/>
    </xf>
    <xf numFmtId="0" fontId="4" fillId="17" borderId="1" xfId="0" applyFont="1" applyFill="1" applyBorder="1" applyAlignment="1">
      <alignment horizontal="left" vertical="center"/>
    </xf>
    <xf numFmtId="164" fontId="4" fillId="17" borderId="1" xfId="0" applyNumberFormat="1" applyFont="1" applyFill="1" applyBorder="1" applyAlignment="1">
      <alignment horizontal="center" vertical="center"/>
    </xf>
    <xf numFmtId="0" fontId="21" fillId="17" borderId="1" xfId="0" applyFont="1" applyFill="1" applyBorder="1" applyAlignment="1">
      <alignment horizontal="left" vertical="center" wrapText="1"/>
    </xf>
    <xf numFmtId="0" fontId="21" fillId="18" borderId="1" xfId="0" applyFont="1" applyFill="1" applyBorder="1" applyAlignment="1">
      <alignment horizontal="left" vertical="center" wrapText="1"/>
    </xf>
    <xf numFmtId="0" fontId="22" fillId="16" borderId="1" xfId="0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horizontal="left" vertical="center" wrapText="1"/>
    </xf>
    <xf numFmtId="0" fontId="24" fillId="20" borderId="1" xfId="0" applyFont="1" applyFill="1" applyBorder="1" applyAlignment="1">
      <alignment horizontal="left" vertical="center" wrapText="1"/>
    </xf>
    <xf numFmtId="0" fontId="7" fillId="20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wrapText="1"/>
    </xf>
    <xf numFmtId="0" fontId="24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/>
    </xf>
    <xf numFmtId="0" fontId="22" fillId="1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26" fillId="4" borderId="1" xfId="0" applyFont="1" applyFill="1" applyBorder="1" applyAlignment="1">
      <alignment horizontal="left" vertical="center"/>
    </xf>
    <xf numFmtId="0" fontId="26" fillId="4" borderId="1" xfId="0" applyFont="1" applyFill="1" applyBorder="1" applyAlignment="1">
      <alignment horizontal="center" vertical="center"/>
    </xf>
    <xf numFmtId="0" fontId="27" fillId="9" borderId="1" xfId="0" applyFont="1" applyFill="1" applyBorder="1" applyAlignment="1">
      <alignment horizontal="left" vertical="center"/>
    </xf>
    <xf numFmtId="0" fontId="27" fillId="9" borderId="1" xfId="0" applyFont="1" applyFill="1" applyBorder="1" applyAlignment="1">
      <alignment horizontal="center" vertical="center"/>
    </xf>
    <xf numFmtId="9" fontId="27" fillId="9" borderId="1" xfId="0" applyNumberFormat="1" applyFont="1" applyFill="1" applyBorder="1" applyAlignment="1">
      <alignment horizontal="center" vertical="center"/>
    </xf>
    <xf numFmtId="0" fontId="28" fillId="13" borderId="1" xfId="0" applyFont="1" applyFill="1" applyBorder="1" applyAlignment="1">
      <alignment horizontal="left" vertical="center"/>
    </xf>
    <xf numFmtId="0" fontId="28" fillId="13" borderId="1" xfId="0" applyFont="1" applyFill="1" applyBorder="1" applyAlignment="1">
      <alignment horizontal="center" vertical="center"/>
    </xf>
    <xf numFmtId="9" fontId="28" fillId="13" borderId="1" xfId="0" applyNumberFormat="1" applyFont="1" applyFill="1" applyBorder="1" applyAlignment="1">
      <alignment horizontal="center" vertical="center"/>
    </xf>
    <xf numFmtId="0" fontId="29" fillId="4" borderId="1" xfId="0" applyFont="1" applyFill="1" applyBorder="1" applyAlignment="1">
      <alignment horizontal="left" vertical="center"/>
    </xf>
    <xf numFmtId="0" fontId="29" fillId="4" borderId="1" xfId="0" applyFont="1" applyFill="1" applyBorder="1" applyAlignment="1">
      <alignment horizontal="center" vertical="center"/>
    </xf>
    <xf numFmtId="9" fontId="29" fillId="4" borderId="1" xfId="0" applyNumberFormat="1" applyFont="1" applyFill="1" applyBorder="1" applyAlignment="1">
      <alignment horizontal="center" vertical="center"/>
    </xf>
    <xf numFmtId="0" fontId="30" fillId="11" borderId="1" xfId="0" applyFont="1" applyFill="1" applyBorder="1" applyAlignment="1">
      <alignment horizontal="left" vertical="center"/>
    </xf>
    <xf numFmtId="0" fontId="30" fillId="11" borderId="1" xfId="0" applyFont="1" applyFill="1" applyBorder="1" applyAlignment="1">
      <alignment horizontal="center" vertical="center"/>
    </xf>
    <xf numFmtId="9" fontId="30" fillId="11" borderId="1" xfId="0" applyNumberFormat="1" applyFont="1" applyFill="1" applyBorder="1" applyAlignment="1">
      <alignment horizontal="center" vertical="center"/>
    </xf>
    <xf numFmtId="0" fontId="31" fillId="6" borderId="1" xfId="0" applyFont="1" applyFill="1" applyBorder="1" applyAlignment="1">
      <alignment horizontal="left" vertical="center"/>
    </xf>
    <xf numFmtId="0" fontId="31" fillId="6" borderId="1" xfId="0" applyFont="1" applyFill="1" applyBorder="1" applyAlignment="1">
      <alignment horizontal="center" vertical="center"/>
    </xf>
    <xf numFmtId="9" fontId="31" fillId="6" borderId="1" xfId="0" applyNumberFormat="1" applyFont="1" applyFill="1" applyBorder="1" applyAlignment="1">
      <alignment horizontal="center" vertical="center"/>
    </xf>
    <xf numFmtId="0" fontId="20" fillId="16" borderId="1" xfId="0" applyFont="1" applyFill="1" applyBorder="1" applyAlignment="1">
      <alignment horizontal="left" vertical="center"/>
    </xf>
    <xf numFmtId="0" fontId="20" fillId="16" borderId="1" xfId="0" applyFont="1" applyFill="1" applyBorder="1" applyAlignment="1">
      <alignment horizontal="center" vertical="center"/>
    </xf>
    <xf numFmtId="9" fontId="20" fillId="16" borderId="1" xfId="0" applyNumberFormat="1" applyFont="1" applyFill="1" applyBorder="1" applyAlignment="1">
      <alignment horizontal="center" vertical="center"/>
    </xf>
    <xf numFmtId="0" fontId="32" fillId="5" borderId="1" xfId="0" applyFont="1" applyFill="1" applyBorder="1" applyAlignment="1">
      <alignment horizontal="left" vertical="center"/>
    </xf>
    <xf numFmtId="0" fontId="33" fillId="5" borderId="1" xfId="0" applyFont="1" applyFill="1" applyBorder="1" applyAlignment="1">
      <alignment horizontal="center" vertical="center"/>
    </xf>
    <xf numFmtId="9" fontId="32" fillId="5" borderId="1" xfId="0" applyNumberFormat="1" applyFont="1" applyFill="1" applyBorder="1" applyAlignment="1">
      <alignment horizontal="center" vertical="center"/>
    </xf>
    <xf numFmtId="0" fontId="34" fillId="13" borderId="1" xfId="0" applyFont="1" applyFill="1" applyBorder="1" applyAlignment="1">
      <alignment horizontal="left" vertical="center"/>
    </xf>
    <xf numFmtId="0" fontId="35" fillId="13" borderId="1" xfId="0" applyFont="1" applyFill="1" applyBorder="1" applyAlignment="1">
      <alignment horizontal="center" vertical="center"/>
    </xf>
    <xf numFmtId="9" fontId="34" fillId="13" borderId="1" xfId="0" applyNumberFormat="1" applyFont="1" applyFill="1" applyBorder="1" applyAlignment="1">
      <alignment horizontal="center" vertical="center"/>
    </xf>
    <xf numFmtId="0" fontId="36" fillId="14" borderId="1" xfId="0" applyFont="1" applyFill="1" applyBorder="1" applyAlignment="1">
      <alignment horizontal="left" vertical="center"/>
    </xf>
    <xf numFmtId="0" fontId="37" fillId="14" borderId="1" xfId="0" applyFont="1" applyFill="1" applyBorder="1" applyAlignment="1">
      <alignment horizontal="center" vertical="center"/>
    </xf>
    <xf numFmtId="9" fontId="36" fillId="14" borderId="1" xfId="0" applyNumberFormat="1" applyFont="1" applyFill="1" applyBorder="1" applyAlignment="1">
      <alignment horizontal="center" vertical="center"/>
    </xf>
    <xf numFmtId="0" fontId="38" fillId="10" borderId="1" xfId="0" applyFont="1" applyFill="1" applyBorder="1" applyAlignment="1">
      <alignment horizontal="left" vertical="center"/>
    </xf>
    <xf numFmtId="0" fontId="39" fillId="10" borderId="1" xfId="0" applyFont="1" applyFill="1" applyBorder="1" applyAlignment="1">
      <alignment horizontal="center" vertical="center"/>
    </xf>
    <xf numFmtId="9" fontId="38" fillId="10" borderId="1" xfId="0" applyNumberFormat="1" applyFont="1" applyFill="1" applyBorder="1" applyAlignment="1">
      <alignment horizontal="center" vertical="center"/>
    </xf>
    <xf numFmtId="0" fontId="40" fillId="15" borderId="1" xfId="0" applyFont="1" applyFill="1" applyBorder="1" applyAlignment="1">
      <alignment horizontal="left" vertical="center"/>
    </xf>
    <xf numFmtId="0" fontId="41" fillId="15" borderId="1" xfId="0" applyFont="1" applyFill="1" applyBorder="1" applyAlignment="1">
      <alignment horizontal="center" vertical="center"/>
    </xf>
    <xf numFmtId="9" fontId="40" fillId="15" borderId="1" xfId="0" applyNumberFormat="1" applyFont="1" applyFill="1" applyBorder="1" applyAlignment="1">
      <alignment horizontal="center" vertical="center"/>
    </xf>
    <xf numFmtId="0" fontId="42" fillId="16" borderId="1" xfId="0" applyFont="1" applyFill="1" applyBorder="1" applyAlignment="1">
      <alignment horizontal="center" vertical="center"/>
    </xf>
    <xf numFmtId="0" fontId="43" fillId="7" borderId="1" xfId="0" applyFont="1" applyFill="1" applyBorder="1" applyAlignment="1">
      <alignment horizontal="center" vertical="center"/>
    </xf>
    <xf numFmtId="0" fontId="38" fillId="10" borderId="1" xfId="0" applyFont="1" applyFill="1" applyBorder="1" applyAlignment="1">
      <alignment horizontal="center" vertical="center"/>
    </xf>
    <xf numFmtId="0" fontId="40" fillId="15" borderId="1" xfId="0" applyFont="1" applyFill="1" applyBorder="1" applyAlignment="1">
      <alignment horizontal="center" vertical="center"/>
    </xf>
    <xf numFmtId="0" fontId="32" fillId="5" borderId="1" xfId="0" applyFont="1" applyFill="1" applyBorder="1" applyAlignment="1">
      <alignment horizontal="center" vertical="center"/>
    </xf>
    <xf numFmtId="0" fontId="34" fillId="13" borderId="1" xfId="0" applyFont="1" applyFill="1" applyBorder="1" applyAlignment="1">
      <alignment horizontal="center" vertical="center"/>
    </xf>
    <xf numFmtId="0" fontId="36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sz val="10"/>
        <color rgb="FF6B4C00"/>
        <name val="Arial"/>
      </font>
      <fill>
        <patternFill>
          <bgColor rgb="FFFFF8E1"/>
        </patternFill>
      </fill>
    </dxf>
    <dxf>
      <font>
        <sz val="10"/>
        <color rgb="FF7C1D1D"/>
        <name val="Arial"/>
      </font>
      <fill>
        <patternFill>
          <bgColor rgb="FFFCE8E8"/>
        </patternFill>
      </fill>
    </dxf>
    <dxf>
      <font>
        <sz val="10"/>
        <color rgb="FF0C447C"/>
        <name val="Arial"/>
      </font>
      <fill>
        <patternFill>
          <bgColor rgb="FFE6F1FB"/>
        </patternFill>
      </fill>
    </dxf>
    <dxf>
      <font>
        <sz val="10"/>
        <color rgb="FF1A5C30"/>
        <name val="Arial"/>
      </font>
      <fill>
        <patternFill>
          <bgColor rgb="FFD6F4E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EAF3DE"/>
      <rgbColor rgb="FFFF00FF"/>
      <rgbColor rgb="FF00FFFF"/>
      <rgbColor rgb="FF7C1D1D"/>
      <rgbColor rgb="FF1A5C30"/>
      <rgbColor rgb="FF1A1A1A"/>
      <rgbColor rgb="FFBA7517"/>
      <rgbColor rgb="FF800080"/>
      <rgbColor rgb="FF0F6E56"/>
      <rgbColor rgb="FFD3D1C7"/>
      <rgbColor rgb="FF888780"/>
      <rgbColor rgb="FFF7F6F3"/>
      <rgbColor rgb="FF6B4C00"/>
      <rgbColor rgb="FFFFF8E1"/>
      <rgbColor rgb="FFE1F5EE"/>
      <rgbColor rgb="FF660066"/>
      <rgbColor rgb="FFFAFAF8"/>
      <rgbColor rgb="FF185FA5"/>
      <rgbColor rgb="FFEEEDFE"/>
      <rgbColor rgb="FF000080"/>
      <rgbColor rgb="FFFF00FF"/>
      <rgbColor rgb="FFFFF4E5"/>
      <rgbColor rgb="FF00FFFF"/>
      <rgbColor rgb="FF800080"/>
      <rgbColor rgb="FF800000"/>
      <rgbColor rgb="FF008080"/>
      <rgbColor rgb="FF0000FF"/>
      <rgbColor rgb="FF00CCFF"/>
      <rgbColor rgb="FFE6F1FB"/>
      <rgbColor rgb="FFD6F4E0"/>
      <rgbColor rgb="FFFAEEDA"/>
      <rgbColor rgb="FFEAF3FF"/>
      <rgbColor rgb="FFFAECE7"/>
      <rgbColor rgb="FFFDEEE4"/>
      <rgbColor rgb="FFFCE8E8"/>
      <rgbColor rgb="FF3366FF"/>
      <rgbColor rgb="FF33CCCC"/>
      <rgbColor rgb="FF99CC00"/>
      <rgbColor rgb="FFFFF4F4"/>
      <rgbColor rgb="FFFF9900"/>
      <rgbColor rgb="FFC4500A"/>
      <rgbColor rgb="FF534AB7"/>
      <rgbColor rgb="FFFFF8F2"/>
      <rgbColor rgb="FF0C447C"/>
      <rgbColor rgb="FF339966"/>
      <rgbColor rgb="FF0D1B2A"/>
      <rgbColor rgb="FF27500A"/>
      <rgbColor rgb="FF993C1D"/>
      <rgbColor rgb="FF993366"/>
      <rgbColor rgb="FF555553"/>
      <rgbColor rgb="FF44444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1B2A"/>
  </sheetPr>
  <dimension ref="A1:O30"/>
  <sheetViews>
    <sheetView showGridLines="0" tabSelected="1" zoomScaleNormal="100" workbookViewId="0">
      <pane ySplit="3" topLeftCell="A22" activePane="bottomLeft" state="frozen"/>
      <selection pane="bottomLeft" activeCell="F29" sqref="F29"/>
    </sheetView>
  </sheetViews>
  <sheetFormatPr defaultColWidth="8.6640625" defaultRowHeight="14.4" x14ac:dyDescent="0.3"/>
  <cols>
    <col min="1" max="1" width="4" customWidth="1"/>
    <col min="2" max="2" width="32" customWidth="1"/>
    <col min="3" max="3" width="18" customWidth="1"/>
    <col min="4" max="4" width="20" customWidth="1"/>
    <col min="5" max="5" width="16" customWidth="1"/>
    <col min="6" max="6" width="44" customWidth="1"/>
    <col min="7" max="7" width="12" customWidth="1"/>
    <col min="8" max="8" width="15" customWidth="1"/>
    <col min="9" max="9" width="10" customWidth="1"/>
    <col min="10" max="10" width="16" customWidth="1"/>
    <col min="11" max="12" width="14" customWidth="1"/>
    <col min="13" max="13" width="38" customWidth="1"/>
    <col min="14" max="14" width="13" customWidth="1"/>
    <col min="15" max="15" width="44" customWidth="1"/>
  </cols>
  <sheetData>
    <row r="1" spans="1:15" ht="33.75" customHeight="1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ht="19.5" customHeight="1" x14ac:dyDescent="0.3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21.75" customHeight="1" x14ac:dyDescent="0.3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9" t="s">
        <v>16</v>
      </c>
    </row>
    <row r="4" spans="1:15" ht="24" customHeight="1" x14ac:dyDescent="0.3">
      <c r="A4" s="10">
        <v>1</v>
      </c>
      <c r="B4" s="11" t="s">
        <v>17</v>
      </c>
      <c r="C4" s="12" t="s">
        <v>18</v>
      </c>
      <c r="D4" s="13" t="s">
        <v>19</v>
      </c>
      <c r="E4" s="13" t="s">
        <v>20</v>
      </c>
      <c r="F4" s="14" t="s">
        <v>21</v>
      </c>
      <c r="G4" s="12" t="s">
        <v>22</v>
      </c>
      <c r="H4" s="15" t="s">
        <v>23</v>
      </c>
      <c r="I4" s="16" t="s">
        <v>24</v>
      </c>
      <c r="J4" s="17"/>
      <c r="K4" s="18"/>
      <c r="L4" s="18"/>
      <c r="M4" s="19" t="s">
        <v>25</v>
      </c>
      <c r="N4" s="13" t="s">
        <v>26</v>
      </c>
      <c r="O4" s="20" t="s">
        <v>27</v>
      </c>
    </row>
    <row r="5" spans="1:15" ht="24" customHeight="1" x14ac:dyDescent="0.3">
      <c r="A5" s="21">
        <v>2</v>
      </c>
      <c r="B5" s="22" t="s">
        <v>28</v>
      </c>
      <c r="C5" s="12" t="s">
        <v>18</v>
      </c>
      <c r="D5" s="23" t="s">
        <v>19</v>
      </c>
      <c r="E5" s="23" t="s">
        <v>20</v>
      </c>
      <c r="F5" s="24" t="s">
        <v>29</v>
      </c>
      <c r="G5" s="12" t="s">
        <v>22</v>
      </c>
      <c r="H5" s="25" t="s">
        <v>30</v>
      </c>
      <c r="I5" s="16" t="s">
        <v>24</v>
      </c>
      <c r="J5" s="26"/>
      <c r="K5" s="27"/>
      <c r="L5" s="27"/>
      <c r="M5" s="28" t="s">
        <v>31</v>
      </c>
      <c r="N5" s="23" t="s">
        <v>32</v>
      </c>
      <c r="O5" s="28" t="s">
        <v>33</v>
      </c>
    </row>
    <row r="6" spans="1:15" ht="24" customHeight="1" x14ac:dyDescent="0.3">
      <c r="A6" s="10">
        <v>3</v>
      </c>
      <c r="B6" s="11" t="s">
        <v>34</v>
      </c>
      <c r="C6" s="12" t="s">
        <v>18</v>
      </c>
      <c r="D6" s="13" t="s">
        <v>19</v>
      </c>
      <c r="E6" s="13" t="s">
        <v>35</v>
      </c>
      <c r="F6" s="14" t="s">
        <v>36</v>
      </c>
      <c r="G6" s="12" t="s">
        <v>22</v>
      </c>
      <c r="H6" s="25" t="s">
        <v>30</v>
      </c>
      <c r="I6" s="29" t="s">
        <v>37</v>
      </c>
      <c r="J6" s="17"/>
      <c r="K6" s="18"/>
      <c r="L6" s="18"/>
      <c r="M6" s="20" t="s">
        <v>38</v>
      </c>
      <c r="N6" s="13" t="s">
        <v>39</v>
      </c>
      <c r="O6" s="20" t="s">
        <v>40</v>
      </c>
    </row>
    <row r="7" spans="1:15" ht="24" customHeight="1" x14ac:dyDescent="0.3">
      <c r="A7" s="21">
        <v>4</v>
      </c>
      <c r="B7" s="22" t="s">
        <v>41</v>
      </c>
      <c r="C7" s="12" t="s">
        <v>18</v>
      </c>
      <c r="D7" s="23" t="s">
        <v>19</v>
      </c>
      <c r="E7" s="23" t="s">
        <v>20</v>
      </c>
      <c r="F7" s="24" t="s">
        <v>42</v>
      </c>
      <c r="G7" s="12" t="s">
        <v>22</v>
      </c>
      <c r="H7" s="30" t="s">
        <v>43</v>
      </c>
      <c r="I7" s="29" t="s">
        <v>37</v>
      </c>
      <c r="J7" s="26"/>
      <c r="K7" s="27"/>
      <c r="L7" s="27"/>
      <c r="M7" s="28" t="s">
        <v>44</v>
      </c>
      <c r="N7" s="23" t="s">
        <v>26</v>
      </c>
      <c r="O7" s="31" t="s">
        <v>45</v>
      </c>
    </row>
    <row r="8" spans="1:15" ht="24" customHeight="1" x14ac:dyDescent="0.3">
      <c r="A8" s="10">
        <v>5</v>
      </c>
      <c r="B8" s="11" t="s">
        <v>46</v>
      </c>
      <c r="C8" s="12" t="s">
        <v>18</v>
      </c>
      <c r="D8" s="13" t="s">
        <v>19</v>
      </c>
      <c r="E8" s="13" t="s">
        <v>20</v>
      </c>
      <c r="F8" s="14" t="s">
        <v>47</v>
      </c>
      <c r="G8" s="12" t="s">
        <v>22</v>
      </c>
      <c r="H8" s="30" t="s">
        <v>43</v>
      </c>
      <c r="I8" s="29" t="s">
        <v>37</v>
      </c>
      <c r="J8" s="17"/>
      <c r="K8" s="18"/>
      <c r="L8" s="18"/>
      <c r="M8" s="20" t="s">
        <v>44</v>
      </c>
      <c r="N8" s="13" t="s">
        <v>26</v>
      </c>
      <c r="O8" s="31" t="s">
        <v>48</v>
      </c>
    </row>
    <row r="9" spans="1:15" ht="24" customHeight="1" x14ac:dyDescent="0.3">
      <c r="A9" s="21">
        <v>6</v>
      </c>
      <c r="B9" s="22" t="s">
        <v>49</v>
      </c>
      <c r="C9" s="32" t="s">
        <v>50</v>
      </c>
      <c r="D9" s="23" t="s">
        <v>51</v>
      </c>
      <c r="E9" s="23" t="s">
        <v>52</v>
      </c>
      <c r="F9" s="24" t="s">
        <v>53</v>
      </c>
      <c r="G9" s="12" t="s">
        <v>22</v>
      </c>
      <c r="H9" s="30" t="s">
        <v>43</v>
      </c>
      <c r="I9" s="16" t="s">
        <v>24</v>
      </c>
      <c r="J9" s="26"/>
      <c r="K9" s="27"/>
      <c r="L9" s="27"/>
      <c r="M9" s="28" t="s">
        <v>54</v>
      </c>
      <c r="N9" s="23" t="s">
        <v>55</v>
      </c>
      <c r="O9" s="31" t="s">
        <v>56</v>
      </c>
    </row>
    <row r="10" spans="1:15" ht="24" customHeight="1" x14ac:dyDescent="0.3">
      <c r="A10" s="10">
        <v>7</v>
      </c>
      <c r="B10" s="11" t="s">
        <v>57</v>
      </c>
      <c r="C10" s="32" t="s">
        <v>50</v>
      </c>
      <c r="D10" s="13" t="s">
        <v>51</v>
      </c>
      <c r="E10" s="13" t="s">
        <v>58</v>
      </c>
      <c r="F10" s="14" t="s">
        <v>59</v>
      </c>
      <c r="G10" s="12" t="s">
        <v>22</v>
      </c>
      <c r="H10" s="30" t="s">
        <v>43</v>
      </c>
      <c r="I10" s="16" t="s">
        <v>24</v>
      </c>
      <c r="J10" s="17"/>
      <c r="K10" s="18"/>
      <c r="L10" s="18"/>
      <c r="M10" s="20" t="s">
        <v>60</v>
      </c>
      <c r="N10" s="13" t="s">
        <v>61</v>
      </c>
      <c r="O10" s="31" t="s">
        <v>62</v>
      </c>
    </row>
    <row r="11" spans="1:15" ht="24" customHeight="1" x14ac:dyDescent="0.3">
      <c r="A11" s="21">
        <v>8</v>
      </c>
      <c r="B11" s="22" t="s">
        <v>63</v>
      </c>
      <c r="C11" s="32" t="s">
        <v>50</v>
      </c>
      <c r="D11" s="23" t="s">
        <v>51</v>
      </c>
      <c r="E11" s="23" t="s">
        <v>52</v>
      </c>
      <c r="F11" s="24" t="s">
        <v>59</v>
      </c>
      <c r="G11" s="32" t="s">
        <v>64</v>
      </c>
      <c r="H11" s="30" t="s">
        <v>43</v>
      </c>
      <c r="I11" s="16" t="s">
        <v>24</v>
      </c>
      <c r="J11" s="26"/>
      <c r="K11" s="27"/>
      <c r="L11" s="27"/>
      <c r="M11" s="28" t="s">
        <v>65</v>
      </c>
      <c r="N11" s="23" t="s">
        <v>55</v>
      </c>
      <c r="O11" s="31" t="s">
        <v>66</v>
      </c>
    </row>
    <row r="12" spans="1:15" ht="24" customHeight="1" x14ac:dyDescent="0.3">
      <c r="A12" s="10">
        <v>9</v>
      </c>
      <c r="B12" s="11" t="s">
        <v>67</v>
      </c>
      <c r="C12" s="32" t="s">
        <v>50</v>
      </c>
      <c r="D12" s="13" t="s">
        <v>51</v>
      </c>
      <c r="E12" s="13" t="s">
        <v>68</v>
      </c>
      <c r="F12" s="14" t="s">
        <v>69</v>
      </c>
      <c r="G12" s="12" t="s">
        <v>22</v>
      </c>
      <c r="H12" s="25" t="s">
        <v>30</v>
      </c>
      <c r="I12" s="29" t="s">
        <v>37</v>
      </c>
      <c r="J12" s="17"/>
      <c r="K12" s="18"/>
      <c r="L12" s="18"/>
      <c r="M12" s="20" t="s">
        <v>70</v>
      </c>
      <c r="N12" s="13" t="s">
        <v>71</v>
      </c>
      <c r="O12" s="20" t="s">
        <v>72</v>
      </c>
    </row>
    <row r="13" spans="1:15" ht="24" customHeight="1" x14ac:dyDescent="0.3">
      <c r="A13" s="21">
        <v>10</v>
      </c>
      <c r="B13" s="22" t="s">
        <v>73</v>
      </c>
      <c r="C13" s="32" t="s">
        <v>50</v>
      </c>
      <c r="D13" s="23" t="s">
        <v>51</v>
      </c>
      <c r="E13" s="23" t="s">
        <v>20</v>
      </c>
      <c r="F13" s="24" t="s">
        <v>74</v>
      </c>
      <c r="G13" s="12" t="s">
        <v>22</v>
      </c>
      <c r="H13" s="25" t="s">
        <v>30</v>
      </c>
      <c r="I13" s="29" t="s">
        <v>37</v>
      </c>
      <c r="J13" s="26"/>
      <c r="K13" s="27"/>
      <c r="L13" s="27"/>
      <c r="M13" s="28" t="s">
        <v>75</v>
      </c>
      <c r="N13" s="23" t="s">
        <v>26</v>
      </c>
      <c r="O13" s="28" t="s">
        <v>76</v>
      </c>
    </row>
    <row r="14" spans="1:15" ht="24" customHeight="1" x14ac:dyDescent="0.3">
      <c r="A14" s="10">
        <v>11</v>
      </c>
      <c r="B14" s="11" t="s">
        <v>77</v>
      </c>
      <c r="C14" s="33" t="s">
        <v>78</v>
      </c>
      <c r="D14" s="13" t="s">
        <v>79</v>
      </c>
      <c r="E14" s="13" t="s">
        <v>52</v>
      </c>
      <c r="F14" s="14" t="s">
        <v>80</v>
      </c>
      <c r="G14" s="29" t="s">
        <v>81</v>
      </c>
      <c r="H14" s="30" t="s">
        <v>43</v>
      </c>
      <c r="I14" s="16" t="s">
        <v>24</v>
      </c>
      <c r="J14" s="17"/>
      <c r="K14" s="18"/>
      <c r="L14" s="18"/>
      <c r="M14" s="20" t="s">
        <v>82</v>
      </c>
      <c r="N14" s="13" t="s">
        <v>55</v>
      </c>
      <c r="O14" s="31" t="s">
        <v>83</v>
      </c>
    </row>
    <row r="15" spans="1:15" ht="24" customHeight="1" x14ac:dyDescent="0.3">
      <c r="A15" s="21">
        <v>12</v>
      </c>
      <c r="B15" s="22" t="s">
        <v>84</v>
      </c>
      <c r="C15" s="33" t="s">
        <v>78</v>
      </c>
      <c r="D15" s="23" t="s">
        <v>85</v>
      </c>
      <c r="E15" s="23" t="s">
        <v>86</v>
      </c>
      <c r="F15" s="24" t="s">
        <v>87</v>
      </c>
      <c r="G15" s="12" t="s">
        <v>22</v>
      </c>
      <c r="H15" s="25" t="s">
        <v>30</v>
      </c>
      <c r="I15" s="29" t="s">
        <v>37</v>
      </c>
      <c r="J15" s="26"/>
      <c r="K15" s="27"/>
      <c r="L15" s="27"/>
      <c r="M15" s="28" t="s">
        <v>88</v>
      </c>
      <c r="N15" s="23" t="s">
        <v>89</v>
      </c>
      <c r="O15" s="28" t="s">
        <v>90</v>
      </c>
    </row>
    <row r="16" spans="1:15" ht="24" customHeight="1" x14ac:dyDescent="0.3">
      <c r="A16" s="10">
        <v>13</v>
      </c>
      <c r="B16" s="11" t="s">
        <v>91</v>
      </c>
      <c r="C16" s="33" t="s">
        <v>78</v>
      </c>
      <c r="D16" s="13" t="s">
        <v>92</v>
      </c>
      <c r="E16" s="13" t="s">
        <v>86</v>
      </c>
      <c r="F16" s="14" t="s">
        <v>93</v>
      </c>
      <c r="G16" s="12" t="s">
        <v>22</v>
      </c>
      <c r="H16" s="30" t="s">
        <v>43</v>
      </c>
      <c r="I16" s="29" t="s">
        <v>37</v>
      </c>
      <c r="J16" s="17"/>
      <c r="K16" s="18"/>
      <c r="L16" s="18"/>
      <c r="M16" s="20" t="s">
        <v>94</v>
      </c>
      <c r="N16" s="13" t="s">
        <v>89</v>
      </c>
      <c r="O16" s="31" t="s">
        <v>95</v>
      </c>
    </row>
    <row r="17" spans="1:15" ht="24" customHeight="1" x14ac:dyDescent="0.3">
      <c r="A17" s="21">
        <v>14</v>
      </c>
      <c r="B17" s="22" t="s">
        <v>96</v>
      </c>
      <c r="C17" s="33" t="s">
        <v>78</v>
      </c>
      <c r="D17" s="23" t="s">
        <v>97</v>
      </c>
      <c r="E17" s="23" t="s">
        <v>98</v>
      </c>
      <c r="F17" s="24" t="s">
        <v>99</v>
      </c>
      <c r="G17" s="16" t="s">
        <v>100</v>
      </c>
      <c r="H17" s="34" t="s">
        <v>101</v>
      </c>
      <c r="I17" s="35" t="s">
        <v>102</v>
      </c>
      <c r="J17" s="26"/>
      <c r="K17" s="27"/>
      <c r="L17" s="27"/>
      <c r="M17" s="28" t="s">
        <v>103</v>
      </c>
      <c r="N17" s="23" t="s">
        <v>104</v>
      </c>
      <c r="O17" s="28" t="s">
        <v>105</v>
      </c>
    </row>
    <row r="18" spans="1:15" ht="24" customHeight="1" x14ac:dyDescent="0.3">
      <c r="A18" s="10">
        <v>15</v>
      </c>
      <c r="B18" s="11" t="s">
        <v>106</v>
      </c>
      <c r="C18" s="29" t="s">
        <v>107</v>
      </c>
      <c r="D18" s="13" t="s">
        <v>108</v>
      </c>
      <c r="E18" s="13" t="s">
        <v>109</v>
      </c>
      <c r="F18" s="14" t="s">
        <v>110</v>
      </c>
      <c r="G18" s="12" t="s">
        <v>22</v>
      </c>
      <c r="H18" s="30" t="s">
        <v>43</v>
      </c>
      <c r="I18" s="16" t="s">
        <v>24</v>
      </c>
      <c r="J18" s="17"/>
      <c r="K18" s="18"/>
      <c r="L18" s="18"/>
      <c r="M18" s="20" t="s">
        <v>111</v>
      </c>
      <c r="N18" s="13" t="s">
        <v>112</v>
      </c>
      <c r="O18" s="31" t="s">
        <v>113</v>
      </c>
    </row>
    <row r="19" spans="1:15" ht="24" customHeight="1" x14ac:dyDescent="0.3">
      <c r="A19" s="21">
        <v>16</v>
      </c>
      <c r="B19" s="22" t="s">
        <v>114</v>
      </c>
      <c r="C19" s="29" t="s">
        <v>107</v>
      </c>
      <c r="D19" s="23" t="s">
        <v>108</v>
      </c>
      <c r="E19" s="23" t="s">
        <v>52</v>
      </c>
      <c r="F19" s="24" t="s">
        <v>115</v>
      </c>
      <c r="G19" s="29" t="s">
        <v>116</v>
      </c>
      <c r="H19" s="30" t="s">
        <v>43</v>
      </c>
      <c r="I19" s="16" t="s">
        <v>24</v>
      </c>
      <c r="J19" s="26"/>
      <c r="K19" s="27"/>
      <c r="L19" s="27"/>
      <c r="M19" s="28" t="s">
        <v>117</v>
      </c>
      <c r="N19" s="23" t="s">
        <v>55</v>
      </c>
      <c r="O19" s="31" t="s">
        <v>118</v>
      </c>
    </row>
    <row r="20" spans="1:15" ht="24" customHeight="1" x14ac:dyDescent="0.3">
      <c r="A20" s="10">
        <v>17</v>
      </c>
      <c r="B20" s="11" t="s">
        <v>119</v>
      </c>
      <c r="C20" s="29" t="s">
        <v>107</v>
      </c>
      <c r="D20" s="13" t="s">
        <v>120</v>
      </c>
      <c r="E20" s="13" t="s">
        <v>86</v>
      </c>
      <c r="F20" s="14" t="s">
        <v>121</v>
      </c>
      <c r="G20" s="12" t="s">
        <v>22</v>
      </c>
      <c r="H20" s="30" t="s">
        <v>43</v>
      </c>
      <c r="I20" s="29" t="s">
        <v>37</v>
      </c>
      <c r="J20" s="17"/>
      <c r="K20" s="18"/>
      <c r="L20" s="18"/>
      <c r="M20" s="20" t="s">
        <v>122</v>
      </c>
      <c r="N20" s="13" t="s">
        <v>123</v>
      </c>
      <c r="O20" s="31" t="s">
        <v>124</v>
      </c>
    </row>
    <row r="21" spans="1:15" ht="24" customHeight="1" x14ac:dyDescent="0.3">
      <c r="A21" s="21">
        <v>18</v>
      </c>
      <c r="B21" s="22" t="s">
        <v>125</v>
      </c>
      <c r="C21" s="35" t="s">
        <v>126</v>
      </c>
      <c r="D21" s="23" t="s">
        <v>127</v>
      </c>
      <c r="E21" s="23" t="s">
        <v>52</v>
      </c>
      <c r="F21" s="24" t="s">
        <v>128</v>
      </c>
      <c r="G21" s="12" t="s">
        <v>22</v>
      </c>
      <c r="H21" s="30" t="s">
        <v>43</v>
      </c>
      <c r="I21" s="29" t="s">
        <v>37</v>
      </c>
      <c r="J21" s="26"/>
      <c r="K21" s="27"/>
      <c r="L21" s="27"/>
      <c r="M21" s="28" t="s">
        <v>129</v>
      </c>
      <c r="N21" s="23" t="s">
        <v>55</v>
      </c>
      <c r="O21" s="31" t="s">
        <v>130</v>
      </c>
    </row>
    <row r="22" spans="1:15" ht="24" customHeight="1" x14ac:dyDescent="0.3">
      <c r="A22" s="10">
        <v>19</v>
      </c>
      <c r="B22" s="11" t="s">
        <v>131</v>
      </c>
      <c r="C22" s="35" t="s">
        <v>126</v>
      </c>
      <c r="D22" s="13" t="s">
        <v>132</v>
      </c>
      <c r="E22" s="13" t="s">
        <v>86</v>
      </c>
      <c r="F22" s="14" t="s">
        <v>133</v>
      </c>
      <c r="G22" s="12" t="s">
        <v>22</v>
      </c>
      <c r="H22" s="30" t="s">
        <v>43</v>
      </c>
      <c r="I22" s="35" t="s">
        <v>102</v>
      </c>
      <c r="J22" s="17"/>
      <c r="K22" s="18"/>
      <c r="L22" s="18"/>
      <c r="M22" s="20" t="s">
        <v>134</v>
      </c>
      <c r="N22" s="13" t="s">
        <v>89</v>
      </c>
      <c r="O22" s="31" t="s">
        <v>135</v>
      </c>
    </row>
    <row r="23" spans="1:15" ht="24" customHeight="1" x14ac:dyDescent="0.3">
      <c r="A23" s="21">
        <v>20</v>
      </c>
      <c r="B23" s="22" t="s">
        <v>136</v>
      </c>
      <c r="C23" s="35" t="s">
        <v>126</v>
      </c>
      <c r="D23" s="23" t="s">
        <v>137</v>
      </c>
      <c r="E23" s="23" t="s">
        <v>52</v>
      </c>
      <c r="F23" s="24" t="s">
        <v>138</v>
      </c>
      <c r="G23" s="29" t="s">
        <v>81</v>
      </c>
      <c r="H23" s="30" t="s">
        <v>43</v>
      </c>
      <c r="I23" s="29" t="s">
        <v>37</v>
      </c>
      <c r="J23" s="26"/>
      <c r="K23" s="27"/>
      <c r="L23" s="27"/>
      <c r="M23" s="28" t="s">
        <v>139</v>
      </c>
      <c r="N23" s="23" t="s">
        <v>55</v>
      </c>
      <c r="O23" s="31" t="s">
        <v>140</v>
      </c>
    </row>
    <row r="24" spans="1:15" ht="24" customHeight="1" x14ac:dyDescent="0.3">
      <c r="A24" s="36">
        <v>21</v>
      </c>
      <c r="B24" s="37" t="s">
        <v>141</v>
      </c>
      <c r="C24" s="32" t="s">
        <v>50</v>
      </c>
      <c r="D24" s="38" t="s">
        <v>142</v>
      </c>
      <c r="E24" s="38" t="s">
        <v>20</v>
      </c>
      <c r="F24" s="39" t="s">
        <v>143</v>
      </c>
      <c r="G24" s="12" t="s">
        <v>22</v>
      </c>
      <c r="H24" s="34" t="s">
        <v>101</v>
      </c>
      <c r="I24" s="16" t="s">
        <v>24</v>
      </c>
      <c r="J24" s="40"/>
      <c r="K24" s="41"/>
      <c r="L24" s="41"/>
      <c r="M24" s="42" t="s">
        <v>144</v>
      </c>
      <c r="N24" s="38" t="s">
        <v>26</v>
      </c>
      <c r="O24" s="43" t="s">
        <v>145</v>
      </c>
    </row>
    <row r="25" spans="1:15" ht="24" customHeight="1" x14ac:dyDescent="0.3">
      <c r="A25" s="36">
        <v>22</v>
      </c>
      <c r="B25" s="37" t="s">
        <v>146</v>
      </c>
      <c r="C25" s="12" t="s">
        <v>18</v>
      </c>
      <c r="D25" s="38" t="s">
        <v>19</v>
      </c>
      <c r="E25" s="38" t="s">
        <v>147</v>
      </c>
      <c r="F25" s="39" t="s">
        <v>148</v>
      </c>
      <c r="G25" s="12" t="s">
        <v>22</v>
      </c>
      <c r="H25" s="34" t="s">
        <v>101</v>
      </c>
      <c r="I25" s="16" t="s">
        <v>24</v>
      </c>
      <c r="J25" s="40"/>
      <c r="K25" s="41"/>
      <c r="L25" s="41"/>
      <c r="M25" s="42" t="s">
        <v>149</v>
      </c>
      <c r="N25" s="38" t="s">
        <v>26</v>
      </c>
      <c r="O25" s="43" t="s">
        <v>150</v>
      </c>
    </row>
    <row r="26" spans="1:15" ht="24" customHeight="1" x14ac:dyDescent="0.3">
      <c r="A26" s="36">
        <v>23</v>
      </c>
      <c r="B26" s="37" t="s">
        <v>151</v>
      </c>
      <c r="C26" s="32" t="s">
        <v>50</v>
      </c>
      <c r="D26" s="38" t="s">
        <v>152</v>
      </c>
      <c r="E26" s="38" t="s">
        <v>20</v>
      </c>
      <c r="F26" s="39" t="s">
        <v>153</v>
      </c>
      <c r="G26" s="12" t="s">
        <v>22</v>
      </c>
      <c r="H26" s="34" t="s">
        <v>101</v>
      </c>
      <c r="I26" s="16" t="s">
        <v>24</v>
      </c>
      <c r="J26" s="40"/>
      <c r="K26" s="41"/>
      <c r="L26" s="41"/>
      <c r="M26" s="42" t="s">
        <v>154</v>
      </c>
      <c r="N26" s="38" t="s">
        <v>26</v>
      </c>
      <c r="O26" s="43" t="s">
        <v>155</v>
      </c>
    </row>
    <row r="27" spans="1:15" ht="24" customHeight="1" x14ac:dyDescent="0.3">
      <c r="A27" s="36">
        <v>24</v>
      </c>
      <c r="B27" s="37" t="s">
        <v>156</v>
      </c>
      <c r="C27" s="32" t="s">
        <v>50</v>
      </c>
      <c r="D27" s="38" t="s">
        <v>157</v>
      </c>
      <c r="E27" s="38" t="s">
        <v>158</v>
      </c>
      <c r="F27" s="39" t="s">
        <v>159</v>
      </c>
      <c r="G27" s="32" t="s">
        <v>160</v>
      </c>
      <c r="H27" s="34" t="s">
        <v>101</v>
      </c>
      <c r="I27" s="29" t="s">
        <v>37</v>
      </c>
      <c r="J27" s="40"/>
      <c r="K27" s="41"/>
      <c r="L27" s="41"/>
      <c r="M27" s="42" t="s">
        <v>161</v>
      </c>
      <c r="N27" s="38" t="s">
        <v>162</v>
      </c>
      <c r="O27" s="43" t="s">
        <v>163</v>
      </c>
    </row>
    <row r="28" spans="1:15" ht="24" customHeight="1" x14ac:dyDescent="0.3">
      <c r="A28" s="36">
        <v>25</v>
      </c>
      <c r="B28" s="37" t="s">
        <v>164</v>
      </c>
      <c r="C28" s="44" t="s">
        <v>165</v>
      </c>
      <c r="D28" s="38" t="s">
        <v>166</v>
      </c>
      <c r="E28" s="38" t="s">
        <v>167</v>
      </c>
      <c r="F28" s="39" t="s">
        <v>168</v>
      </c>
      <c r="G28" s="32" t="s">
        <v>169</v>
      </c>
      <c r="H28" s="34" t="s">
        <v>101</v>
      </c>
      <c r="I28" s="16" t="s">
        <v>24</v>
      </c>
      <c r="J28" s="40"/>
      <c r="K28" s="41"/>
      <c r="L28" s="41"/>
      <c r="M28" s="42" t="s">
        <v>170</v>
      </c>
      <c r="N28" s="38" t="s">
        <v>26</v>
      </c>
      <c r="O28" s="43" t="s">
        <v>171</v>
      </c>
    </row>
    <row r="29" spans="1:15" ht="24" customHeight="1" x14ac:dyDescent="0.3">
      <c r="A29" s="36">
        <v>26</v>
      </c>
      <c r="B29" s="37" t="s">
        <v>172</v>
      </c>
      <c r="C29" s="44" t="s">
        <v>165</v>
      </c>
      <c r="D29" s="38" t="s">
        <v>166</v>
      </c>
      <c r="E29" s="38" t="s">
        <v>68</v>
      </c>
      <c r="F29" s="39" t="s">
        <v>173</v>
      </c>
      <c r="G29" s="12" t="s">
        <v>22</v>
      </c>
      <c r="H29" s="34" t="s">
        <v>101</v>
      </c>
      <c r="I29" s="16" t="s">
        <v>24</v>
      </c>
      <c r="J29" s="40"/>
      <c r="K29" s="41"/>
      <c r="L29" s="41"/>
      <c r="M29" s="42" t="s">
        <v>174</v>
      </c>
      <c r="N29" s="38" t="s">
        <v>71</v>
      </c>
      <c r="O29" s="43" t="s">
        <v>175</v>
      </c>
    </row>
    <row r="30" spans="1:15" ht="24" customHeight="1" x14ac:dyDescent="0.3">
      <c r="A30" s="36">
        <v>27</v>
      </c>
      <c r="B30" s="37" t="s">
        <v>176</v>
      </c>
      <c r="C30" s="44" t="s">
        <v>165</v>
      </c>
      <c r="D30" s="38" t="s">
        <v>166</v>
      </c>
      <c r="E30" s="38" t="s">
        <v>68</v>
      </c>
      <c r="F30" s="39" t="s">
        <v>177</v>
      </c>
      <c r="G30" s="12" t="s">
        <v>22</v>
      </c>
      <c r="H30" s="34" t="s">
        <v>101</v>
      </c>
      <c r="I30" s="16" t="s">
        <v>24</v>
      </c>
      <c r="J30" s="40"/>
      <c r="K30" s="41"/>
      <c r="L30" s="41"/>
      <c r="M30" s="42" t="s">
        <v>178</v>
      </c>
      <c r="N30" s="38" t="s">
        <v>71</v>
      </c>
      <c r="O30" s="43" t="s">
        <v>179</v>
      </c>
    </row>
  </sheetData>
  <mergeCells count="2">
    <mergeCell ref="A1:O1"/>
    <mergeCell ref="A2:O2"/>
  </mergeCells>
  <conditionalFormatting sqref="A4:O30">
    <cfRule type="expression" dxfId="3" priority="2">
      <formula>$H4="Completed"</formula>
    </cfRule>
    <cfRule type="expression" dxfId="2" priority="3">
      <formula>$H4="In Progress"</formula>
    </cfRule>
    <cfRule type="expression" dxfId="1" priority="4">
      <formula>$H4="Blocked"</formula>
    </cfRule>
    <cfRule type="expression" dxfId="0" priority="5">
      <formula>$H4="⚠ Incomplete"</formula>
    </cfRule>
  </conditionalFormatting>
  <dataValidations count="2">
    <dataValidation type="list" errorTitle="Invalid status" error="Choose: Not Started, In Progress, Completed, Blocked, ⚠ Incomplete" sqref="H4:H30">
      <formula1>"Not Started,In Progress,Completed,Blocked,⚠ Incomplete"</formula1>
      <formula2>0</formula2>
    </dataValidation>
    <dataValidation type="list" sqref="I4:I30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C1D1D"/>
  </sheetPr>
  <dimension ref="A1:F10"/>
  <sheetViews>
    <sheetView showGridLines="0" zoomScaleNormal="100" workbookViewId="0"/>
  </sheetViews>
  <sheetFormatPr defaultColWidth="8.6640625" defaultRowHeight="14.4" x14ac:dyDescent="0.3"/>
  <cols>
    <col min="1" max="1" width="4" customWidth="1"/>
    <col min="2" max="2" width="38" customWidth="1"/>
    <col min="3" max="3" width="40" customWidth="1"/>
    <col min="4" max="4" width="52" customWidth="1"/>
    <col min="5" max="5" width="14" customWidth="1"/>
    <col min="6" max="6" width="10" customWidth="1"/>
  </cols>
  <sheetData>
    <row r="1" spans="1:6" ht="33.75" customHeight="1" x14ac:dyDescent="0.3">
      <c r="A1" s="6" t="s">
        <v>180</v>
      </c>
      <c r="B1" s="6"/>
      <c r="C1" s="6"/>
      <c r="D1" s="6"/>
      <c r="E1" s="6"/>
      <c r="F1" s="6"/>
    </row>
    <row r="2" spans="1:6" ht="19.5" customHeight="1" x14ac:dyDescent="0.3">
      <c r="A2" s="5" t="s">
        <v>181</v>
      </c>
      <c r="B2" s="5"/>
      <c r="C2" s="5"/>
      <c r="D2" s="5"/>
      <c r="E2" s="5"/>
      <c r="F2" s="5"/>
    </row>
    <row r="3" spans="1:6" ht="21.75" customHeight="1" x14ac:dyDescent="0.3">
      <c r="A3" s="9" t="s">
        <v>2</v>
      </c>
      <c r="B3" s="9" t="s">
        <v>182</v>
      </c>
      <c r="C3" s="9" t="s">
        <v>183</v>
      </c>
      <c r="D3" s="9" t="s">
        <v>184</v>
      </c>
      <c r="E3" s="9" t="s">
        <v>185</v>
      </c>
      <c r="F3" s="9" t="s">
        <v>10</v>
      </c>
    </row>
    <row r="4" spans="1:6" ht="51.75" customHeight="1" x14ac:dyDescent="0.3">
      <c r="A4" s="45">
        <v>1</v>
      </c>
      <c r="B4" s="46" t="s">
        <v>186</v>
      </c>
      <c r="C4" s="47" t="s">
        <v>187</v>
      </c>
      <c r="D4" s="31" t="s">
        <v>188</v>
      </c>
      <c r="E4" s="48" t="s">
        <v>26</v>
      </c>
      <c r="F4" s="49" t="s">
        <v>189</v>
      </c>
    </row>
    <row r="5" spans="1:6" ht="51.75" customHeight="1" x14ac:dyDescent="0.3">
      <c r="A5" s="50">
        <v>2</v>
      </c>
      <c r="B5" s="51" t="s">
        <v>190</v>
      </c>
      <c r="C5" s="52" t="s">
        <v>191</v>
      </c>
      <c r="D5" s="31" t="s">
        <v>192</v>
      </c>
      <c r="E5" s="53" t="s">
        <v>26</v>
      </c>
      <c r="F5" s="49" t="s">
        <v>189</v>
      </c>
    </row>
    <row r="6" spans="1:6" ht="51.75" customHeight="1" x14ac:dyDescent="0.3">
      <c r="A6" s="45">
        <v>3</v>
      </c>
      <c r="B6" s="46" t="s">
        <v>193</v>
      </c>
      <c r="C6" s="47" t="s">
        <v>194</v>
      </c>
      <c r="D6" s="31" t="s">
        <v>195</v>
      </c>
      <c r="E6" s="48" t="s">
        <v>26</v>
      </c>
      <c r="F6" s="49" t="s">
        <v>189</v>
      </c>
    </row>
    <row r="7" spans="1:6" ht="51.75" customHeight="1" x14ac:dyDescent="0.3">
      <c r="A7" s="50">
        <v>4</v>
      </c>
      <c r="B7" s="51" t="s">
        <v>196</v>
      </c>
      <c r="C7" s="52" t="s">
        <v>197</v>
      </c>
      <c r="D7" s="31" t="s">
        <v>198</v>
      </c>
      <c r="E7" s="53" t="s">
        <v>26</v>
      </c>
      <c r="F7" s="54" t="s">
        <v>199</v>
      </c>
    </row>
    <row r="8" spans="1:6" ht="51.75" customHeight="1" x14ac:dyDescent="0.3">
      <c r="A8" s="45">
        <v>5</v>
      </c>
      <c r="B8" s="46" t="s">
        <v>200</v>
      </c>
      <c r="C8" s="47" t="s">
        <v>201</v>
      </c>
      <c r="D8" s="31" t="s">
        <v>202</v>
      </c>
      <c r="E8" s="48" t="s">
        <v>203</v>
      </c>
      <c r="F8" s="55" t="s">
        <v>204</v>
      </c>
    </row>
    <row r="9" spans="1:6" ht="51.75" customHeight="1" x14ac:dyDescent="0.3">
      <c r="A9" s="50">
        <v>6</v>
      </c>
      <c r="B9" s="51" t="s">
        <v>205</v>
      </c>
      <c r="C9" s="52" t="s">
        <v>206</v>
      </c>
      <c r="D9" s="31" t="s">
        <v>207</v>
      </c>
      <c r="E9" s="53" t="s">
        <v>26</v>
      </c>
      <c r="F9" s="49" t="s">
        <v>189</v>
      </c>
    </row>
    <row r="10" spans="1:6" ht="51.75" customHeight="1" x14ac:dyDescent="0.3">
      <c r="A10" s="45">
        <v>7</v>
      </c>
      <c r="B10" s="46" t="s">
        <v>208</v>
      </c>
      <c r="C10" s="47" t="s">
        <v>209</v>
      </c>
      <c r="D10" s="31" t="s">
        <v>210</v>
      </c>
      <c r="E10" s="48" t="s">
        <v>71</v>
      </c>
      <c r="F10" s="49" t="s">
        <v>189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34AB7"/>
  </sheetPr>
  <dimension ref="A1:H20"/>
  <sheetViews>
    <sheetView showGridLines="0" zoomScaleNormal="100" workbookViewId="0"/>
  </sheetViews>
  <sheetFormatPr defaultColWidth="8.6640625" defaultRowHeight="14.4" x14ac:dyDescent="0.3"/>
  <cols>
    <col min="1" max="1" width="28" customWidth="1"/>
    <col min="2" max="2" width="10" customWidth="1"/>
    <col min="3" max="3" width="12" customWidth="1"/>
    <col min="4" max="5" width="14" customWidth="1"/>
    <col min="6" max="6" width="10" customWidth="1"/>
    <col min="7" max="7" width="13" customWidth="1"/>
    <col min="8" max="8" width="10" customWidth="1"/>
  </cols>
  <sheetData>
    <row r="1" spans="1:8" ht="33.75" customHeight="1" x14ac:dyDescent="0.3">
      <c r="A1" s="4" t="s">
        <v>211</v>
      </c>
      <c r="B1" s="4"/>
      <c r="C1" s="4"/>
      <c r="D1" s="4"/>
      <c r="E1" s="4"/>
      <c r="F1" s="4"/>
      <c r="G1" s="4"/>
      <c r="H1" s="4"/>
    </row>
    <row r="2" spans="1:8" ht="19.5" customHeight="1" x14ac:dyDescent="0.3">
      <c r="A2" s="7" t="s">
        <v>212</v>
      </c>
      <c r="B2" s="7"/>
      <c r="C2" s="7"/>
      <c r="D2" s="7"/>
      <c r="E2" s="7"/>
      <c r="F2" s="7"/>
      <c r="G2" s="7"/>
      <c r="H2" s="7"/>
    </row>
    <row r="4" spans="1:8" ht="19.5" customHeight="1" x14ac:dyDescent="0.3">
      <c r="A4" s="9" t="s">
        <v>213</v>
      </c>
      <c r="B4" s="9" t="s">
        <v>214</v>
      </c>
      <c r="C4" s="9" t="s">
        <v>215</v>
      </c>
    </row>
    <row r="5" spans="1:8" ht="21.75" customHeight="1" x14ac:dyDescent="0.3">
      <c r="A5" s="56" t="s">
        <v>216</v>
      </c>
      <c r="B5" s="57">
        <f>COUNTA('NZ Sports Data Tracker'!B4:B30)</f>
        <v>27</v>
      </c>
    </row>
    <row r="6" spans="1:8" ht="21.75" customHeight="1" x14ac:dyDescent="0.3">
      <c r="A6" s="58" t="s">
        <v>217</v>
      </c>
      <c r="B6" s="59">
        <f>COUNTIF('NZ Sports Data Tracker'!H4:H30,"Completed")</f>
        <v>5</v>
      </c>
      <c r="C6" s="60">
        <f>B6/B5</f>
        <v>0.18518518518518517</v>
      </c>
    </row>
    <row r="7" spans="1:8" ht="21.75" customHeight="1" x14ac:dyDescent="0.3">
      <c r="A7" s="61" t="s">
        <v>218</v>
      </c>
      <c r="B7" s="62">
        <f>COUNTIF('NZ Sports Data Tracker'!H4:H30,"In Progress")</f>
        <v>0</v>
      </c>
      <c r="C7" s="63">
        <f>B7/B5</f>
        <v>0</v>
      </c>
    </row>
    <row r="8" spans="1:8" ht="21.75" customHeight="1" x14ac:dyDescent="0.3">
      <c r="A8" s="64" t="s">
        <v>219</v>
      </c>
      <c r="B8" s="65">
        <f>COUNTIF('NZ Sports Data Tracker'!H4:H30,"Not Started")</f>
        <v>8</v>
      </c>
      <c r="C8" s="66">
        <f>B8/B5</f>
        <v>0.29629629629629628</v>
      </c>
    </row>
    <row r="9" spans="1:8" ht="21.75" customHeight="1" x14ac:dyDescent="0.3">
      <c r="A9" s="67" t="s">
        <v>220</v>
      </c>
      <c r="B9" s="68">
        <f>COUNTIF('NZ Sports Data Tracker'!H4:H30,"Blocked")</f>
        <v>13</v>
      </c>
      <c r="C9" s="69">
        <f>B9/B5</f>
        <v>0.48148148148148145</v>
      </c>
    </row>
    <row r="10" spans="1:8" ht="21.75" customHeight="1" x14ac:dyDescent="0.3">
      <c r="A10" s="70" t="s">
        <v>23</v>
      </c>
      <c r="B10" s="71">
        <f>COUNTIF('NZ Sports Data Tracker'!H4:H30,"⚠ Incomplete")</f>
        <v>1</v>
      </c>
      <c r="C10" s="72">
        <f>B10/B5</f>
        <v>3.7037037037037035E-2</v>
      </c>
    </row>
    <row r="11" spans="1:8" ht="21.75" customHeight="1" x14ac:dyDescent="0.3">
      <c r="A11" s="73" t="s">
        <v>221</v>
      </c>
      <c r="B11" s="74">
        <f>COUNTIF('NZ Sports Data Tracker'!B4:B30,"🆕 *")</f>
        <v>7</v>
      </c>
      <c r="C11" s="75">
        <f>B11/B5</f>
        <v>0.25925925925925924</v>
      </c>
    </row>
    <row r="13" spans="1:8" ht="19.5" customHeight="1" x14ac:dyDescent="0.3">
      <c r="A13" s="3" t="s">
        <v>222</v>
      </c>
      <c r="B13" s="3"/>
      <c r="C13" s="3"/>
      <c r="D13" s="3"/>
      <c r="E13" s="3"/>
      <c r="F13" s="3"/>
      <c r="G13" s="3"/>
      <c r="H13" s="3"/>
    </row>
    <row r="14" spans="1:8" x14ac:dyDescent="0.3">
      <c r="A14" s="9" t="s">
        <v>4</v>
      </c>
      <c r="B14" s="9" t="s">
        <v>223</v>
      </c>
      <c r="C14" s="9" t="s">
        <v>30</v>
      </c>
      <c r="D14" s="9" t="s">
        <v>224</v>
      </c>
      <c r="E14" s="9" t="s">
        <v>101</v>
      </c>
      <c r="F14" s="9" t="s">
        <v>43</v>
      </c>
      <c r="G14" s="9" t="s">
        <v>23</v>
      </c>
      <c r="H14" s="9" t="s">
        <v>225</v>
      </c>
    </row>
    <row r="15" spans="1:8" ht="21.75" customHeight="1" x14ac:dyDescent="0.3">
      <c r="A15" s="76" t="s">
        <v>18</v>
      </c>
      <c r="B15" s="77">
        <f>COUNTIF('NZ Sports Data Tracker'!C4:C30,"Participation")</f>
        <v>6</v>
      </c>
      <c r="C15" s="59">
        <f>COUNTIFS('NZ Sports Data Tracker'!C4:C30,"Participation",'NZ Sports Data Tracker'!H4:H30,"Completed")</f>
        <v>2</v>
      </c>
      <c r="D15" s="62">
        <f>COUNTIFS('NZ Sports Data Tracker'!C4:C30,"Participation",'NZ Sports Data Tracker'!H4:H30,"In Progress")</f>
        <v>0</v>
      </c>
      <c r="E15" s="65">
        <f>COUNTIFS('NZ Sports Data Tracker'!C4:C30,"Participation",'NZ Sports Data Tracker'!H4:H30,"Not Started")</f>
        <v>1</v>
      </c>
      <c r="F15" s="68">
        <f>COUNTIFS('NZ Sports Data Tracker'!C4:C30,"Participation",'NZ Sports Data Tracker'!H4:H30,"Blocked")</f>
        <v>2</v>
      </c>
      <c r="G15" s="71">
        <f>COUNTIFS('NZ Sports Data Tracker'!C4:C30,"Participation",'NZ Sports Data Tracker'!H4:H30,"⚠ Incomplete")</f>
        <v>1</v>
      </c>
      <c r="H15" s="78">
        <f t="shared" ref="H15:H20" si="0">IF(B15=0,"-",C15/B15)</f>
        <v>0.33333333333333331</v>
      </c>
    </row>
    <row r="16" spans="1:8" ht="21.75" customHeight="1" x14ac:dyDescent="0.3">
      <c r="A16" s="79" t="s">
        <v>50</v>
      </c>
      <c r="B16" s="80">
        <f>COUNTIF('NZ Sports Data Tracker'!C4:C30,"Govt Open Data")</f>
        <v>8</v>
      </c>
      <c r="C16" s="59">
        <f>COUNTIFS('NZ Sports Data Tracker'!C4:C30,"Govt Open Data",'NZ Sports Data Tracker'!H4:H30,"Completed")</f>
        <v>2</v>
      </c>
      <c r="D16" s="62">
        <f>COUNTIFS('NZ Sports Data Tracker'!C4:C30,"Govt Open Data",'NZ Sports Data Tracker'!H4:H30,"In Progress")</f>
        <v>0</v>
      </c>
      <c r="E16" s="65">
        <f>COUNTIFS('NZ Sports Data Tracker'!C4:C30,"Govt Open Data",'NZ Sports Data Tracker'!H4:H30,"Not Started")</f>
        <v>3</v>
      </c>
      <c r="F16" s="68">
        <f>COUNTIFS('NZ Sports Data Tracker'!C4:C30,"Govt Open Data",'NZ Sports Data Tracker'!H4:H30,"Blocked")</f>
        <v>3</v>
      </c>
      <c r="G16" s="71">
        <f>COUNTIFS('NZ Sports Data Tracker'!C4:C30,"Govt Open Data",'NZ Sports Data Tracker'!H4:H30,"⚠ Incomplete")</f>
        <v>0</v>
      </c>
      <c r="H16" s="81">
        <f t="shared" si="0"/>
        <v>0.25</v>
      </c>
    </row>
    <row r="17" spans="1:8" ht="21.75" customHeight="1" x14ac:dyDescent="0.3">
      <c r="A17" s="82" t="s">
        <v>78</v>
      </c>
      <c r="B17" s="83">
        <f>COUNTIF('NZ Sports Data Tracker'!C4:C30,"Rugby")</f>
        <v>4</v>
      </c>
      <c r="C17" s="59">
        <f>COUNTIFS('NZ Sports Data Tracker'!C4:C30,"Rugby",'NZ Sports Data Tracker'!H4:H30,"Completed")</f>
        <v>1</v>
      </c>
      <c r="D17" s="62">
        <f>COUNTIFS('NZ Sports Data Tracker'!C4:C30,"Rugby",'NZ Sports Data Tracker'!H4:H30,"In Progress")</f>
        <v>0</v>
      </c>
      <c r="E17" s="65">
        <f>COUNTIFS('NZ Sports Data Tracker'!C4:C30,"Rugby",'NZ Sports Data Tracker'!H4:H30,"Not Started")</f>
        <v>1</v>
      </c>
      <c r="F17" s="68">
        <f>COUNTIFS('NZ Sports Data Tracker'!C4:C30,"Rugby",'NZ Sports Data Tracker'!H4:H30,"Blocked")</f>
        <v>2</v>
      </c>
      <c r="G17" s="71">
        <f>COUNTIFS('NZ Sports Data Tracker'!C4:C30,"Rugby",'NZ Sports Data Tracker'!H4:H30,"⚠ Incomplete")</f>
        <v>0</v>
      </c>
      <c r="H17" s="84">
        <f t="shared" si="0"/>
        <v>0.25</v>
      </c>
    </row>
    <row r="18" spans="1:8" ht="21.75" customHeight="1" x14ac:dyDescent="0.3">
      <c r="A18" s="85" t="s">
        <v>107</v>
      </c>
      <c r="B18" s="86">
        <f>COUNTIF('NZ Sports Data Tracker'!C4:C30,"Cricket")</f>
        <v>3</v>
      </c>
      <c r="C18" s="59">
        <f>COUNTIFS('NZ Sports Data Tracker'!C4:C30,"Cricket",'NZ Sports Data Tracker'!H4:H30,"Completed")</f>
        <v>0</v>
      </c>
      <c r="D18" s="62">
        <f>COUNTIFS('NZ Sports Data Tracker'!C4:C30,"Cricket",'NZ Sports Data Tracker'!H4:H30,"In Progress")</f>
        <v>0</v>
      </c>
      <c r="E18" s="65">
        <f>COUNTIFS('NZ Sports Data Tracker'!C4:C30,"Cricket",'NZ Sports Data Tracker'!H4:H30,"Not Started")</f>
        <v>0</v>
      </c>
      <c r="F18" s="68">
        <f>COUNTIFS('NZ Sports Data Tracker'!C4:C30,"Cricket",'NZ Sports Data Tracker'!H4:H30,"Blocked")</f>
        <v>3</v>
      </c>
      <c r="G18" s="71">
        <f>COUNTIFS('NZ Sports Data Tracker'!C4:C30,"Cricket",'NZ Sports Data Tracker'!H4:H30,"⚠ Incomplete")</f>
        <v>0</v>
      </c>
      <c r="H18" s="87">
        <f t="shared" si="0"/>
        <v>0</v>
      </c>
    </row>
    <row r="19" spans="1:8" ht="21.75" customHeight="1" x14ac:dyDescent="0.3">
      <c r="A19" s="88" t="s">
        <v>126</v>
      </c>
      <c r="B19" s="89">
        <f>COUNTIF('NZ Sports Data Tracker'!C4:C30,"Football")</f>
        <v>3</v>
      </c>
      <c r="C19" s="59">
        <f>COUNTIFS('NZ Sports Data Tracker'!C4:C30,"Football",'NZ Sports Data Tracker'!H4:H30,"Completed")</f>
        <v>0</v>
      </c>
      <c r="D19" s="62">
        <f>COUNTIFS('NZ Sports Data Tracker'!C4:C30,"Football",'NZ Sports Data Tracker'!H4:H30,"In Progress")</f>
        <v>0</v>
      </c>
      <c r="E19" s="65">
        <f>COUNTIFS('NZ Sports Data Tracker'!C4:C30,"Football",'NZ Sports Data Tracker'!H4:H30,"Not Started")</f>
        <v>0</v>
      </c>
      <c r="F19" s="68">
        <f>COUNTIFS('NZ Sports Data Tracker'!C4:C30,"Football",'NZ Sports Data Tracker'!H4:H30,"Blocked")</f>
        <v>3</v>
      </c>
      <c r="G19" s="71">
        <f>COUNTIFS('NZ Sports Data Tracker'!C4:C30,"Football",'NZ Sports Data Tracker'!H4:H30,"⚠ Incomplete")</f>
        <v>0</v>
      </c>
      <c r="H19" s="90">
        <f t="shared" si="0"/>
        <v>0</v>
      </c>
    </row>
    <row r="20" spans="1:8" ht="21.75" customHeight="1" x14ac:dyDescent="0.3">
      <c r="A20" s="73" t="s">
        <v>165</v>
      </c>
      <c r="B20" s="91">
        <f>COUNTIF('NZ Sports Data Tracker'!C4:C30,"Schools")</f>
        <v>3</v>
      </c>
      <c r="C20" s="59">
        <f>COUNTIFS('NZ Sports Data Tracker'!C4:C30,"Schools",'NZ Sports Data Tracker'!H4:H30,"Completed")</f>
        <v>0</v>
      </c>
      <c r="D20" s="62">
        <f>COUNTIFS('NZ Sports Data Tracker'!C4:C30,"Schools",'NZ Sports Data Tracker'!H4:H30,"In Progress")</f>
        <v>0</v>
      </c>
      <c r="E20" s="65">
        <f>COUNTIFS('NZ Sports Data Tracker'!C4:C30,"Schools",'NZ Sports Data Tracker'!H4:H30,"Not Started")</f>
        <v>3</v>
      </c>
      <c r="F20" s="68">
        <f>COUNTIFS('NZ Sports Data Tracker'!C4:C30,"Schools",'NZ Sports Data Tracker'!H4:H30,"Blocked")</f>
        <v>0</v>
      </c>
      <c r="G20" s="71">
        <f>COUNTIFS('NZ Sports Data Tracker'!C4:C30,"Schools",'NZ Sports Data Tracker'!H4:H30,"⚠ Incomplete")</f>
        <v>0</v>
      </c>
      <c r="H20" s="75">
        <f t="shared" si="0"/>
        <v>0</v>
      </c>
    </row>
  </sheetData>
  <mergeCells count="3">
    <mergeCell ref="A1:H1"/>
    <mergeCell ref="A2:H2"/>
    <mergeCell ref="A13:H1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6E56"/>
  </sheetPr>
  <dimension ref="A1:E21"/>
  <sheetViews>
    <sheetView showGridLines="0" zoomScaleNormal="100" workbookViewId="0"/>
  </sheetViews>
  <sheetFormatPr defaultColWidth="8.6640625" defaultRowHeight="14.4" x14ac:dyDescent="0.3"/>
  <cols>
    <col min="1" max="1" width="20" customWidth="1"/>
    <col min="2" max="5" width="16" customWidth="1"/>
  </cols>
  <sheetData>
    <row r="1" spans="1:5" ht="33.75" customHeight="1" x14ac:dyDescent="0.3">
      <c r="A1" s="4" t="s">
        <v>226</v>
      </c>
      <c r="B1" s="4"/>
      <c r="C1" s="4"/>
      <c r="D1" s="4"/>
      <c r="E1" s="4"/>
    </row>
    <row r="3" spans="1:5" ht="21.75" customHeight="1" x14ac:dyDescent="0.3">
      <c r="A3" s="2" t="s">
        <v>227</v>
      </c>
      <c r="B3" s="2"/>
      <c r="C3" s="2"/>
      <c r="D3" s="2"/>
      <c r="E3" s="2"/>
    </row>
    <row r="4" spans="1:5" ht="19.5" customHeight="1" x14ac:dyDescent="0.3">
      <c r="A4" s="59" t="s">
        <v>30</v>
      </c>
      <c r="B4" s="1" t="s">
        <v>228</v>
      </c>
      <c r="C4" s="1"/>
      <c r="D4" s="1"/>
      <c r="E4" s="1"/>
    </row>
    <row r="5" spans="1:5" ht="19.5" customHeight="1" x14ac:dyDescent="0.3">
      <c r="A5" s="62" t="s">
        <v>224</v>
      </c>
      <c r="B5" s="1" t="s">
        <v>229</v>
      </c>
      <c r="C5" s="1"/>
      <c r="D5" s="1"/>
      <c r="E5" s="1"/>
    </row>
    <row r="6" spans="1:5" ht="19.5" customHeight="1" x14ac:dyDescent="0.3">
      <c r="A6" s="65" t="s">
        <v>101</v>
      </c>
      <c r="B6" s="1" t="s">
        <v>230</v>
      </c>
      <c r="C6" s="1"/>
      <c r="D6" s="1"/>
      <c r="E6" s="1"/>
    </row>
    <row r="7" spans="1:5" ht="19.5" customHeight="1" x14ac:dyDescent="0.3">
      <c r="A7" s="68" t="s">
        <v>43</v>
      </c>
      <c r="B7" s="1" t="s">
        <v>231</v>
      </c>
      <c r="C7" s="1"/>
      <c r="D7" s="1"/>
      <c r="E7" s="1"/>
    </row>
    <row r="8" spans="1:5" ht="19.5" customHeight="1" x14ac:dyDescent="0.3">
      <c r="A8" s="71" t="s">
        <v>23</v>
      </c>
      <c r="B8" s="1" t="s">
        <v>232</v>
      </c>
      <c r="C8" s="1"/>
      <c r="D8" s="1"/>
      <c r="E8" s="1"/>
    </row>
    <row r="10" spans="1:5" ht="21.75" customHeight="1" x14ac:dyDescent="0.3">
      <c r="A10" s="2" t="s">
        <v>233</v>
      </c>
      <c r="B10" s="2"/>
      <c r="C10" s="2"/>
      <c r="D10" s="2"/>
      <c r="E10" s="2"/>
    </row>
    <row r="11" spans="1:5" ht="19.5" customHeight="1" x14ac:dyDescent="0.3">
      <c r="A11" s="92" t="s">
        <v>24</v>
      </c>
      <c r="B11" s="1" t="s">
        <v>234</v>
      </c>
      <c r="C11" s="1"/>
      <c r="D11" s="1"/>
      <c r="E11" s="1"/>
    </row>
    <row r="12" spans="1:5" ht="19.5" customHeight="1" x14ac:dyDescent="0.3">
      <c r="A12" s="93" t="s">
        <v>37</v>
      </c>
      <c r="B12" s="1" t="s">
        <v>235</v>
      </c>
      <c r="C12" s="1"/>
      <c r="D12" s="1"/>
      <c r="E12" s="1"/>
    </row>
    <row r="13" spans="1:5" ht="19.5" customHeight="1" x14ac:dyDescent="0.3">
      <c r="A13" s="94" t="s">
        <v>102</v>
      </c>
      <c r="B13" s="1" t="s">
        <v>236</v>
      </c>
      <c r="C13" s="1"/>
      <c r="D13" s="1"/>
      <c r="E13" s="1"/>
    </row>
    <row r="15" spans="1:5" ht="21.75" customHeight="1" x14ac:dyDescent="0.3">
      <c r="A15" s="2" t="s">
        <v>237</v>
      </c>
      <c r="B15" s="2"/>
      <c r="C15" s="2"/>
      <c r="D15" s="2"/>
      <c r="E15" s="2"/>
    </row>
    <row r="16" spans="1:5" ht="19.5" customHeight="1" x14ac:dyDescent="0.3">
      <c r="A16" s="95" t="s">
        <v>18</v>
      </c>
      <c r="B16" s="1" t="s">
        <v>238</v>
      </c>
      <c r="C16" s="1"/>
      <c r="D16" s="1"/>
      <c r="E16" s="1"/>
    </row>
    <row r="17" spans="1:5" ht="19.5" customHeight="1" x14ac:dyDescent="0.3">
      <c r="A17" s="96" t="s">
        <v>50</v>
      </c>
      <c r="B17" s="1" t="s">
        <v>239</v>
      </c>
      <c r="C17" s="1"/>
      <c r="D17" s="1"/>
      <c r="E17" s="1"/>
    </row>
    <row r="18" spans="1:5" ht="19.5" customHeight="1" x14ac:dyDescent="0.3">
      <c r="A18" s="97" t="s">
        <v>78</v>
      </c>
      <c r="B18" s="1" t="s">
        <v>240</v>
      </c>
      <c r="C18" s="1"/>
      <c r="D18" s="1"/>
      <c r="E18" s="1"/>
    </row>
    <row r="19" spans="1:5" ht="19.5" customHeight="1" x14ac:dyDescent="0.3">
      <c r="A19" s="93" t="s">
        <v>107</v>
      </c>
      <c r="B19" s="1" t="s">
        <v>241</v>
      </c>
      <c r="C19" s="1"/>
      <c r="D19" s="1"/>
      <c r="E19" s="1"/>
    </row>
    <row r="20" spans="1:5" ht="19.5" customHeight="1" x14ac:dyDescent="0.3">
      <c r="A20" s="94" t="s">
        <v>126</v>
      </c>
      <c r="B20" s="1" t="s">
        <v>242</v>
      </c>
      <c r="C20" s="1"/>
      <c r="D20" s="1"/>
      <c r="E20" s="1"/>
    </row>
    <row r="21" spans="1:5" ht="19.5" customHeight="1" x14ac:dyDescent="0.3">
      <c r="A21" s="74" t="s">
        <v>165</v>
      </c>
      <c r="B21" s="1" t="s">
        <v>243</v>
      </c>
      <c r="C21" s="1"/>
      <c r="D21" s="1"/>
      <c r="E21" s="1"/>
    </row>
  </sheetData>
  <mergeCells count="18">
    <mergeCell ref="B19:E19"/>
    <mergeCell ref="B20:E20"/>
    <mergeCell ref="B21:E21"/>
    <mergeCell ref="B13:E13"/>
    <mergeCell ref="A15:E15"/>
    <mergeCell ref="B16:E16"/>
    <mergeCell ref="B17:E17"/>
    <mergeCell ref="B18:E18"/>
    <mergeCell ref="B7:E7"/>
    <mergeCell ref="B8:E8"/>
    <mergeCell ref="A10:E10"/>
    <mergeCell ref="B11:E11"/>
    <mergeCell ref="B12:E12"/>
    <mergeCell ref="A1:E1"/>
    <mergeCell ref="A3:E3"/>
    <mergeCell ref="B4:E4"/>
    <mergeCell ref="B5:E5"/>
    <mergeCell ref="B6:E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NZ Sports Data Tracker</vt:lpstr>
      <vt:lpstr>⚠ Missing Datasets</vt:lpstr>
      <vt:lpstr>Summary Dashboard</vt:lpstr>
      <vt:lpstr>Legend &amp; 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Ateeb Shaikh</cp:lastModifiedBy>
  <cp:revision>0</cp:revision>
  <dcterms:created xsi:type="dcterms:W3CDTF">2026-06-04T03:07:25Z</dcterms:created>
  <dcterms:modified xsi:type="dcterms:W3CDTF">2026-06-04T04:43:35Z</dcterms:modified>
  <dc:language>en-US</dc:language>
</cp:coreProperties>
</file>